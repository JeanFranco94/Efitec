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slicerCaches/slicerCache1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slicers/slicer2.xml" ContentType="application/vnd.ms-excel.slicer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slicers/slicer3.xml" ContentType="application/vnd.ms-excel.slicer+xml"/>
  <Override PartName="/xl/pivotTables/pivotTable3.xml" ContentType="application/vnd.openxmlformats-officedocument.spreadsheetml.pivotTable+xml"/>
  <Override PartName="/xl/drawings/drawing6.xml" ContentType="application/vnd.openxmlformats-officedocument.drawing+xml"/>
  <Override PartName="/xl/slicers/slicer4.xml" ContentType="application/vnd.ms-excel.slicer+xml"/>
  <Override PartName="/xl/pivotTables/pivotTable4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5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pivotTables/pivotTable6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cespedes\Desktop\"/>
    </mc:Choice>
  </mc:AlternateContent>
  <bookViews>
    <workbookView xWindow="0" yWindow="0" windowWidth="24000" windowHeight="9735" tabRatio="869" firstSheet="3" activeTab="17"/>
  </bookViews>
  <sheets>
    <sheet name="Datos_Personal" sheetId="1" state="hidden" r:id="rId1"/>
    <sheet name="Resumen" sheetId="31" r:id="rId2"/>
    <sheet name="Cuadro Rentabilidades" sheetId="79" r:id="rId3"/>
    <sheet name="Rentabilidad x Proy" sheetId="30" r:id="rId4"/>
    <sheet name="Manpower" sheetId="33" state="hidden" r:id="rId5"/>
    <sheet name="Ingresos x Proy - Mes" sheetId="29" r:id="rId6"/>
    <sheet name="Proyectos" sheetId="32" r:id="rId7"/>
    <sheet name="Hoja2" sheetId="82" state="hidden" r:id="rId8"/>
    <sheet name="Hoja1" sheetId="38" state="hidden" r:id="rId9"/>
    <sheet name="personal" sheetId="80" state="hidden" r:id="rId10"/>
    <sheet name="Terceros" sheetId="34" r:id="rId11"/>
    <sheet name="Datos" sheetId="17" r:id="rId12"/>
    <sheet name="tareo" sheetId="11" r:id="rId13"/>
    <sheet name="Distribucion_horas" sheetId="10" r:id="rId14"/>
    <sheet name="Reporte Junio" sheetId="18" state="hidden" r:id="rId15"/>
    <sheet name="Por Recurso" sheetId="14" r:id="rId16"/>
    <sheet name="Centro de costo" sheetId="27" state="hidden" r:id="rId17"/>
    <sheet name="Por Proyecto" sheetId="15" r:id="rId18"/>
    <sheet name="EQUIPOS" sheetId="19" r:id="rId19"/>
    <sheet name="BackCosto" sheetId="24" r:id="rId20"/>
    <sheet name="SEPTIEMBRE" sheetId="83" state="hidden" r:id="rId21"/>
    <sheet name="AGOSTO" sheetId="81" state="hidden" r:id="rId22"/>
    <sheet name="ENERO" sheetId="72" state="hidden" r:id="rId23"/>
    <sheet name="FEBRERO" sheetId="73" state="hidden" r:id="rId24"/>
    <sheet name="MARZO" sheetId="74" state="hidden" r:id="rId25"/>
    <sheet name="ABRIL" sheetId="75" state="hidden" r:id="rId26"/>
    <sheet name="MAYO" sheetId="76" state="hidden" r:id="rId27"/>
    <sheet name="JUNIO" sheetId="77" state="hidden" r:id="rId28"/>
    <sheet name="JULIO " sheetId="78" state="hidden" r:id="rId29"/>
    <sheet name="julio1" sheetId="23" state="hidden" r:id="rId30"/>
    <sheet name="Hoja3" sheetId="21" state="hidden" r:id="rId31"/>
    <sheet name="Reporte Giuliana I" sheetId="16" state="hidden" r:id="rId32"/>
    <sheet name="Back tareo" sheetId="9" state="hidden" r:id="rId33"/>
  </sheets>
  <externalReferences>
    <externalReference r:id="rId34"/>
  </externalReferences>
  <definedNames>
    <definedName name="_xlnm._FilterDatabase" localSheetId="32" hidden="1">'Back tareo'!$A$7:$AE$82</definedName>
    <definedName name="_xlnm._FilterDatabase" localSheetId="19" hidden="1">BackCosto!$B$2:$AO$237</definedName>
    <definedName name="_xlnm._FilterDatabase" localSheetId="0" hidden="1">Datos_Personal!$A$1:$C$40</definedName>
    <definedName name="_xlnm._FilterDatabase" localSheetId="5" hidden="1">'Ingresos x Proy - Mes'!$B$2:$U$41</definedName>
    <definedName name="_xlnm._FilterDatabase" localSheetId="6" hidden="1">Proyectos!$B$4:$N$42</definedName>
    <definedName name="_xlnm._FilterDatabase" localSheetId="31" hidden="1">'Reporte Giuliana I'!$A$1:$I$36</definedName>
    <definedName name="_xlnm._FilterDatabase" localSheetId="14" hidden="1">'Reporte Junio'!$B$4:$G$83</definedName>
    <definedName name="_xlnm._FilterDatabase" localSheetId="1" hidden="1">Resumen!$B$3:$L$41</definedName>
    <definedName name="_xlnm._FilterDatabase" localSheetId="12" hidden="1">tareo!$A$7:$AQ$245</definedName>
    <definedName name="_xlcn.WorksheetConnection_Tareo_Proyectos_2°trimestre.xlsmTabla11" hidden="1">Tabla1[]</definedName>
    <definedName name="_xlcn.WorksheetConnection_tareoC7V841" hidden="1">tareo!$D$7:$AM$242</definedName>
    <definedName name="COD_PROY">BackCosto!$D:$D</definedName>
    <definedName name="COD_PROY_ING">'Ingresos x Proy - Mes'!$B:$B</definedName>
    <definedName name="COD_PROY_MTZ">Proyectos!$B:$B</definedName>
    <definedName name="COD_PROY_SC">Terceros!$B:$B</definedName>
    <definedName name="COSTO_MO_ABR">ABRIL!$C:$C</definedName>
    <definedName name="COSTO_MO_AGOS">#REF!</definedName>
    <definedName name="COSTO_MO_DIC">#REF!</definedName>
    <definedName name="COSTO_MO_ENE">ENERO!$C:$C</definedName>
    <definedName name="COSTO_MO_FEB">FEBRERO!$C:$C</definedName>
    <definedName name="COSTO_MO_JUL">'JULIO '!$C:$C</definedName>
    <definedName name="COSTO_MO_JUN">JUNIO!$C:$C</definedName>
    <definedName name="COSTO_MO_MAR">MARZO!$C:$C</definedName>
    <definedName name="COSTO_MO_MAY">MAYO!$C:$C</definedName>
    <definedName name="COSTO_MO_NOV">#REF!</definedName>
    <definedName name="COSTO_MO_OCT">#REF!</definedName>
    <definedName name="COSTO_MO_SET">#REF!</definedName>
    <definedName name="GASTO_PRY">Proyectos!$H:$H</definedName>
    <definedName name="ING_17_ABR">'Ingresos x Proy - Mes'!$L:$L</definedName>
    <definedName name="ING_17_AGO">'Ingresos x Proy - Mes'!$P:$P</definedName>
    <definedName name="ING_17_DIC">'Ingresos x Proy - Mes'!$T:$T</definedName>
    <definedName name="ING_17_ENE">'Ingresos x Proy - Mes'!$I:$I</definedName>
    <definedName name="ING_17_FEB">'Ingresos x Proy - Mes'!$J:$J</definedName>
    <definedName name="ING_17_JUL">'Ingresos x Proy - Mes'!$O:$O</definedName>
    <definedName name="ING_17_JUN">'Ingresos x Proy - Mes'!$N:$N</definedName>
    <definedName name="ING_17_MAR">'Ingresos x Proy - Mes'!$K:$K</definedName>
    <definedName name="ING_17_MAY">'Ingresos x Proy - Mes'!$M:$M</definedName>
    <definedName name="ING_17_NOV">'Ingresos x Proy - Mes'!$S:$S</definedName>
    <definedName name="ING_17_OCT">'Ingresos x Proy - Mes'!$R:$R</definedName>
    <definedName name="ING_17_SEP">'Ingresos x Proy - Mes'!$Q:$Q</definedName>
    <definedName name="MATRIZ_ABRIL">ABRIL!$B$2:$C$57</definedName>
    <definedName name="MATRIZ_AGOSTO">AGOSTO!$B$2:$C$56</definedName>
    <definedName name="MATRIZ_ENERO">ENERO!$B$2:$C$64</definedName>
    <definedName name="MATRIZ_FEB">FEBRERO!$B$2:$C$62</definedName>
    <definedName name="MATRIZ_JUL">'JULIO '!$B$2:$C$53</definedName>
    <definedName name="MATRIZ_JUN">JUNIO!$B$2:$C$56</definedName>
    <definedName name="MATRIZ_MARZO">MARZO!$B$2:$C$62</definedName>
    <definedName name="MATRIZ_MAY">MAYO!$B$2:$C$57</definedName>
    <definedName name="MATRIZ_PROYECTOS">Proyectos!$B$5:$N$200</definedName>
    <definedName name="MATRIZ_SEPTIEM">SEPTIEMBRE!$B$2:$C$55</definedName>
    <definedName name="MO_17_ABR">BackCosto!$AG:$AG</definedName>
    <definedName name="MO_17_AGO">BackCosto!$AK:$AK</definedName>
    <definedName name="MO_17_DIC">BackCosto!$AO:$AO</definedName>
    <definedName name="MO_17_ENE">BackCosto!$AD:$AD</definedName>
    <definedName name="MO_17_FEB">BackCosto!$AE:$AE</definedName>
    <definedName name="MO_17_JUL">BackCosto!$AJ:$AJ</definedName>
    <definedName name="MO_17_JUN">BackCosto!$AI:$AI</definedName>
    <definedName name="MO_17_MAR">BackCosto!$AF:$AF</definedName>
    <definedName name="MO_17_MAY">BackCosto!$AH:$AH</definedName>
    <definedName name="MO_17_NOV">BackCosto!$AN:$AN</definedName>
    <definedName name="MO_17_OCT">BackCosto!$AM:$AM</definedName>
    <definedName name="MO_17_SEP">BackCosto!$AL:$AL</definedName>
    <definedName name="MO_ENE">ENERO!$C:$C</definedName>
    <definedName name="PEND_FACT">'Ingresos x Proy - Mes'!$U:$U</definedName>
    <definedName name="RECURSOS">BackCosto!$B:$B</definedName>
    <definedName name="RECURSOS_ABR">ABRIL!$B:$B</definedName>
    <definedName name="RECURSOS_ENE">ENERO!$B:$B</definedName>
    <definedName name="RECURSOS_FEB">FEBRERO!$B:$B</definedName>
    <definedName name="RECURSOS_JUL">'JULIO '!$B:$B</definedName>
    <definedName name="RECURSOS_JUN">JUNIO!$B:$B</definedName>
    <definedName name="RECURSOS_JUÑ">'JULIO '!$B:$B</definedName>
    <definedName name="RECURSOS_MAR">MARZO!$B:$B</definedName>
    <definedName name="RECURSOS_MAY">MAYO!$B:$B</definedName>
    <definedName name="SC_17_ABR">Terceros!$J:$J</definedName>
    <definedName name="SC_17_AGO">Terceros!$N:$N</definedName>
    <definedName name="SC_17_DIC">Terceros!$R:$R</definedName>
    <definedName name="SC_17_ENE">Terceros!$G:$G</definedName>
    <definedName name="SC_17_FEB">Terceros!$H:$H</definedName>
    <definedName name="SC_17_JUL">Terceros!$M:$M</definedName>
    <definedName name="SC_17_JUN">Terceros!$L:$L</definedName>
    <definedName name="SC_17_MAR">Terceros!$I:$I</definedName>
    <definedName name="SC_17_MAY">Terceros!$K:$K</definedName>
    <definedName name="SC_17_NOV">Terceros!$Q:$Q</definedName>
    <definedName name="SC_17_OCT">Terceros!$P:$P</definedName>
    <definedName name="SC_17_SET">Terceros!$O:$O</definedName>
    <definedName name="SegmentaciónDeDatos_CLIENTES">#N/A</definedName>
    <definedName name="SegmentaciónDeDatos_CLIENTES1">#N/A</definedName>
    <definedName name="SegmentaciónDeDatos_Clientes2">#N/A</definedName>
    <definedName name="SegmentaciónDeDatos_CLIENTES3">#N/A</definedName>
    <definedName name="SegmentaciónDeDatos_DESCRIPCION">#N/A</definedName>
    <definedName name="SegmentaciónDeDatos_EST._PROYECTO">#N/A</definedName>
    <definedName name="SegmentaciónDeDatos_ESTADO">#N/A</definedName>
    <definedName name="SegmentaciónDeDatos_ESTADO1">#N/A</definedName>
    <definedName name="SegmentaciónDeDatos_ESTADO2">#N/A</definedName>
    <definedName name="SegmentaciónDeDatos_OBSERVACIONES">#N/A</definedName>
    <definedName name="SegmentaciónDeDatos_PROYECTOS">#N/A</definedName>
    <definedName name="SegmentaciónDeDatos_RESPONSABLE">#N/A</definedName>
    <definedName name="SegmentaciónDeDatos_RESPONSABLE1">#N/A</definedName>
    <definedName name="SegmentaciónDeDatos_RESPONSABLE2">#N/A</definedName>
    <definedName name="TOTAL_HORAS">tareo!$B$7:$CD$242</definedName>
  </definedNames>
  <calcPr calcId="152511"/>
  <pivotCaches>
    <pivotCache cacheId="0" r:id="rId35"/>
    <pivotCache cacheId="1" r:id="rId36"/>
    <pivotCache cacheId="2" r:id="rId37"/>
    <pivotCache cacheId="361" r:id="rId38"/>
    <pivotCache cacheId="379" r:id="rId39"/>
  </pivotCaches>
  <extLst>
    <ext xmlns:x14="http://schemas.microsoft.com/office/spreadsheetml/2009/9/main" uri="{BBE1A952-AA13-448e-AADC-164F8A28A991}">
      <x14:slicerCaches>
        <x14:slicerCache r:id="rId40"/>
        <x14:slicerCache r:id="rId41"/>
        <x14:slicerCache r:id="rId42"/>
        <x14:slicerCache r:id="rId43"/>
        <x14:slicerCache r:id="rId44"/>
        <x14:slicerCache r:id="rId45"/>
        <x14:slicerCache r:id="rId46"/>
        <x14:slicerCache r:id="rId47"/>
        <x14:slicerCache r:id="rId48"/>
        <x14:slicerCache r:id="rId49"/>
        <x14:slicerCache r:id="rId50"/>
        <x14:slicerCache r:id="rId5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52"/>
        <x14:slicerCache r:id="rId53"/>
      </x15:slicerCach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1-2c382aff-26bd-4b5b-a5b5-432ab731b999" name="Tabla1" connection="WorksheetConnection_Tareo_Proyectos_2°trimestre.xlsm!Tabla1"/>
          <x15:modelTable id="Rango-05647858-b041-404a-8d69-734e98ab46a7" name="Rango" connection="WorksheetConnection_tareo!$C$7:$V$84"/>
        </x15:modelTables>
      </x15:dataModel>
    </ext>
  </extLst>
</workbook>
</file>

<file path=xl/calcChain.xml><?xml version="1.0" encoding="utf-8"?>
<calcChain xmlns="http://schemas.openxmlformats.org/spreadsheetml/2006/main">
  <c r="O239" i="24" l="1"/>
  <c r="L15" i="10" l="1"/>
  <c r="Z237" i="24"/>
  <c r="Y237" i="24"/>
  <c r="X237" i="24"/>
  <c r="W237" i="24"/>
  <c r="V237" i="24"/>
  <c r="U237" i="24"/>
  <c r="T237" i="24"/>
  <c r="S237" i="24"/>
  <c r="R237" i="24"/>
  <c r="AO237" i="24"/>
  <c r="AN237" i="24"/>
  <c r="BY207" i="11"/>
  <c r="CD207" i="11"/>
  <c r="CC207" i="11"/>
  <c r="CB207" i="11"/>
  <c r="CA207" i="11"/>
  <c r="BZ207" i="11"/>
  <c r="BX207" i="11"/>
  <c r="BW207" i="11"/>
  <c r="BV207" i="11"/>
  <c r="BU207" i="11"/>
  <c r="BT207" i="11"/>
  <c r="BS207" i="11"/>
  <c r="C207" i="11"/>
  <c r="B207" i="11" s="1"/>
  <c r="G207" i="11"/>
  <c r="CE207" i="11" l="1"/>
  <c r="D207" i="11"/>
  <c r="AO236" i="24" l="1"/>
  <c r="AN236" i="24"/>
  <c r="Z236" i="24"/>
  <c r="Y236" i="24"/>
  <c r="X236" i="24"/>
  <c r="W236" i="24"/>
  <c r="V236" i="24"/>
  <c r="U236" i="24"/>
  <c r="T236" i="24"/>
  <c r="S236" i="24"/>
  <c r="R236" i="24"/>
  <c r="BY240" i="11"/>
  <c r="BW240" i="11"/>
  <c r="CD240" i="11"/>
  <c r="CC240" i="11"/>
  <c r="CB240" i="11"/>
  <c r="CA240" i="11"/>
  <c r="BZ240" i="11"/>
  <c r="BX240" i="11"/>
  <c r="BV240" i="11"/>
  <c r="BU240" i="11"/>
  <c r="BT240" i="11"/>
  <c r="BS240" i="11"/>
  <c r="C240" i="11"/>
  <c r="D240" i="11" s="1"/>
  <c r="G240" i="11"/>
  <c r="Z234" i="24"/>
  <c r="Z235" i="24"/>
  <c r="Y234" i="24"/>
  <c r="Y235" i="24"/>
  <c r="X234" i="24"/>
  <c r="X235" i="24"/>
  <c r="W234" i="24"/>
  <c r="W235" i="24"/>
  <c r="V234" i="24"/>
  <c r="V235" i="24"/>
  <c r="U234" i="24"/>
  <c r="U235" i="24"/>
  <c r="T234" i="24"/>
  <c r="T235" i="24"/>
  <c r="S234" i="24"/>
  <c r="S235" i="24"/>
  <c r="R234" i="24"/>
  <c r="R235" i="24"/>
  <c r="AO235" i="24"/>
  <c r="AN235" i="24"/>
  <c r="AO234" i="24"/>
  <c r="AN234" i="24"/>
  <c r="BY201" i="11"/>
  <c r="BY200" i="11"/>
  <c r="CD201" i="11"/>
  <c r="CC201" i="11"/>
  <c r="CB201" i="11"/>
  <c r="CA201" i="11"/>
  <c r="BZ201" i="11"/>
  <c r="BX201" i="11"/>
  <c r="BW201" i="11"/>
  <c r="BV201" i="11"/>
  <c r="BU201" i="11"/>
  <c r="BT201" i="11"/>
  <c r="BS201" i="11"/>
  <c r="C201" i="11"/>
  <c r="D201" i="11" s="1"/>
  <c r="G201" i="11"/>
  <c r="CD200" i="11"/>
  <c r="CC200" i="11"/>
  <c r="CB200" i="11"/>
  <c r="CA200" i="11"/>
  <c r="BZ200" i="11"/>
  <c r="BX200" i="11"/>
  <c r="BW200" i="11"/>
  <c r="BV200" i="11"/>
  <c r="BU200" i="11"/>
  <c r="BT200" i="11"/>
  <c r="BS200" i="11"/>
  <c r="C200" i="11"/>
  <c r="D200" i="11" s="1"/>
  <c r="F200" i="11"/>
  <c r="B240" i="11" l="1"/>
  <c r="CE240" i="11"/>
  <c r="CE201" i="11"/>
  <c r="CE200" i="11"/>
  <c r="B201" i="11"/>
  <c r="B200" i="11"/>
  <c r="H9" i="31" l="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8" i="31"/>
  <c r="H42" i="31" l="1"/>
  <c r="H41" i="31"/>
  <c r="Z233" i="24"/>
  <c r="Y233" i="24"/>
  <c r="X233" i="24"/>
  <c r="W233" i="24"/>
  <c r="V233" i="24"/>
  <c r="U233" i="24"/>
  <c r="T233" i="24"/>
  <c r="S233" i="24"/>
  <c r="R233" i="24"/>
  <c r="AO233" i="24"/>
  <c r="AN233" i="24"/>
  <c r="BY199" i="11" l="1"/>
  <c r="BY238" i="11" l="1"/>
  <c r="CD238" i="11"/>
  <c r="CC238" i="11"/>
  <c r="CB238" i="11"/>
  <c r="CA238" i="11"/>
  <c r="BZ238" i="11"/>
  <c r="BX238" i="11"/>
  <c r="BW238" i="11"/>
  <c r="BV238" i="11"/>
  <c r="BU238" i="11"/>
  <c r="BT238" i="11"/>
  <c r="BS238" i="11"/>
  <c r="C238" i="11"/>
  <c r="D238" i="11" s="1"/>
  <c r="F238" i="11"/>
  <c r="AO232" i="24"/>
  <c r="AN232" i="24"/>
  <c r="Z232" i="24"/>
  <c r="Y232" i="24"/>
  <c r="X232" i="24"/>
  <c r="W232" i="24"/>
  <c r="V232" i="24"/>
  <c r="U232" i="24"/>
  <c r="T232" i="24"/>
  <c r="S232" i="24"/>
  <c r="R232" i="24"/>
  <c r="BY224" i="11"/>
  <c r="CD224" i="11"/>
  <c r="CC224" i="11"/>
  <c r="CB224" i="11"/>
  <c r="CA224" i="11"/>
  <c r="BZ224" i="11"/>
  <c r="BX224" i="11"/>
  <c r="BW224" i="11"/>
  <c r="BV224" i="11"/>
  <c r="BU224" i="11"/>
  <c r="BT224" i="11"/>
  <c r="BS224" i="11"/>
  <c r="C224" i="11"/>
  <c r="D224" i="11" s="1"/>
  <c r="F224" i="11"/>
  <c r="AO231" i="24"/>
  <c r="AN231" i="24"/>
  <c r="Z231" i="24"/>
  <c r="Y231" i="24"/>
  <c r="X231" i="24"/>
  <c r="W231" i="24"/>
  <c r="V231" i="24"/>
  <c r="U231" i="24"/>
  <c r="T231" i="24"/>
  <c r="S231" i="24"/>
  <c r="R231" i="24"/>
  <c r="BY230" i="11"/>
  <c r="CD230" i="11"/>
  <c r="CC230" i="11"/>
  <c r="CB230" i="11"/>
  <c r="CA230" i="11"/>
  <c r="BZ230" i="11"/>
  <c r="BX230" i="11"/>
  <c r="BW230" i="11"/>
  <c r="BV230" i="11"/>
  <c r="BU230" i="11"/>
  <c r="BT230" i="11"/>
  <c r="BS230" i="11"/>
  <c r="C230" i="11"/>
  <c r="D230" i="11" s="1"/>
  <c r="G230" i="11"/>
  <c r="B238" i="11" l="1"/>
  <c r="CE238" i="11"/>
  <c r="B224" i="11"/>
  <c r="CE224" i="11"/>
  <c r="B230" i="11"/>
  <c r="Z230" i="24" l="1"/>
  <c r="Y230" i="24"/>
  <c r="X230" i="24"/>
  <c r="W230" i="24"/>
  <c r="V230" i="24"/>
  <c r="U230" i="24"/>
  <c r="T230" i="24"/>
  <c r="S230" i="24"/>
  <c r="R230" i="24"/>
  <c r="AO230" i="24"/>
  <c r="AN230" i="24"/>
  <c r="CD199" i="11"/>
  <c r="CC199" i="11"/>
  <c r="CB199" i="11"/>
  <c r="CA199" i="11"/>
  <c r="BZ199" i="11"/>
  <c r="BX199" i="11"/>
  <c r="BW199" i="11"/>
  <c r="BV199" i="11"/>
  <c r="BU199" i="11"/>
  <c r="BT199" i="11"/>
  <c r="BS199" i="11"/>
  <c r="C199" i="11"/>
  <c r="B199" i="11" s="1"/>
  <c r="F199" i="11"/>
  <c r="CE199" i="11" l="1"/>
  <c r="D199" i="11"/>
  <c r="G24" i="30" l="1"/>
  <c r="Z4" i="24" l="1"/>
  <c r="Z5" i="24"/>
  <c r="Z6" i="24"/>
  <c r="Z7" i="24"/>
  <c r="Z8" i="24"/>
  <c r="Z9" i="24"/>
  <c r="Z10" i="24"/>
  <c r="Z11" i="24"/>
  <c r="Z12" i="24"/>
  <c r="Z13" i="24"/>
  <c r="Z14" i="24"/>
  <c r="Z15" i="24"/>
  <c r="Z16" i="24"/>
  <c r="Z17" i="24"/>
  <c r="Z18" i="24"/>
  <c r="Z19" i="24"/>
  <c r="Z20" i="24"/>
  <c r="Z21" i="24"/>
  <c r="Z22" i="24"/>
  <c r="Z23" i="24"/>
  <c r="Z24" i="24"/>
  <c r="Z25" i="24"/>
  <c r="Z26" i="24"/>
  <c r="Z27" i="24"/>
  <c r="Z28" i="24"/>
  <c r="Z29" i="24"/>
  <c r="Z30" i="24"/>
  <c r="Z31" i="24"/>
  <c r="Z32" i="24"/>
  <c r="Z33" i="24"/>
  <c r="Z34" i="24"/>
  <c r="Z35" i="24"/>
  <c r="Z36" i="24"/>
  <c r="Z37" i="24"/>
  <c r="Z38" i="24"/>
  <c r="Z39" i="24"/>
  <c r="Z40" i="24"/>
  <c r="Z41" i="24"/>
  <c r="Z42" i="24"/>
  <c r="Z43" i="24"/>
  <c r="Z44" i="24"/>
  <c r="Z45" i="24"/>
  <c r="Z46" i="24"/>
  <c r="Z47" i="24"/>
  <c r="Z48" i="24"/>
  <c r="Z49" i="24"/>
  <c r="Z50" i="24"/>
  <c r="Z51" i="24"/>
  <c r="Z52" i="24"/>
  <c r="Z53" i="24"/>
  <c r="Z54" i="24"/>
  <c r="Z55" i="24"/>
  <c r="Z56" i="24"/>
  <c r="Z57" i="24"/>
  <c r="Z58" i="24"/>
  <c r="Z59" i="24"/>
  <c r="Z60" i="24"/>
  <c r="Z61" i="24"/>
  <c r="Z62" i="24"/>
  <c r="Z63" i="24"/>
  <c r="Z64" i="24"/>
  <c r="Z65" i="24"/>
  <c r="Z66" i="24"/>
  <c r="Z67" i="24"/>
  <c r="Z68" i="24"/>
  <c r="Z69" i="24"/>
  <c r="Z70" i="24"/>
  <c r="Z71" i="24"/>
  <c r="Z72" i="24"/>
  <c r="Z73" i="24"/>
  <c r="Z74" i="24"/>
  <c r="Z75" i="24"/>
  <c r="Z76" i="24"/>
  <c r="Z77" i="24"/>
  <c r="Z78" i="24"/>
  <c r="Z79" i="24"/>
  <c r="Z80" i="24"/>
  <c r="Z81" i="24"/>
  <c r="Z82" i="24"/>
  <c r="Z83" i="24"/>
  <c r="Z84" i="24"/>
  <c r="Z85" i="24"/>
  <c r="Z86" i="24"/>
  <c r="Z87" i="24"/>
  <c r="Z88" i="24"/>
  <c r="Z89" i="24"/>
  <c r="Z90" i="24"/>
  <c r="Z91" i="24"/>
  <c r="Z92" i="24"/>
  <c r="Z93" i="24"/>
  <c r="Z94" i="24"/>
  <c r="Z95" i="24"/>
  <c r="Z96" i="24"/>
  <c r="Z97" i="24"/>
  <c r="Z98" i="24"/>
  <c r="Z99" i="24"/>
  <c r="Z100" i="24"/>
  <c r="Z101" i="24"/>
  <c r="Z102" i="24"/>
  <c r="Z103" i="24"/>
  <c r="Z104" i="24"/>
  <c r="Z105" i="24"/>
  <c r="Z106" i="24"/>
  <c r="Z107" i="24"/>
  <c r="Z108" i="24"/>
  <c r="Z109" i="24"/>
  <c r="Z110" i="24"/>
  <c r="Z111" i="24"/>
  <c r="Z112" i="24"/>
  <c r="Z113" i="24"/>
  <c r="Z114" i="24"/>
  <c r="Z115" i="24"/>
  <c r="Z116" i="24"/>
  <c r="Z117" i="24"/>
  <c r="Z118" i="24"/>
  <c r="Z119" i="24"/>
  <c r="Z120" i="24"/>
  <c r="Z121" i="24"/>
  <c r="Z122" i="24"/>
  <c r="Z123" i="24"/>
  <c r="Z124" i="24"/>
  <c r="Z125" i="24"/>
  <c r="Z126" i="24"/>
  <c r="Z127" i="24"/>
  <c r="Z128" i="24"/>
  <c r="Z129" i="24"/>
  <c r="Z130" i="24"/>
  <c r="Z131" i="24"/>
  <c r="Z132" i="24"/>
  <c r="Z133" i="24"/>
  <c r="Z134" i="24"/>
  <c r="Z135" i="24"/>
  <c r="Z136" i="24"/>
  <c r="Z137" i="24"/>
  <c r="Z138" i="24"/>
  <c r="Z139" i="24"/>
  <c r="Z140" i="24"/>
  <c r="Z141" i="24"/>
  <c r="Z142" i="24"/>
  <c r="Z143" i="24"/>
  <c r="Z144" i="24"/>
  <c r="Z145" i="24"/>
  <c r="Z146" i="24"/>
  <c r="Z147" i="24"/>
  <c r="Z148" i="24"/>
  <c r="Z149" i="24"/>
  <c r="Z150" i="24"/>
  <c r="Z151" i="24"/>
  <c r="Z152" i="24"/>
  <c r="Z153" i="24"/>
  <c r="Z154" i="24"/>
  <c r="Z155" i="24"/>
  <c r="Z156" i="24"/>
  <c r="Z157" i="24"/>
  <c r="Z158" i="24"/>
  <c r="Z159" i="24"/>
  <c r="Z160" i="24"/>
  <c r="Z161" i="24"/>
  <c r="Z162" i="24"/>
  <c r="Z163" i="24"/>
  <c r="Z164" i="24"/>
  <c r="Z165" i="24"/>
  <c r="Z166" i="24"/>
  <c r="Z167" i="24"/>
  <c r="Z168" i="24"/>
  <c r="Z169" i="24"/>
  <c r="Z170" i="24"/>
  <c r="Z171" i="24"/>
  <c r="Z172" i="24"/>
  <c r="Z173" i="24"/>
  <c r="Z174" i="24"/>
  <c r="Z175" i="24"/>
  <c r="Z176" i="24"/>
  <c r="Z177" i="24"/>
  <c r="Z178" i="24"/>
  <c r="Z179" i="24"/>
  <c r="Z180" i="24"/>
  <c r="Z181" i="24"/>
  <c r="Z182" i="24"/>
  <c r="Z183" i="24"/>
  <c r="Z184" i="24"/>
  <c r="Z185" i="24"/>
  <c r="Z186" i="24"/>
  <c r="Z187" i="24"/>
  <c r="Z188" i="24"/>
  <c r="Z189" i="24"/>
  <c r="Z190" i="24"/>
  <c r="Z191" i="24"/>
  <c r="Z192" i="24"/>
  <c r="Z193" i="24"/>
  <c r="Z194" i="24"/>
  <c r="Z195" i="24"/>
  <c r="Z196" i="24"/>
  <c r="Z197" i="24"/>
  <c r="Z198" i="24"/>
  <c r="Z199" i="24"/>
  <c r="Z200" i="24"/>
  <c r="Z201" i="24"/>
  <c r="Z202" i="24"/>
  <c r="Z203" i="24"/>
  <c r="Z204" i="24"/>
  <c r="Z205" i="24"/>
  <c r="Z206" i="24"/>
  <c r="Z207" i="24"/>
  <c r="Z208" i="24"/>
  <c r="Z209" i="24"/>
  <c r="Z210" i="24"/>
  <c r="Z211" i="24"/>
  <c r="Z212" i="24"/>
  <c r="Z213" i="24"/>
  <c r="Z214" i="24"/>
  <c r="Z215" i="24"/>
  <c r="Z216" i="24"/>
  <c r="Z217" i="24"/>
  <c r="Z218" i="24"/>
  <c r="Z219" i="24"/>
  <c r="Z220" i="24"/>
  <c r="Z221" i="24"/>
  <c r="Z222" i="24"/>
  <c r="Z223" i="24"/>
  <c r="Z224" i="24"/>
  <c r="Z225" i="24"/>
  <c r="Z226" i="24"/>
  <c r="Z227" i="24"/>
  <c r="Z228" i="24"/>
  <c r="Z229" i="24"/>
  <c r="Z3" i="24"/>
  <c r="Z240" i="24" l="1"/>
  <c r="G236" i="11"/>
  <c r="AO229" i="24" l="1"/>
  <c r="AN229" i="24"/>
  <c r="Y229" i="24"/>
  <c r="X229" i="24"/>
  <c r="W229" i="24"/>
  <c r="V229" i="24"/>
  <c r="U229" i="24"/>
  <c r="T229" i="24"/>
  <c r="S229" i="24"/>
  <c r="R229" i="24"/>
  <c r="BY170" i="11"/>
  <c r="CD170" i="11"/>
  <c r="CC170" i="11"/>
  <c r="CB170" i="11"/>
  <c r="CA170" i="11"/>
  <c r="BZ170" i="11"/>
  <c r="BX170" i="11"/>
  <c r="BW170" i="11"/>
  <c r="BV170" i="11"/>
  <c r="BU170" i="11"/>
  <c r="BT170" i="11"/>
  <c r="BS170" i="11"/>
  <c r="C170" i="11"/>
  <c r="B170" i="11" s="1"/>
  <c r="G170" i="11"/>
  <c r="CE170" i="11" l="1"/>
  <c r="D170" i="11"/>
  <c r="AO228" i="24" l="1"/>
  <c r="AN228" i="24"/>
  <c r="AO227" i="24"/>
  <c r="AN227" i="24"/>
  <c r="Y227" i="24"/>
  <c r="Y228" i="24"/>
  <c r="X227" i="24"/>
  <c r="X228" i="24"/>
  <c r="W227" i="24"/>
  <c r="W228" i="24"/>
  <c r="V227" i="24"/>
  <c r="V228" i="24"/>
  <c r="U227" i="24"/>
  <c r="U228" i="24"/>
  <c r="T227" i="24"/>
  <c r="T228" i="24"/>
  <c r="S227" i="24"/>
  <c r="S228" i="24"/>
  <c r="R227" i="24"/>
  <c r="R228" i="24"/>
  <c r="G223" i="11"/>
  <c r="BY222" i="11"/>
  <c r="BX222" i="11"/>
  <c r="BW222" i="11"/>
  <c r="BV222" i="11"/>
  <c r="BU222" i="11"/>
  <c r="BT222" i="11"/>
  <c r="BS222" i="11"/>
  <c r="CD222" i="11"/>
  <c r="CC222" i="11"/>
  <c r="CB222" i="11"/>
  <c r="CA222" i="11"/>
  <c r="BZ222" i="11"/>
  <c r="C222" i="11"/>
  <c r="D222" i="11" s="1"/>
  <c r="F222" i="11"/>
  <c r="BY223" i="11"/>
  <c r="BX223" i="11"/>
  <c r="BW223" i="11"/>
  <c r="BV223" i="11"/>
  <c r="BU223" i="11"/>
  <c r="BT223" i="11"/>
  <c r="BS223" i="11"/>
  <c r="CD223" i="11"/>
  <c r="CC223" i="11"/>
  <c r="CB223" i="11"/>
  <c r="CA223" i="11"/>
  <c r="BZ223" i="11"/>
  <c r="C223" i="11"/>
  <c r="D223" i="11" s="1"/>
  <c r="B223" i="11" l="1"/>
  <c r="CE222" i="11"/>
  <c r="CE223" i="11"/>
  <c r="B222" i="11"/>
  <c r="BY196" i="11" l="1"/>
  <c r="AO226" i="24" l="1"/>
  <c r="AN226" i="24"/>
  <c r="Y226" i="24"/>
  <c r="X226" i="24"/>
  <c r="W226" i="24"/>
  <c r="V226" i="24"/>
  <c r="U226" i="24"/>
  <c r="T226" i="24"/>
  <c r="S226" i="24"/>
  <c r="R226" i="24"/>
  <c r="AO225" i="24" l="1"/>
  <c r="AN225" i="24"/>
  <c r="Y225" i="24"/>
  <c r="X225" i="24"/>
  <c r="W225" i="24"/>
  <c r="V225" i="24"/>
  <c r="U225" i="24"/>
  <c r="T225" i="24"/>
  <c r="S225" i="24"/>
  <c r="R225" i="24"/>
  <c r="BY104" i="11" l="1"/>
  <c r="CD104" i="11"/>
  <c r="CC104" i="11"/>
  <c r="CB104" i="11"/>
  <c r="CA104" i="11"/>
  <c r="BZ104" i="11"/>
  <c r="BX104" i="11"/>
  <c r="BW104" i="11"/>
  <c r="BV104" i="11"/>
  <c r="BU104" i="11"/>
  <c r="BT104" i="11"/>
  <c r="BS104" i="11"/>
  <c r="C104" i="11"/>
  <c r="B104" i="11" s="1"/>
  <c r="G104" i="11"/>
  <c r="CE104" i="11" l="1"/>
  <c r="D104" i="11"/>
  <c r="CD234" i="11"/>
  <c r="CC234" i="11"/>
  <c r="CB234" i="11"/>
  <c r="CA234" i="11"/>
  <c r="BZ234" i="11"/>
  <c r="BY234" i="11"/>
  <c r="BX234" i="11"/>
  <c r="BW234" i="11"/>
  <c r="BV234" i="11"/>
  <c r="BU234" i="11"/>
  <c r="BT234" i="11"/>
  <c r="BS234" i="11"/>
  <c r="C234" i="11"/>
  <c r="D234" i="11" s="1"/>
  <c r="F234" i="11"/>
  <c r="CE234" i="11" l="1"/>
  <c r="B234" i="11"/>
  <c r="AO224" i="24" l="1"/>
  <c r="AN224" i="24"/>
  <c r="Y224" i="24"/>
  <c r="X224" i="24"/>
  <c r="W224" i="24"/>
  <c r="V224" i="24"/>
  <c r="U224" i="24"/>
  <c r="T224" i="24"/>
  <c r="S224" i="24"/>
  <c r="R224" i="24"/>
  <c r="CA8" i="9" l="1"/>
  <c r="I36" i="16"/>
  <c r="I35" i="16"/>
  <c r="I34" i="16"/>
  <c r="I33" i="16"/>
  <c r="I32" i="16"/>
  <c r="I31" i="16"/>
  <c r="I30" i="16"/>
  <c r="I29" i="16"/>
  <c r="I28" i="16"/>
  <c r="I27" i="16"/>
  <c r="I26" i="16"/>
  <c r="I25" i="16"/>
  <c r="I24" i="16"/>
  <c r="I23" i="16"/>
  <c r="I22" i="16"/>
  <c r="I21" i="16"/>
  <c r="I20" i="16"/>
  <c r="I19" i="16"/>
  <c r="I18" i="16"/>
  <c r="I17" i="16"/>
  <c r="I16" i="16"/>
  <c r="I15" i="16"/>
  <c r="I14" i="16"/>
  <c r="I13" i="16"/>
  <c r="I12" i="16"/>
  <c r="I11" i="16"/>
  <c r="I10" i="16"/>
  <c r="I9" i="16"/>
  <c r="I8" i="16"/>
  <c r="I7" i="16"/>
  <c r="I6" i="16"/>
  <c r="I5" i="16"/>
  <c r="I4" i="16"/>
  <c r="I3" i="16"/>
  <c r="I2" i="16"/>
  <c r="J17" i="21"/>
  <c r="I17" i="21"/>
  <c r="J15" i="21"/>
  <c r="J13" i="21"/>
  <c r="H13" i="21"/>
  <c r="J9" i="21"/>
  <c r="I9" i="21"/>
  <c r="G5" i="21"/>
  <c r="L56" i="23"/>
  <c r="L55" i="23"/>
  <c r="L54" i="23"/>
  <c r="M47" i="23"/>
  <c r="L47" i="23"/>
  <c r="K47" i="23"/>
  <c r="J47" i="23"/>
  <c r="I47" i="23"/>
  <c r="H47" i="23"/>
  <c r="M46" i="23"/>
  <c r="I46" i="23"/>
  <c r="H46" i="23"/>
  <c r="M45" i="23"/>
  <c r="I45" i="23"/>
  <c r="H45" i="23"/>
  <c r="M44" i="23"/>
  <c r="I44" i="23"/>
  <c r="H44" i="23"/>
  <c r="M43" i="23"/>
  <c r="I43" i="23"/>
  <c r="H43" i="23"/>
  <c r="M42" i="23"/>
  <c r="I42" i="23"/>
  <c r="H42" i="23"/>
  <c r="M41" i="23"/>
  <c r="I41" i="23"/>
  <c r="H41" i="23"/>
  <c r="M40" i="23"/>
  <c r="I40" i="23"/>
  <c r="H40" i="23"/>
  <c r="M39" i="23"/>
  <c r="I39" i="23"/>
  <c r="H39" i="23"/>
  <c r="M38" i="23"/>
  <c r="I38" i="23"/>
  <c r="H38" i="23"/>
  <c r="M37" i="23"/>
  <c r="I37" i="23"/>
  <c r="H37" i="23"/>
  <c r="M36" i="23"/>
  <c r="I36" i="23"/>
  <c r="H36" i="23"/>
  <c r="M35" i="23"/>
  <c r="I35" i="23"/>
  <c r="H35" i="23"/>
  <c r="M34" i="23"/>
  <c r="I34" i="23"/>
  <c r="H34" i="23"/>
  <c r="M33" i="23"/>
  <c r="I33" i="23"/>
  <c r="H33" i="23"/>
  <c r="M32" i="23"/>
  <c r="I32" i="23"/>
  <c r="H32" i="23"/>
  <c r="M31" i="23"/>
  <c r="I31" i="23"/>
  <c r="H31" i="23"/>
  <c r="M30" i="23"/>
  <c r="I30" i="23"/>
  <c r="H30" i="23"/>
  <c r="M29" i="23"/>
  <c r="I29" i="23"/>
  <c r="H29" i="23"/>
  <c r="M28" i="23"/>
  <c r="I28" i="23"/>
  <c r="H28" i="23"/>
  <c r="M27" i="23"/>
  <c r="I27" i="23"/>
  <c r="H27" i="23"/>
  <c r="M26" i="23"/>
  <c r="I26" i="23"/>
  <c r="H26" i="23"/>
  <c r="M25" i="23"/>
  <c r="I25" i="23"/>
  <c r="H25" i="23"/>
  <c r="M24" i="23"/>
  <c r="I24" i="23"/>
  <c r="H24" i="23"/>
  <c r="M23" i="23"/>
  <c r="I23" i="23"/>
  <c r="H23" i="23"/>
  <c r="M22" i="23"/>
  <c r="I22" i="23"/>
  <c r="H22" i="23"/>
  <c r="M21" i="23"/>
  <c r="I21" i="23"/>
  <c r="H21" i="23"/>
  <c r="M20" i="23"/>
  <c r="I20" i="23"/>
  <c r="H20" i="23"/>
  <c r="M19" i="23"/>
  <c r="I19" i="23"/>
  <c r="H19" i="23"/>
  <c r="M18" i="23"/>
  <c r="I18" i="23"/>
  <c r="H18" i="23"/>
  <c r="M17" i="23"/>
  <c r="I17" i="23"/>
  <c r="H17" i="23"/>
  <c r="M16" i="23"/>
  <c r="I16" i="23"/>
  <c r="H16" i="23"/>
  <c r="M15" i="23"/>
  <c r="I15" i="23"/>
  <c r="H15" i="23"/>
  <c r="M14" i="23"/>
  <c r="I14" i="23"/>
  <c r="H14" i="23"/>
  <c r="M13" i="23"/>
  <c r="I13" i="23"/>
  <c r="H13" i="23"/>
  <c r="M12" i="23"/>
  <c r="H12" i="23"/>
  <c r="M11" i="23"/>
  <c r="I11" i="23"/>
  <c r="H11" i="23"/>
  <c r="M10" i="23"/>
  <c r="I10" i="23"/>
  <c r="H10" i="23"/>
  <c r="M9" i="23"/>
  <c r="I9" i="23"/>
  <c r="H9" i="23"/>
  <c r="M8" i="23"/>
  <c r="I8" i="23"/>
  <c r="H8" i="23"/>
  <c r="M7" i="23"/>
  <c r="I7" i="23"/>
  <c r="H7" i="23"/>
  <c r="M6" i="23"/>
  <c r="I6" i="23"/>
  <c r="H6" i="23"/>
  <c r="M5" i="23"/>
  <c r="I5" i="23"/>
  <c r="H5" i="23"/>
  <c r="M4" i="23"/>
  <c r="I4" i="23"/>
  <c r="H4" i="23"/>
  <c r="AO223" i="24"/>
  <c r="AN223" i="24"/>
  <c r="Y223" i="24"/>
  <c r="X223" i="24"/>
  <c r="W223" i="24"/>
  <c r="V223" i="24"/>
  <c r="U223" i="24"/>
  <c r="T223" i="24"/>
  <c r="S223" i="24"/>
  <c r="R223" i="24"/>
  <c r="AO222" i="24"/>
  <c r="AN222" i="24"/>
  <c r="Y222" i="24"/>
  <c r="X222" i="24"/>
  <c r="W222" i="24"/>
  <c r="V222" i="24"/>
  <c r="U222" i="24"/>
  <c r="T222" i="24"/>
  <c r="S222" i="24"/>
  <c r="R222" i="24"/>
  <c r="AO221" i="24"/>
  <c r="AN221" i="24"/>
  <c r="Y221" i="24"/>
  <c r="X221" i="24"/>
  <c r="W221" i="24"/>
  <c r="V221" i="24"/>
  <c r="U221" i="24"/>
  <c r="T221" i="24"/>
  <c r="S221" i="24"/>
  <c r="R221" i="24"/>
  <c r="AO220" i="24"/>
  <c r="AN220" i="24"/>
  <c r="Y220" i="24"/>
  <c r="X220" i="24"/>
  <c r="W220" i="24"/>
  <c r="V220" i="24"/>
  <c r="U220" i="24"/>
  <c r="T220" i="24"/>
  <c r="S220" i="24"/>
  <c r="R220" i="24"/>
  <c r="AO219" i="24"/>
  <c r="AN219" i="24"/>
  <c r="Y219" i="24"/>
  <c r="X219" i="24"/>
  <c r="W219" i="24"/>
  <c r="V219" i="24"/>
  <c r="U219" i="24"/>
  <c r="T219" i="24"/>
  <c r="S219" i="24"/>
  <c r="R219" i="24"/>
  <c r="AO218" i="24"/>
  <c r="AN218" i="24"/>
  <c r="Y218" i="24"/>
  <c r="X218" i="24"/>
  <c r="W218" i="24"/>
  <c r="V218" i="24"/>
  <c r="U218" i="24"/>
  <c r="T218" i="24"/>
  <c r="S218" i="24"/>
  <c r="R218" i="24"/>
  <c r="AO217" i="24"/>
  <c r="AN217" i="24"/>
  <c r="Y217" i="24"/>
  <c r="X217" i="24"/>
  <c r="W217" i="24"/>
  <c r="V217" i="24"/>
  <c r="U217" i="24"/>
  <c r="T217" i="24"/>
  <c r="S217" i="24"/>
  <c r="R217" i="24"/>
  <c r="AO216" i="24"/>
  <c r="AN216" i="24"/>
  <c r="Y216" i="24"/>
  <c r="X216" i="24"/>
  <c r="W216" i="24"/>
  <c r="V216" i="24"/>
  <c r="U216" i="24"/>
  <c r="T216" i="24"/>
  <c r="S216" i="24"/>
  <c r="R216" i="24"/>
  <c r="AO215" i="24"/>
  <c r="AN215" i="24"/>
  <c r="Y215" i="24"/>
  <c r="X215" i="24"/>
  <c r="W215" i="24"/>
  <c r="V215" i="24"/>
  <c r="U215" i="24"/>
  <c r="T215" i="24"/>
  <c r="S215" i="24"/>
  <c r="R215" i="24"/>
  <c r="AO214" i="24"/>
  <c r="AN214" i="24"/>
  <c r="Y214" i="24"/>
  <c r="X214" i="24"/>
  <c r="W214" i="24"/>
  <c r="V214" i="24"/>
  <c r="U214" i="24"/>
  <c r="T214" i="24"/>
  <c r="S214" i="24"/>
  <c r="R214" i="24"/>
  <c r="AO213" i="24"/>
  <c r="AN213" i="24"/>
  <c r="Y213" i="24"/>
  <c r="X213" i="24"/>
  <c r="W213" i="24"/>
  <c r="V213" i="24"/>
  <c r="U213" i="24"/>
  <c r="T213" i="24"/>
  <c r="S213" i="24"/>
  <c r="R213" i="24"/>
  <c r="AO212" i="24"/>
  <c r="AN212" i="24"/>
  <c r="Y212" i="24"/>
  <c r="X212" i="24"/>
  <c r="W212" i="24"/>
  <c r="V212" i="24"/>
  <c r="U212" i="24"/>
  <c r="T212" i="24"/>
  <c r="S212" i="24"/>
  <c r="R212" i="24"/>
  <c r="AO211" i="24"/>
  <c r="AN211" i="24"/>
  <c r="Y211" i="24"/>
  <c r="X211" i="24"/>
  <c r="W211" i="24"/>
  <c r="V211" i="24"/>
  <c r="U211" i="24"/>
  <c r="T211" i="24"/>
  <c r="S211" i="24"/>
  <c r="R211" i="24"/>
  <c r="AO210" i="24"/>
  <c r="AN210" i="24"/>
  <c r="Y210" i="24"/>
  <c r="X210" i="24"/>
  <c r="W210" i="24"/>
  <c r="V210" i="24"/>
  <c r="U210" i="24"/>
  <c r="T210" i="24"/>
  <c r="S210" i="24"/>
  <c r="R210" i="24"/>
  <c r="AO209" i="24"/>
  <c r="AN209" i="24"/>
  <c r="Y209" i="24"/>
  <c r="X209" i="24"/>
  <c r="W209" i="24"/>
  <c r="V209" i="24"/>
  <c r="U209" i="24"/>
  <c r="T209" i="24"/>
  <c r="S209" i="24"/>
  <c r="R209" i="24"/>
  <c r="AO208" i="24"/>
  <c r="AN208" i="24"/>
  <c r="Y208" i="24"/>
  <c r="X208" i="24"/>
  <c r="W208" i="24"/>
  <c r="V208" i="24"/>
  <c r="U208" i="24"/>
  <c r="T208" i="24"/>
  <c r="S208" i="24"/>
  <c r="R208" i="24"/>
  <c r="AO207" i="24"/>
  <c r="AN207" i="24"/>
  <c r="Y207" i="24"/>
  <c r="X207" i="24"/>
  <c r="W207" i="24"/>
  <c r="V207" i="24"/>
  <c r="U207" i="24"/>
  <c r="T207" i="24"/>
  <c r="S207" i="24"/>
  <c r="R207" i="24"/>
  <c r="AO206" i="24"/>
  <c r="AN206" i="24"/>
  <c r="Y206" i="24"/>
  <c r="X206" i="24"/>
  <c r="W206" i="24"/>
  <c r="V206" i="24"/>
  <c r="U206" i="24"/>
  <c r="T206" i="24"/>
  <c r="S206" i="24"/>
  <c r="R206" i="24"/>
  <c r="AO205" i="24"/>
  <c r="AN205" i="24"/>
  <c r="Y205" i="24"/>
  <c r="X205" i="24"/>
  <c r="W205" i="24"/>
  <c r="V205" i="24"/>
  <c r="U205" i="24"/>
  <c r="T205" i="24"/>
  <c r="S205" i="24"/>
  <c r="R205" i="24"/>
  <c r="AO204" i="24"/>
  <c r="AN204" i="24"/>
  <c r="Y204" i="24"/>
  <c r="X204" i="24"/>
  <c r="W204" i="24"/>
  <c r="V204" i="24"/>
  <c r="U204" i="24"/>
  <c r="T204" i="24"/>
  <c r="S204" i="24"/>
  <c r="R204" i="24"/>
  <c r="AO203" i="24"/>
  <c r="AN203" i="24"/>
  <c r="Y203" i="24"/>
  <c r="X203" i="24"/>
  <c r="W203" i="24"/>
  <c r="V203" i="24"/>
  <c r="U203" i="24"/>
  <c r="T203" i="24"/>
  <c r="S203" i="24"/>
  <c r="R203" i="24"/>
  <c r="AO202" i="24"/>
  <c r="AN202" i="24"/>
  <c r="Y202" i="24"/>
  <c r="X202" i="24"/>
  <c r="W202" i="24"/>
  <c r="V202" i="24"/>
  <c r="U202" i="24"/>
  <c r="T202" i="24"/>
  <c r="S202" i="24"/>
  <c r="R202" i="24"/>
  <c r="AO201" i="24"/>
  <c r="AN201" i="24"/>
  <c r="Y201" i="24"/>
  <c r="X201" i="24"/>
  <c r="W201" i="24"/>
  <c r="V201" i="24"/>
  <c r="U201" i="24"/>
  <c r="T201" i="24"/>
  <c r="S201" i="24"/>
  <c r="R201" i="24"/>
  <c r="AO200" i="24"/>
  <c r="AN200" i="24"/>
  <c r="Y200" i="24"/>
  <c r="X200" i="24"/>
  <c r="W200" i="24"/>
  <c r="V200" i="24"/>
  <c r="U200" i="24"/>
  <c r="T200" i="24"/>
  <c r="S200" i="24"/>
  <c r="R200" i="24"/>
  <c r="AO199" i="24"/>
  <c r="AN199" i="24"/>
  <c r="Y199" i="24"/>
  <c r="X199" i="24"/>
  <c r="W199" i="24"/>
  <c r="V199" i="24"/>
  <c r="U199" i="24"/>
  <c r="T199" i="24"/>
  <c r="S199" i="24"/>
  <c r="R199" i="24"/>
  <c r="AO198" i="24"/>
  <c r="AN198" i="24"/>
  <c r="Y198" i="24"/>
  <c r="X198" i="24"/>
  <c r="W198" i="24"/>
  <c r="V198" i="24"/>
  <c r="U198" i="24"/>
  <c r="T198" i="24"/>
  <c r="S198" i="24"/>
  <c r="R198" i="24"/>
  <c r="AO197" i="24"/>
  <c r="AN197" i="24"/>
  <c r="Y197" i="24"/>
  <c r="X197" i="24"/>
  <c r="W197" i="24"/>
  <c r="V197" i="24"/>
  <c r="U197" i="24"/>
  <c r="T197" i="24"/>
  <c r="S197" i="24"/>
  <c r="R197" i="24"/>
  <c r="AO196" i="24"/>
  <c r="AN196" i="24"/>
  <c r="Y196" i="24"/>
  <c r="X196" i="24"/>
  <c r="W196" i="24"/>
  <c r="V196" i="24"/>
  <c r="U196" i="24"/>
  <c r="T196" i="24"/>
  <c r="S196" i="24"/>
  <c r="R196" i="24"/>
  <c r="AO195" i="24"/>
  <c r="AN195" i="24"/>
  <c r="Y195" i="24"/>
  <c r="X195" i="24"/>
  <c r="W195" i="24"/>
  <c r="V195" i="24"/>
  <c r="U195" i="24"/>
  <c r="T195" i="24"/>
  <c r="S195" i="24"/>
  <c r="R195" i="24"/>
  <c r="AO194" i="24"/>
  <c r="AN194" i="24"/>
  <c r="Y194" i="24"/>
  <c r="X194" i="24"/>
  <c r="W194" i="24"/>
  <c r="V194" i="24"/>
  <c r="U194" i="24"/>
  <c r="T194" i="24"/>
  <c r="S194" i="24"/>
  <c r="R194" i="24"/>
  <c r="AO193" i="24"/>
  <c r="AN193" i="24"/>
  <c r="Y193" i="24"/>
  <c r="X193" i="24"/>
  <c r="W193" i="24"/>
  <c r="V193" i="24"/>
  <c r="U193" i="24"/>
  <c r="T193" i="24"/>
  <c r="S193" i="24"/>
  <c r="R193" i="24"/>
  <c r="AO192" i="24"/>
  <c r="AN192" i="24"/>
  <c r="Y192" i="24"/>
  <c r="X192" i="24"/>
  <c r="W192" i="24"/>
  <c r="V192" i="24"/>
  <c r="U192" i="24"/>
  <c r="T192" i="24"/>
  <c r="S192" i="24"/>
  <c r="R192" i="24"/>
  <c r="AO191" i="24"/>
  <c r="AN191" i="24"/>
  <c r="Y191" i="24"/>
  <c r="X191" i="24"/>
  <c r="W191" i="24"/>
  <c r="V191" i="24"/>
  <c r="U191" i="24"/>
  <c r="T191" i="24"/>
  <c r="S191" i="24"/>
  <c r="R191" i="24"/>
  <c r="AO190" i="24"/>
  <c r="AN190" i="24"/>
  <c r="Y190" i="24"/>
  <c r="X190" i="24"/>
  <c r="W190" i="24"/>
  <c r="V190" i="24"/>
  <c r="U190" i="24"/>
  <c r="T190" i="24"/>
  <c r="S190" i="24"/>
  <c r="R190" i="24"/>
  <c r="AO189" i="24"/>
  <c r="AN189" i="24"/>
  <c r="Y189" i="24"/>
  <c r="X189" i="24"/>
  <c r="W189" i="24"/>
  <c r="V189" i="24"/>
  <c r="U189" i="24"/>
  <c r="T189" i="24"/>
  <c r="S189" i="24"/>
  <c r="R189" i="24"/>
  <c r="AO188" i="24"/>
  <c r="AN188" i="24"/>
  <c r="Y188" i="24"/>
  <c r="X188" i="24"/>
  <c r="W188" i="24"/>
  <c r="V188" i="24"/>
  <c r="U188" i="24"/>
  <c r="T188" i="24"/>
  <c r="S188" i="24"/>
  <c r="R188" i="24"/>
  <c r="AO187" i="24"/>
  <c r="AN187" i="24"/>
  <c r="Y187" i="24"/>
  <c r="X187" i="24"/>
  <c r="W187" i="24"/>
  <c r="V187" i="24"/>
  <c r="U187" i="24"/>
  <c r="T187" i="24"/>
  <c r="S187" i="24"/>
  <c r="R187" i="24"/>
  <c r="AO186" i="24"/>
  <c r="AN186" i="24"/>
  <c r="Y186" i="24"/>
  <c r="X186" i="24"/>
  <c r="W186" i="24"/>
  <c r="V186" i="24"/>
  <c r="U186" i="24"/>
  <c r="T186" i="24"/>
  <c r="S186" i="24"/>
  <c r="R186" i="24"/>
  <c r="AO185" i="24"/>
  <c r="AN185" i="24"/>
  <c r="Y185" i="24"/>
  <c r="X185" i="24"/>
  <c r="W185" i="24"/>
  <c r="V185" i="24"/>
  <c r="U185" i="24"/>
  <c r="T185" i="24"/>
  <c r="S185" i="24"/>
  <c r="R185" i="24"/>
  <c r="AO184" i="24"/>
  <c r="AN184" i="24"/>
  <c r="Y184" i="24"/>
  <c r="X184" i="24"/>
  <c r="W184" i="24"/>
  <c r="V184" i="24"/>
  <c r="U184" i="24"/>
  <c r="T184" i="24"/>
  <c r="S184" i="24"/>
  <c r="R184" i="24"/>
  <c r="AO183" i="24"/>
  <c r="AN183" i="24"/>
  <c r="Y183" i="24"/>
  <c r="X183" i="24"/>
  <c r="W183" i="24"/>
  <c r="V183" i="24"/>
  <c r="U183" i="24"/>
  <c r="T183" i="24"/>
  <c r="S183" i="24"/>
  <c r="R183" i="24"/>
  <c r="AO182" i="24"/>
  <c r="AN182" i="24"/>
  <c r="Y182" i="24"/>
  <c r="X182" i="24"/>
  <c r="W182" i="24"/>
  <c r="V182" i="24"/>
  <c r="U182" i="24"/>
  <c r="T182" i="24"/>
  <c r="S182" i="24"/>
  <c r="R182" i="24"/>
  <c r="AO181" i="24"/>
  <c r="AN181" i="24"/>
  <c r="Y181" i="24"/>
  <c r="X181" i="24"/>
  <c r="W181" i="24"/>
  <c r="V181" i="24"/>
  <c r="U181" i="24"/>
  <c r="T181" i="24"/>
  <c r="S181" i="24"/>
  <c r="R181" i="24"/>
  <c r="AO180" i="24"/>
  <c r="AN180" i="24"/>
  <c r="Y180" i="24"/>
  <c r="X180" i="24"/>
  <c r="W180" i="24"/>
  <c r="V180" i="24"/>
  <c r="U180" i="24"/>
  <c r="T180" i="24"/>
  <c r="S180" i="24"/>
  <c r="R180" i="24"/>
  <c r="AO179" i="24"/>
  <c r="AN179" i="24"/>
  <c r="Y179" i="24"/>
  <c r="X179" i="24"/>
  <c r="W179" i="24"/>
  <c r="V179" i="24"/>
  <c r="U179" i="24"/>
  <c r="T179" i="24"/>
  <c r="S179" i="24"/>
  <c r="R179" i="24"/>
  <c r="AO178" i="24"/>
  <c r="AN178" i="24"/>
  <c r="Y178" i="24"/>
  <c r="X178" i="24"/>
  <c r="W178" i="24"/>
  <c r="V178" i="24"/>
  <c r="U178" i="24"/>
  <c r="T178" i="24"/>
  <c r="S178" i="24"/>
  <c r="R178" i="24"/>
  <c r="AO177" i="24"/>
  <c r="AN177" i="24"/>
  <c r="Y177" i="24"/>
  <c r="X177" i="24"/>
  <c r="W177" i="24"/>
  <c r="V177" i="24"/>
  <c r="U177" i="24"/>
  <c r="T177" i="24"/>
  <c r="S177" i="24"/>
  <c r="R177" i="24"/>
  <c r="AO176" i="24"/>
  <c r="AN176" i="24"/>
  <c r="Y176" i="24"/>
  <c r="X176" i="24"/>
  <c r="W176" i="24"/>
  <c r="V176" i="24"/>
  <c r="U176" i="24"/>
  <c r="T176" i="24"/>
  <c r="S176" i="24"/>
  <c r="R176" i="24"/>
  <c r="AO175" i="24"/>
  <c r="AN175" i="24"/>
  <c r="Y175" i="24"/>
  <c r="X175" i="24"/>
  <c r="W175" i="24"/>
  <c r="V175" i="24"/>
  <c r="U175" i="24"/>
  <c r="T175" i="24"/>
  <c r="S175" i="24"/>
  <c r="R175" i="24"/>
  <c r="AO174" i="24"/>
  <c r="AN174" i="24"/>
  <c r="Y174" i="24"/>
  <c r="X174" i="24"/>
  <c r="W174" i="24"/>
  <c r="V174" i="24"/>
  <c r="U174" i="24"/>
  <c r="T174" i="24"/>
  <c r="S174" i="24"/>
  <c r="R174" i="24"/>
  <c r="AO173" i="24"/>
  <c r="AN173" i="24"/>
  <c r="Y173" i="24"/>
  <c r="X173" i="24"/>
  <c r="W173" i="24"/>
  <c r="V173" i="24"/>
  <c r="U173" i="24"/>
  <c r="T173" i="24"/>
  <c r="S173" i="24"/>
  <c r="R173" i="24"/>
  <c r="AO172" i="24"/>
  <c r="AN172" i="24"/>
  <c r="Y172" i="24"/>
  <c r="X172" i="24"/>
  <c r="W172" i="24"/>
  <c r="V172" i="24"/>
  <c r="U172" i="24"/>
  <c r="T172" i="24"/>
  <c r="S172" i="24"/>
  <c r="R172" i="24"/>
  <c r="AO171" i="24"/>
  <c r="AN171" i="24"/>
  <c r="Y171" i="24"/>
  <c r="X171" i="24"/>
  <c r="W171" i="24"/>
  <c r="V171" i="24"/>
  <c r="U171" i="24"/>
  <c r="T171" i="24"/>
  <c r="S171" i="24"/>
  <c r="R171" i="24"/>
  <c r="AO170" i="24"/>
  <c r="AN170" i="24"/>
  <c r="Y170" i="24"/>
  <c r="X170" i="24"/>
  <c r="W170" i="24"/>
  <c r="V170" i="24"/>
  <c r="U170" i="24"/>
  <c r="T170" i="24"/>
  <c r="S170" i="24"/>
  <c r="R170" i="24"/>
  <c r="AO169" i="24"/>
  <c r="AN169" i="24"/>
  <c r="Y169" i="24"/>
  <c r="X169" i="24"/>
  <c r="W169" i="24"/>
  <c r="V169" i="24"/>
  <c r="U169" i="24"/>
  <c r="T169" i="24"/>
  <c r="S169" i="24"/>
  <c r="R169" i="24"/>
  <c r="AO168" i="24"/>
  <c r="AN168" i="24"/>
  <c r="Y168" i="24"/>
  <c r="X168" i="24"/>
  <c r="W168" i="24"/>
  <c r="V168" i="24"/>
  <c r="U168" i="24"/>
  <c r="T168" i="24"/>
  <c r="S168" i="24"/>
  <c r="R168" i="24"/>
  <c r="AO167" i="24"/>
  <c r="AN167" i="24"/>
  <c r="Y167" i="24"/>
  <c r="X167" i="24"/>
  <c r="W167" i="24"/>
  <c r="V167" i="24"/>
  <c r="U167" i="24"/>
  <c r="T167" i="24"/>
  <c r="S167" i="24"/>
  <c r="R167" i="24"/>
  <c r="AO166" i="24"/>
  <c r="AN166" i="24"/>
  <c r="Y166" i="24"/>
  <c r="X166" i="24"/>
  <c r="W166" i="24"/>
  <c r="V166" i="24"/>
  <c r="U166" i="24"/>
  <c r="T166" i="24"/>
  <c r="S166" i="24"/>
  <c r="R166" i="24"/>
  <c r="AO165" i="24"/>
  <c r="AN165" i="24"/>
  <c r="Y165" i="24"/>
  <c r="X165" i="24"/>
  <c r="W165" i="24"/>
  <c r="V165" i="24"/>
  <c r="U165" i="24"/>
  <c r="T165" i="24"/>
  <c r="S165" i="24"/>
  <c r="R165" i="24"/>
  <c r="AO164" i="24"/>
  <c r="AN164" i="24"/>
  <c r="Y164" i="24"/>
  <c r="X164" i="24"/>
  <c r="W164" i="24"/>
  <c r="V164" i="24"/>
  <c r="U164" i="24"/>
  <c r="T164" i="24"/>
  <c r="S164" i="24"/>
  <c r="R164" i="24"/>
  <c r="AO163" i="24"/>
  <c r="AN163" i="24"/>
  <c r="Y163" i="24"/>
  <c r="X163" i="24"/>
  <c r="W163" i="24"/>
  <c r="V163" i="24"/>
  <c r="U163" i="24"/>
  <c r="T163" i="24"/>
  <c r="S163" i="24"/>
  <c r="R163" i="24"/>
  <c r="AO162" i="24"/>
  <c r="AN162" i="24"/>
  <c r="Y162" i="24"/>
  <c r="X162" i="24"/>
  <c r="W162" i="24"/>
  <c r="V162" i="24"/>
  <c r="U162" i="24"/>
  <c r="T162" i="24"/>
  <c r="S162" i="24"/>
  <c r="R162" i="24"/>
  <c r="AO161" i="24"/>
  <c r="AN161" i="24"/>
  <c r="Y161" i="24"/>
  <c r="X161" i="24"/>
  <c r="W161" i="24"/>
  <c r="V161" i="24"/>
  <c r="U161" i="24"/>
  <c r="T161" i="24"/>
  <c r="S161" i="24"/>
  <c r="R161" i="24"/>
  <c r="AO160" i="24"/>
  <c r="AN160" i="24"/>
  <c r="Y160" i="24"/>
  <c r="X160" i="24"/>
  <c r="W160" i="24"/>
  <c r="V160" i="24"/>
  <c r="U160" i="24"/>
  <c r="T160" i="24"/>
  <c r="S160" i="24"/>
  <c r="R160" i="24"/>
  <c r="AO159" i="24"/>
  <c r="AN159" i="24"/>
  <c r="Y159" i="24"/>
  <c r="X159" i="24"/>
  <c r="W159" i="24"/>
  <c r="V159" i="24"/>
  <c r="U159" i="24"/>
  <c r="T159" i="24"/>
  <c r="S159" i="24"/>
  <c r="R159" i="24"/>
  <c r="AO158" i="24"/>
  <c r="AN158" i="24"/>
  <c r="Y158" i="24"/>
  <c r="X158" i="24"/>
  <c r="W158" i="24"/>
  <c r="V158" i="24"/>
  <c r="U158" i="24"/>
  <c r="T158" i="24"/>
  <c r="S158" i="24"/>
  <c r="R158" i="24"/>
  <c r="AO157" i="24"/>
  <c r="AN157" i="24"/>
  <c r="Y157" i="24"/>
  <c r="X157" i="24"/>
  <c r="W157" i="24"/>
  <c r="V157" i="24"/>
  <c r="U157" i="24"/>
  <c r="T157" i="24"/>
  <c r="S157" i="24"/>
  <c r="R157" i="24"/>
  <c r="AO156" i="24"/>
  <c r="AN156" i="24"/>
  <c r="Y156" i="24"/>
  <c r="X156" i="24"/>
  <c r="W156" i="24"/>
  <c r="V156" i="24"/>
  <c r="U156" i="24"/>
  <c r="T156" i="24"/>
  <c r="S156" i="24"/>
  <c r="R156" i="24"/>
  <c r="AO155" i="24"/>
  <c r="AN155" i="24"/>
  <c r="Y155" i="24"/>
  <c r="X155" i="24"/>
  <c r="W155" i="24"/>
  <c r="V155" i="24"/>
  <c r="U155" i="24"/>
  <c r="T155" i="24"/>
  <c r="S155" i="24"/>
  <c r="R155" i="24"/>
  <c r="AO154" i="24"/>
  <c r="AN154" i="24"/>
  <c r="Y154" i="24"/>
  <c r="X154" i="24"/>
  <c r="W154" i="24"/>
  <c r="V154" i="24"/>
  <c r="U154" i="24"/>
  <c r="T154" i="24"/>
  <c r="S154" i="24"/>
  <c r="R154" i="24"/>
  <c r="AO153" i="24"/>
  <c r="AN153" i="24"/>
  <c r="Y153" i="24"/>
  <c r="X153" i="24"/>
  <c r="W153" i="24"/>
  <c r="V153" i="24"/>
  <c r="U153" i="24"/>
  <c r="T153" i="24"/>
  <c r="S153" i="24"/>
  <c r="R153" i="24"/>
  <c r="AO152" i="24"/>
  <c r="AN152" i="24"/>
  <c r="Y152" i="24"/>
  <c r="X152" i="24"/>
  <c r="W152" i="24"/>
  <c r="V152" i="24"/>
  <c r="U152" i="24"/>
  <c r="T152" i="24"/>
  <c r="S152" i="24"/>
  <c r="R152" i="24"/>
  <c r="AO151" i="24"/>
  <c r="AN151" i="24"/>
  <c r="Y151" i="24"/>
  <c r="X151" i="24"/>
  <c r="W151" i="24"/>
  <c r="V151" i="24"/>
  <c r="U151" i="24"/>
  <c r="T151" i="24"/>
  <c r="S151" i="24"/>
  <c r="R151" i="24"/>
  <c r="AO150" i="24"/>
  <c r="AN150" i="24"/>
  <c r="Y150" i="24"/>
  <c r="X150" i="24"/>
  <c r="W150" i="24"/>
  <c r="V150" i="24"/>
  <c r="U150" i="24"/>
  <c r="T150" i="24"/>
  <c r="S150" i="24"/>
  <c r="R150" i="24"/>
  <c r="AO149" i="24"/>
  <c r="AN149" i="24"/>
  <c r="Y149" i="24"/>
  <c r="X149" i="24"/>
  <c r="W149" i="24"/>
  <c r="V149" i="24"/>
  <c r="U149" i="24"/>
  <c r="T149" i="24"/>
  <c r="S149" i="24"/>
  <c r="R149" i="24"/>
  <c r="AO148" i="24"/>
  <c r="AN148" i="24"/>
  <c r="Y148" i="24"/>
  <c r="X148" i="24"/>
  <c r="W148" i="24"/>
  <c r="V148" i="24"/>
  <c r="U148" i="24"/>
  <c r="T148" i="24"/>
  <c r="S148" i="24"/>
  <c r="R148" i="24"/>
  <c r="AO147" i="24"/>
  <c r="AN147" i="24"/>
  <c r="Y147" i="24"/>
  <c r="X147" i="24"/>
  <c r="W147" i="24"/>
  <c r="V147" i="24"/>
  <c r="U147" i="24"/>
  <c r="T147" i="24"/>
  <c r="S147" i="24"/>
  <c r="R147" i="24"/>
  <c r="AO146" i="24"/>
  <c r="AN146" i="24"/>
  <c r="Y146" i="24"/>
  <c r="X146" i="24"/>
  <c r="W146" i="24"/>
  <c r="V146" i="24"/>
  <c r="U146" i="24"/>
  <c r="T146" i="24"/>
  <c r="S146" i="24"/>
  <c r="R146" i="24"/>
  <c r="AO145" i="24"/>
  <c r="AN145" i="24"/>
  <c r="Y145" i="24"/>
  <c r="X145" i="24"/>
  <c r="W145" i="24"/>
  <c r="V145" i="24"/>
  <c r="U145" i="24"/>
  <c r="T145" i="24"/>
  <c r="S145" i="24"/>
  <c r="R145" i="24"/>
  <c r="AO144" i="24"/>
  <c r="AN144" i="24"/>
  <c r="Y144" i="24"/>
  <c r="X144" i="24"/>
  <c r="W144" i="24"/>
  <c r="V144" i="24"/>
  <c r="U144" i="24"/>
  <c r="T144" i="24"/>
  <c r="S144" i="24"/>
  <c r="R144" i="24"/>
  <c r="AO143" i="24"/>
  <c r="AN143" i="24"/>
  <c r="Y143" i="24"/>
  <c r="X143" i="24"/>
  <c r="W143" i="24"/>
  <c r="V143" i="24"/>
  <c r="U143" i="24"/>
  <c r="T143" i="24"/>
  <c r="S143" i="24"/>
  <c r="R143" i="24"/>
  <c r="AO142" i="24"/>
  <c r="AN142" i="24"/>
  <c r="Y142" i="24"/>
  <c r="X142" i="24"/>
  <c r="W142" i="24"/>
  <c r="V142" i="24"/>
  <c r="U142" i="24"/>
  <c r="T142" i="24"/>
  <c r="S142" i="24"/>
  <c r="R142" i="24"/>
  <c r="AO141" i="24"/>
  <c r="AN141" i="24"/>
  <c r="Y141" i="24"/>
  <c r="X141" i="24"/>
  <c r="W141" i="24"/>
  <c r="V141" i="24"/>
  <c r="U141" i="24"/>
  <c r="T141" i="24"/>
  <c r="S141" i="24"/>
  <c r="R141" i="24"/>
  <c r="AO140" i="24"/>
  <c r="AN140" i="24"/>
  <c r="Y140" i="24"/>
  <c r="X140" i="24"/>
  <c r="W140" i="24"/>
  <c r="V140" i="24"/>
  <c r="U140" i="24"/>
  <c r="T140" i="24"/>
  <c r="S140" i="24"/>
  <c r="R140" i="24"/>
  <c r="AO139" i="24"/>
  <c r="AN139" i="24"/>
  <c r="Y139" i="24"/>
  <c r="X139" i="24"/>
  <c r="W139" i="24"/>
  <c r="V139" i="24"/>
  <c r="U139" i="24"/>
  <c r="T139" i="24"/>
  <c r="S139" i="24"/>
  <c r="R139" i="24"/>
  <c r="AO138" i="24"/>
  <c r="AN138" i="24"/>
  <c r="Y138" i="24"/>
  <c r="X138" i="24"/>
  <c r="W138" i="24"/>
  <c r="V138" i="24"/>
  <c r="U138" i="24"/>
  <c r="T138" i="24"/>
  <c r="S138" i="24"/>
  <c r="R138" i="24"/>
  <c r="AO137" i="24"/>
  <c r="AN137" i="24"/>
  <c r="Y137" i="24"/>
  <c r="X137" i="24"/>
  <c r="W137" i="24"/>
  <c r="V137" i="24"/>
  <c r="U137" i="24"/>
  <c r="T137" i="24"/>
  <c r="S137" i="24"/>
  <c r="R137" i="24"/>
  <c r="AO136" i="24"/>
  <c r="AN136" i="24"/>
  <c r="Y136" i="24"/>
  <c r="X136" i="24"/>
  <c r="W136" i="24"/>
  <c r="V136" i="24"/>
  <c r="U136" i="24"/>
  <c r="T136" i="24"/>
  <c r="S136" i="24"/>
  <c r="R136" i="24"/>
  <c r="AO135" i="24"/>
  <c r="AN135" i="24"/>
  <c r="Y135" i="24"/>
  <c r="X135" i="24"/>
  <c r="W135" i="24"/>
  <c r="V135" i="24"/>
  <c r="U135" i="24"/>
  <c r="T135" i="24"/>
  <c r="S135" i="24"/>
  <c r="R135" i="24"/>
  <c r="AO134" i="24"/>
  <c r="AN134" i="24"/>
  <c r="Y134" i="24"/>
  <c r="X134" i="24"/>
  <c r="W134" i="24"/>
  <c r="V134" i="24"/>
  <c r="U134" i="24"/>
  <c r="T134" i="24"/>
  <c r="S134" i="24"/>
  <c r="R134" i="24"/>
  <c r="AO133" i="24"/>
  <c r="AN133" i="24"/>
  <c r="Y133" i="24"/>
  <c r="X133" i="24"/>
  <c r="W133" i="24"/>
  <c r="V133" i="24"/>
  <c r="U133" i="24"/>
  <c r="T133" i="24"/>
  <c r="S133" i="24"/>
  <c r="R133" i="24"/>
  <c r="AO132" i="24"/>
  <c r="AN132" i="24"/>
  <c r="Y132" i="24"/>
  <c r="X132" i="24"/>
  <c r="W132" i="24"/>
  <c r="V132" i="24"/>
  <c r="U132" i="24"/>
  <c r="T132" i="24"/>
  <c r="S132" i="24"/>
  <c r="R132" i="24"/>
  <c r="AO131" i="24"/>
  <c r="AN131" i="24"/>
  <c r="Y131" i="24"/>
  <c r="X131" i="24"/>
  <c r="W131" i="24"/>
  <c r="V131" i="24"/>
  <c r="U131" i="24"/>
  <c r="T131" i="24"/>
  <c r="S131" i="24"/>
  <c r="R131" i="24"/>
  <c r="AO130" i="24"/>
  <c r="AN130" i="24"/>
  <c r="Y130" i="24"/>
  <c r="X130" i="24"/>
  <c r="W130" i="24"/>
  <c r="V130" i="24"/>
  <c r="U130" i="24"/>
  <c r="T130" i="24"/>
  <c r="S130" i="24"/>
  <c r="R130" i="24"/>
  <c r="AO129" i="24"/>
  <c r="AN129" i="24"/>
  <c r="Y129" i="24"/>
  <c r="X129" i="24"/>
  <c r="W129" i="24"/>
  <c r="V129" i="24"/>
  <c r="U129" i="24"/>
  <c r="T129" i="24"/>
  <c r="S129" i="24"/>
  <c r="R129" i="24"/>
  <c r="AO128" i="24"/>
  <c r="AN128" i="24"/>
  <c r="Y128" i="24"/>
  <c r="X128" i="24"/>
  <c r="W128" i="24"/>
  <c r="V128" i="24"/>
  <c r="U128" i="24"/>
  <c r="T128" i="24"/>
  <c r="S128" i="24"/>
  <c r="R128" i="24"/>
  <c r="AO127" i="24"/>
  <c r="AN127" i="24"/>
  <c r="Y127" i="24"/>
  <c r="X127" i="24"/>
  <c r="W127" i="24"/>
  <c r="V127" i="24"/>
  <c r="U127" i="24"/>
  <c r="T127" i="24"/>
  <c r="S127" i="24"/>
  <c r="R127" i="24"/>
  <c r="AO126" i="24"/>
  <c r="AN126" i="24"/>
  <c r="Y126" i="24"/>
  <c r="X126" i="24"/>
  <c r="W126" i="24"/>
  <c r="V126" i="24"/>
  <c r="U126" i="24"/>
  <c r="T126" i="24"/>
  <c r="S126" i="24"/>
  <c r="R126" i="24"/>
  <c r="AO125" i="24"/>
  <c r="AN125" i="24"/>
  <c r="Y125" i="24"/>
  <c r="X125" i="24"/>
  <c r="W125" i="24"/>
  <c r="V125" i="24"/>
  <c r="U125" i="24"/>
  <c r="T125" i="24"/>
  <c r="S125" i="24"/>
  <c r="R125" i="24"/>
  <c r="AO124" i="24"/>
  <c r="AN124" i="24"/>
  <c r="Y124" i="24"/>
  <c r="X124" i="24"/>
  <c r="W124" i="24"/>
  <c r="V124" i="24"/>
  <c r="U124" i="24"/>
  <c r="T124" i="24"/>
  <c r="S124" i="24"/>
  <c r="R124" i="24"/>
  <c r="AO123" i="24"/>
  <c r="AN123" i="24"/>
  <c r="Y123" i="24"/>
  <c r="X123" i="24"/>
  <c r="W123" i="24"/>
  <c r="V123" i="24"/>
  <c r="U123" i="24"/>
  <c r="T123" i="24"/>
  <c r="S123" i="24"/>
  <c r="R123" i="24"/>
  <c r="AO122" i="24"/>
  <c r="AN122" i="24"/>
  <c r="Y122" i="24"/>
  <c r="X122" i="24"/>
  <c r="W122" i="24"/>
  <c r="V122" i="24"/>
  <c r="U122" i="24"/>
  <c r="T122" i="24"/>
  <c r="S122" i="24"/>
  <c r="R122" i="24"/>
  <c r="AO121" i="24"/>
  <c r="AN121" i="24"/>
  <c r="Y121" i="24"/>
  <c r="X121" i="24"/>
  <c r="W121" i="24"/>
  <c r="V121" i="24"/>
  <c r="U121" i="24"/>
  <c r="T121" i="24"/>
  <c r="S121" i="24"/>
  <c r="R121" i="24"/>
  <c r="AO120" i="24"/>
  <c r="AN120" i="24"/>
  <c r="Y120" i="24"/>
  <c r="X120" i="24"/>
  <c r="W120" i="24"/>
  <c r="V120" i="24"/>
  <c r="U120" i="24"/>
  <c r="T120" i="24"/>
  <c r="S120" i="24"/>
  <c r="R120" i="24"/>
  <c r="AO119" i="24"/>
  <c r="AN119" i="24"/>
  <c r="Y119" i="24"/>
  <c r="X119" i="24"/>
  <c r="W119" i="24"/>
  <c r="V119" i="24"/>
  <c r="U119" i="24"/>
  <c r="T119" i="24"/>
  <c r="S119" i="24"/>
  <c r="R119" i="24"/>
  <c r="AO118" i="24"/>
  <c r="AN118" i="24"/>
  <c r="Y118" i="24"/>
  <c r="X118" i="24"/>
  <c r="W118" i="24"/>
  <c r="V118" i="24"/>
  <c r="U118" i="24"/>
  <c r="T118" i="24"/>
  <c r="S118" i="24"/>
  <c r="R118" i="24"/>
  <c r="AO117" i="24"/>
  <c r="AN117" i="24"/>
  <c r="Y117" i="24"/>
  <c r="X117" i="24"/>
  <c r="W117" i="24"/>
  <c r="V117" i="24"/>
  <c r="U117" i="24"/>
  <c r="T117" i="24"/>
  <c r="S117" i="24"/>
  <c r="R117" i="24"/>
  <c r="AO116" i="24"/>
  <c r="AN116" i="24"/>
  <c r="Y116" i="24"/>
  <c r="X116" i="24"/>
  <c r="W116" i="24"/>
  <c r="V116" i="24"/>
  <c r="U116" i="24"/>
  <c r="T116" i="24"/>
  <c r="S116" i="24"/>
  <c r="R116" i="24"/>
  <c r="AO115" i="24"/>
  <c r="AN115" i="24"/>
  <c r="Y115" i="24"/>
  <c r="X115" i="24"/>
  <c r="W115" i="24"/>
  <c r="V115" i="24"/>
  <c r="U115" i="24"/>
  <c r="T115" i="24"/>
  <c r="S115" i="24"/>
  <c r="R115" i="24"/>
  <c r="AO114" i="24"/>
  <c r="AN114" i="24"/>
  <c r="Y114" i="24"/>
  <c r="X114" i="24"/>
  <c r="W114" i="24"/>
  <c r="V114" i="24"/>
  <c r="U114" i="24"/>
  <c r="T114" i="24"/>
  <c r="S114" i="24"/>
  <c r="R114" i="24"/>
  <c r="AO113" i="24"/>
  <c r="AN113" i="24"/>
  <c r="Y113" i="24"/>
  <c r="X113" i="24"/>
  <c r="W113" i="24"/>
  <c r="V113" i="24"/>
  <c r="U113" i="24"/>
  <c r="T113" i="24"/>
  <c r="S113" i="24"/>
  <c r="R113" i="24"/>
  <c r="AO112" i="24"/>
  <c r="AN112" i="24"/>
  <c r="Y112" i="24"/>
  <c r="X112" i="24"/>
  <c r="W112" i="24"/>
  <c r="V112" i="24"/>
  <c r="U112" i="24"/>
  <c r="T112" i="24"/>
  <c r="S112" i="24"/>
  <c r="R112" i="24"/>
  <c r="AO111" i="24"/>
  <c r="AN111" i="24"/>
  <c r="Y111" i="24"/>
  <c r="X111" i="24"/>
  <c r="W111" i="24"/>
  <c r="V111" i="24"/>
  <c r="U111" i="24"/>
  <c r="T111" i="24"/>
  <c r="S111" i="24"/>
  <c r="R111" i="24"/>
  <c r="AO110" i="24"/>
  <c r="AN110" i="24"/>
  <c r="Y110" i="24"/>
  <c r="X110" i="24"/>
  <c r="W110" i="24"/>
  <c r="V110" i="24"/>
  <c r="U110" i="24"/>
  <c r="T110" i="24"/>
  <c r="S110" i="24"/>
  <c r="R110" i="24"/>
  <c r="AO109" i="24"/>
  <c r="AN109" i="24"/>
  <c r="Y109" i="24"/>
  <c r="X109" i="24"/>
  <c r="W109" i="24"/>
  <c r="V109" i="24"/>
  <c r="U109" i="24"/>
  <c r="T109" i="24"/>
  <c r="S109" i="24"/>
  <c r="R109" i="24"/>
  <c r="AO108" i="24"/>
  <c r="AN108" i="24"/>
  <c r="Y108" i="24"/>
  <c r="X108" i="24"/>
  <c r="W108" i="24"/>
  <c r="V108" i="24"/>
  <c r="U108" i="24"/>
  <c r="T108" i="24"/>
  <c r="S108" i="24"/>
  <c r="R108" i="24"/>
  <c r="AO107" i="24"/>
  <c r="AN107" i="24"/>
  <c r="Y107" i="24"/>
  <c r="X107" i="24"/>
  <c r="W107" i="24"/>
  <c r="V107" i="24"/>
  <c r="U107" i="24"/>
  <c r="T107" i="24"/>
  <c r="S107" i="24"/>
  <c r="R107" i="24"/>
  <c r="AO106" i="24"/>
  <c r="AN106" i="24"/>
  <c r="Y106" i="24"/>
  <c r="X106" i="24"/>
  <c r="W106" i="24"/>
  <c r="V106" i="24"/>
  <c r="U106" i="24"/>
  <c r="T106" i="24"/>
  <c r="S106" i="24"/>
  <c r="R106" i="24"/>
  <c r="AO105" i="24"/>
  <c r="AN105" i="24"/>
  <c r="Y105" i="24"/>
  <c r="X105" i="24"/>
  <c r="W105" i="24"/>
  <c r="V105" i="24"/>
  <c r="U105" i="24"/>
  <c r="T105" i="24"/>
  <c r="S105" i="24"/>
  <c r="R105" i="24"/>
  <c r="AO104" i="24"/>
  <c r="AN104" i="24"/>
  <c r="Y104" i="24"/>
  <c r="X104" i="24"/>
  <c r="W104" i="24"/>
  <c r="V104" i="24"/>
  <c r="U104" i="24"/>
  <c r="T104" i="24"/>
  <c r="S104" i="24"/>
  <c r="R104" i="24"/>
  <c r="AO103" i="24"/>
  <c r="AN103" i="24"/>
  <c r="Y103" i="24"/>
  <c r="X103" i="24"/>
  <c r="W103" i="24"/>
  <c r="V103" i="24"/>
  <c r="U103" i="24"/>
  <c r="T103" i="24"/>
  <c r="S103" i="24"/>
  <c r="R103" i="24"/>
  <c r="AO102" i="24"/>
  <c r="AN102" i="24"/>
  <c r="Y102" i="24"/>
  <c r="X102" i="24"/>
  <c r="W102" i="24"/>
  <c r="V102" i="24"/>
  <c r="U102" i="24"/>
  <c r="T102" i="24"/>
  <c r="S102" i="24"/>
  <c r="R102" i="24"/>
  <c r="AO101" i="24"/>
  <c r="AN101" i="24"/>
  <c r="Y101" i="24"/>
  <c r="X101" i="24"/>
  <c r="W101" i="24"/>
  <c r="V101" i="24"/>
  <c r="U101" i="24"/>
  <c r="T101" i="24"/>
  <c r="S101" i="24"/>
  <c r="R101" i="24"/>
  <c r="AO100" i="24"/>
  <c r="AN100" i="24"/>
  <c r="Y100" i="24"/>
  <c r="X100" i="24"/>
  <c r="W100" i="24"/>
  <c r="V100" i="24"/>
  <c r="U100" i="24"/>
  <c r="T100" i="24"/>
  <c r="S100" i="24"/>
  <c r="R100" i="24"/>
  <c r="AO99" i="24"/>
  <c r="AN99" i="24"/>
  <c r="Y99" i="24"/>
  <c r="X99" i="24"/>
  <c r="W99" i="24"/>
  <c r="V99" i="24"/>
  <c r="U99" i="24"/>
  <c r="T99" i="24"/>
  <c r="S99" i="24"/>
  <c r="R99" i="24"/>
  <c r="AO98" i="24"/>
  <c r="AN98" i="24"/>
  <c r="Y98" i="24"/>
  <c r="X98" i="24"/>
  <c r="W98" i="24"/>
  <c r="V98" i="24"/>
  <c r="U98" i="24"/>
  <c r="T98" i="24"/>
  <c r="S98" i="24"/>
  <c r="R98" i="24"/>
  <c r="AO97" i="24"/>
  <c r="AN97" i="24"/>
  <c r="Y97" i="24"/>
  <c r="X97" i="24"/>
  <c r="W97" i="24"/>
  <c r="V97" i="24"/>
  <c r="U97" i="24"/>
  <c r="T97" i="24"/>
  <c r="S97" i="24"/>
  <c r="R97" i="24"/>
  <c r="AO96" i="24"/>
  <c r="AN96" i="24"/>
  <c r="Y96" i="24"/>
  <c r="X96" i="24"/>
  <c r="W96" i="24"/>
  <c r="V96" i="24"/>
  <c r="U96" i="24"/>
  <c r="T96" i="24"/>
  <c r="S96" i="24"/>
  <c r="R96" i="24"/>
  <c r="AO95" i="24"/>
  <c r="AN95" i="24"/>
  <c r="Y95" i="24"/>
  <c r="X95" i="24"/>
  <c r="W95" i="24"/>
  <c r="V95" i="24"/>
  <c r="U95" i="24"/>
  <c r="T95" i="24"/>
  <c r="S95" i="24"/>
  <c r="R95" i="24"/>
  <c r="AO94" i="24"/>
  <c r="AN94" i="24"/>
  <c r="Y94" i="24"/>
  <c r="X94" i="24"/>
  <c r="W94" i="24"/>
  <c r="V94" i="24"/>
  <c r="U94" i="24"/>
  <c r="T94" i="24"/>
  <c r="S94" i="24"/>
  <c r="R94" i="24"/>
  <c r="AO93" i="24"/>
  <c r="AN93" i="24"/>
  <c r="Y93" i="24"/>
  <c r="X93" i="24"/>
  <c r="W93" i="24"/>
  <c r="V93" i="24"/>
  <c r="U93" i="24"/>
  <c r="T93" i="24"/>
  <c r="S93" i="24"/>
  <c r="R93" i="24"/>
  <c r="AO92" i="24"/>
  <c r="AN92" i="24"/>
  <c r="Y92" i="24"/>
  <c r="X92" i="24"/>
  <c r="W92" i="24"/>
  <c r="V92" i="24"/>
  <c r="U92" i="24"/>
  <c r="T92" i="24"/>
  <c r="S92" i="24"/>
  <c r="R92" i="24"/>
  <c r="AO91" i="24"/>
  <c r="AN91" i="24"/>
  <c r="Y91" i="24"/>
  <c r="X91" i="24"/>
  <c r="W91" i="24"/>
  <c r="V91" i="24"/>
  <c r="U91" i="24"/>
  <c r="T91" i="24"/>
  <c r="S91" i="24"/>
  <c r="R91" i="24"/>
  <c r="AO90" i="24"/>
  <c r="AN90" i="24"/>
  <c r="Y90" i="24"/>
  <c r="X90" i="24"/>
  <c r="W90" i="24"/>
  <c r="V90" i="24"/>
  <c r="U90" i="24"/>
  <c r="T90" i="24"/>
  <c r="S90" i="24"/>
  <c r="R90" i="24"/>
  <c r="AO89" i="24"/>
  <c r="AN89" i="24"/>
  <c r="Y89" i="24"/>
  <c r="X89" i="24"/>
  <c r="W89" i="24"/>
  <c r="V89" i="24"/>
  <c r="U89" i="24"/>
  <c r="T89" i="24"/>
  <c r="S89" i="24"/>
  <c r="R89" i="24"/>
  <c r="AO88" i="24"/>
  <c r="AN88" i="24"/>
  <c r="Y88" i="24"/>
  <c r="X88" i="24"/>
  <c r="W88" i="24"/>
  <c r="V88" i="24"/>
  <c r="U88" i="24"/>
  <c r="T88" i="24"/>
  <c r="S88" i="24"/>
  <c r="R88" i="24"/>
  <c r="AO87" i="24"/>
  <c r="AN87" i="24"/>
  <c r="Y87" i="24"/>
  <c r="X87" i="24"/>
  <c r="W87" i="24"/>
  <c r="V87" i="24"/>
  <c r="U87" i="24"/>
  <c r="T87" i="24"/>
  <c r="S87" i="24"/>
  <c r="R87" i="24"/>
  <c r="AO86" i="24"/>
  <c r="AN86" i="24"/>
  <c r="Y86" i="24"/>
  <c r="X86" i="24"/>
  <c r="W86" i="24"/>
  <c r="V86" i="24"/>
  <c r="U86" i="24"/>
  <c r="T86" i="24"/>
  <c r="S86" i="24"/>
  <c r="R86" i="24"/>
  <c r="AO85" i="24"/>
  <c r="AN85" i="24"/>
  <c r="Y85" i="24"/>
  <c r="X85" i="24"/>
  <c r="W85" i="24"/>
  <c r="V85" i="24"/>
  <c r="U85" i="24"/>
  <c r="T85" i="24"/>
  <c r="S85" i="24"/>
  <c r="R85" i="24"/>
  <c r="AO84" i="24"/>
  <c r="AN84" i="24"/>
  <c r="Y84" i="24"/>
  <c r="X84" i="24"/>
  <c r="W84" i="24"/>
  <c r="V84" i="24"/>
  <c r="U84" i="24"/>
  <c r="T84" i="24"/>
  <c r="S84" i="24"/>
  <c r="R84" i="24"/>
  <c r="AO83" i="24"/>
  <c r="AN83" i="24"/>
  <c r="Y83" i="24"/>
  <c r="X83" i="24"/>
  <c r="W83" i="24"/>
  <c r="V83" i="24"/>
  <c r="U83" i="24"/>
  <c r="T83" i="24"/>
  <c r="S83" i="24"/>
  <c r="R83" i="24"/>
  <c r="AO82" i="24"/>
  <c r="AN82" i="24"/>
  <c r="Y82" i="24"/>
  <c r="X82" i="24"/>
  <c r="W82" i="24"/>
  <c r="V82" i="24"/>
  <c r="U82" i="24"/>
  <c r="T82" i="24"/>
  <c r="S82" i="24"/>
  <c r="R82" i="24"/>
  <c r="AO81" i="24"/>
  <c r="AN81" i="24"/>
  <c r="Y81" i="24"/>
  <c r="X81" i="24"/>
  <c r="W81" i="24"/>
  <c r="V81" i="24"/>
  <c r="U81" i="24"/>
  <c r="T81" i="24"/>
  <c r="S81" i="24"/>
  <c r="R81" i="24"/>
  <c r="AO80" i="24"/>
  <c r="AN80" i="24"/>
  <c r="Y80" i="24"/>
  <c r="X80" i="24"/>
  <c r="W80" i="24"/>
  <c r="V80" i="24"/>
  <c r="U80" i="24"/>
  <c r="T80" i="24"/>
  <c r="S80" i="24"/>
  <c r="R80" i="24"/>
  <c r="AO79" i="24"/>
  <c r="AN79" i="24"/>
  <c r="Y79" i="24"/>
  <c r="X79" i="24"/>
  <c r="W79" i="24"/>
  <c r="V79" i="24"/>
  <c r="U79" i="24"/>
  <c r="T79" i="24"/>
  <c r="S79" i="24"/>
  <c r="R79" i="24"/>
  <c r="AO78" i="24"/>
  <c r="AN78" i="24"/>
  <c r="Y78" i="24"/>
  <c r="X78" i="24"/>
  <c r="W78" i="24"/>
  <c r="V78" i="24"/>
  <c r="U78" i="24"/>
  <c r="T78" i="24"/>
  <c r="S78" i="24"/>
  <c r="R78" i="24"/>
  <c r="AO77" i="24"/>
  <c r="AN77" i="24"/>
  <c r="Y77" i="24"/>
  <c r="X77" i="24"/>
  <c r="W77" i="24"/>
  <c r="V77" i="24"/>
  <c r="U77" i="24"/>
  <c r="T77" i="24"/>
  <c r="S77" i="24"/>
  <c r="R77" i="24"/>
  <c r="AO76" i="24"/>
  <c r="AN76" i="24"/>
  <c r="Y76" i="24"/>
  <c r="X76" i="24"/>
  <c r="W76" i="24"/>
  <c r="V76" i="24"/>
  <c r="U76" i="24"/>
  <c r="T76" i="24"/>
  <c r="S76" i="24"/>
  <c r="R76" i="24"/>
  <c r="AO75" i="24"/>
  <c r="AN75" i="24"/>
  <c r="Y75" i="24"/>
  <c r="X75" i="24"/>
  <c r="W75" i="24"/>
  <c r="V75" i="24"/>
  <c r="U75" i="24"/>
  <c r="T75" i="24"/>
  <c r="S75" i="24"/>
  <c r="R75" i="24"/>
  <c r="AO74" i="24"/>
  <c r="AN74" i="24"/>
  <c r="Y74" i="24"/>
  <c r="X74" i="24"/>
  <c r="W74" i="24"/>
  <c r="V74" i="24"/>
  <c r="U74" i="24"/>
  <c r="T74" i="24"/>
  <c r="S74" i="24"/>
  <c r="R74" i="24"/>
  <c r="AO73" i="24"/>
  <c r="AN73" i="24"/>
  <c r="Y73" i="24"/>
  <c r="X73" i="24"/>
  <c r="W73" i="24"/>
  <c r="V73" i="24"/>
  <c r="U73" i="24"/>
  <c r="T73" i="24"/>
  <c r="S73" i="24"/>
  <c r="R73" i="24"/>
  <c r="AO72" i="24"/>
  <c r="AN72" i="24"/>
  <c r="Y72" i="24"/>
  <c r="X72" i="24"/>
  <c r="W72" i="24"/>
  <c r="V72" i="24"/>
  <c r="U72" i="24"/>
  <c r="T72" i="24"/>
  <c r="S72" i="24"/>
  <c r="R72" i="24"/>
  <c r="AO71" i="24"/>
  <c r="AN71" i="24"/>
  <c r="Y71" i="24"/>
  <c r="X71" i="24"/>
  <c r="W71" i="24"/>
  <c r="V71" i="24"/>
  <c r="U71" i="24"/>
  <c r="T71" i="24"/>
  <c r="S71" i="24"/>
  <c r="R71" i="24"/>
  <c r="AO70" i="24"/>
  <c r="AN70" i="24"/>
  <c r="Y70" i="24"/>
  <c r="X70" i="24"/>
  <c r="W70" i="24"/>
  <c r="V70" i="24"/>
  <c r="U70" i="24"/>
  <c r="T70" i="24"/>
  <c r="S70" i="24"/>
  <c r="R70" i="24"/>
  <c r="AO69" i="24"/>
  <c r="AN69" i="24"/>
  <c r="Y69" i="24"/>
  <c r="X69" i="24"/>
  <c r="W69" i="24"/>
  <c r="V69" i="24"/>
  <c r="U69" i="24"/>
  <c r="T69" i="24"/>
  <c r="S69" i="24"/>
  <c r="R69" i="24"/>
  <c r="AO68" i="24"/>
  <c r="AN68" i="24"/>
  <c r="Y68" i="24"/>
  <c r="X68" i="24"/>
  <c r="W68" i="24"/>
  <c r="V68" i="24"/>
  <c r="U68" i="24"/>
  <c r="T68" i="24"/>
  <c r="S68" i="24"/>
  <c r="R68" i="24"/>
  <c r="AO67" i="24"/>
  <c r="AN67" i="24"/>
  <c r="Y67" i="24"/>
  <c r="X67" i="24"/>
  <c r="W67" i="24"/>
  <c r="V67" i="24"/>
  <c r="U67" i="24"/>
  <c r="T67" i="24"/>
  <c r="S67" i="24"/>
  <c r="R67" i="24"/>
  <c r="AO66" i="24"/>
  <c r="AN66" i="24"/>
  <c r="Y66" i="24"/>
  <c r="X66" i="24"/>
  <c r="W66" i="24"/>
  <c r="V66" i="24"/>
  <c r="U66" i="24"/>
  <c r="T66" i="24"/>
  <c r="S66" i="24"/>
  <c r="R66" i="24"/>
  <c r="AO65" i="24"/>
  <c r="AN65" i="24"/>
  <c r="Y65" i="24"/>
  <c r="X65" i="24"/>
  <c r="W65" i="24"/>
  <c r="V65" i="24"/>
  <c r="U65" i="24"/>
  <c r="T65" i="24"/>
  <c r="S65" i="24"/>
  <c r="R65" i="24"/>
  <c r="AO64" i="24"/>
  <c r="AN64" i="24"/>
  <c r="Y64" i="24"/>
  <c r="X64" i="24"/>
  <c r="W64" i="24"/>
  <c r="V64" i="24"/>
  <c r="U64" i="24"/>
  <c r="T64" i="24"/>
  <c r="S64" i="24"/>
  <c r="R64" i="24"/>
  <c r="AO63" i="24"/>
  <c r="AN63" i="24"/>
  <c r="Y63" i="24"/>
  <c r="X63" i="24"/>
  <c r="W63" i="24"/>
  <c r="V63" i="24"/>
  <c r="U63" i="24"/>
  <c r="T63" i="24"/>
  <c r="S63" i="24"/>
  <c r="R63" i="24"/>
  <c r="AO62" i="24"/>
  <c r="AN62" i="24"/>
  <c r="Y62" i="24"/>
  <c r="X62" i="24"/>
  <c r="W62" i="24"/>
  <c r="V62" i="24"/>
  <c r="U62" i="24"/>
  <c r="T62" i="24"/>
  <c r="S62" i="24"/>
  <c r="R62" i="24"/>
  <c r="AO61" i="24"/>
  <c r="AN61" i="24"/>
  <c r="Y61" i="24"/>
  <c r="X61" i="24"/>
  <c r="W61" i="24"/>
  <c r="V61" i="24"/>
  <c r="U61" i="24"/>
  <c r="T61" i="24"/>
  <c r="S61" i="24"/>
  <c r="R61" i="24"/>
  <c r="AO60" i="24"/>
  <c r="AN60" i="24"/>
  <c r="Y60" i="24"/>
  <c r="X60" i="24"/>
  <c r="W60" i="24"/>
  <c r="V60" i="24"/>
  <c r="U60" i="24"/>
  <c r="T60" i="24"/>
  <c r="S60" i="24"/>
  <c r="R60" i="24"/>
  <c r="AO59" i="24"/>
  <c r="AN59" i="24"/>
  <c r="Y59" i="24"/>
  <c r="X59" i="24"/>
  <c r="W59" i="24"/>
  <c r="V59" i="24"/>
  <c r="U59" i="24"/>
  <c r="T59" i="24"/>
  <c r="S59" i="24"/>
  <c r="R59" i="24"/>
  <c r="AO58" i="24"/>
  <c r="AN58" i="24"/>
  <c r="Y58" i="24"/>
  <c r="X58" i="24"/>
  <c r="W58" i="24"/>
  <c r="V58" i="24"/>
  <c r="U58" i="24"/>
  <c r="T58" i="24"/>
  <c r="S58" i="24"/>
  <c r="R58" i="24"/>
  <c r="AO57" i="24"/>
  <c r="AN57" i="24"/>
  <c r="Y57" i="24"/>
  <c r="X57" i="24"/>
  <c r="W57" i="24"/>
  <c r="V57" i="24"/>
  <c r="U57" i="24"/>
  <c r="T57" i="24"/>
  <c r="S57" i="24"/>
  <c r="R57" i="24"/>
  <c r="AO56" i="24"/>
  <c r="AN56" i="24"/>
  <c r="Y56" i="24"/>
  <c r="X56" i="24"/>
  <c r="W56" i="24"/>
  <c r="V56" i="24"/>
  <c r="U56" i="24"/>
  <c r="T56" i="24"/>
  <c r="S56" i="24"/>
  <c r="R56" i="24"/>
  <c r="AO55" i="24"/>
  <c r="AN55" i="24"/>
  <c r="Y55" i="24"/>
  <c r="X55" i="24"/>
  <c r="W55" i="24"/>
  <c r="V55" i="24"/>
  <c r="U55" i="24"/>
  <c r="T55" i="24"/>
  <c r="S55" i="24"/>
  <c r="R55" i="24"/>
  <c r="AO54" i="24"/>
  <c r="AN54" i="24"/>
  <c r="Y54" i="24"/>
  <c r="X54" i="24"/>
  <c r="W54" i="24"/>
  <c r="V54" i="24"/>
  <c r="U54" i="24"/>
  <c r="T54" i="24"/>
  <c r="S54" i="24"/>
  <c r="R54" i="24"/>
  <c r="AO53" i="24"/>
  <c r="AN53" i="24"/>
  <c r="Y53" i="24"/>
  <c r="X53" i="24"/>
  <c r="W53" i="24"/>
  <c r="V53" i="24"/>
  <c r="U53" i="24"/>
  <c r="T53" i="24"/>
  <c r="S53" i="24"/>
  <c r="R53" i="24"/>
  <c r="AO52" i="24"/>
  <c r="AN52" i="24"/>
  <c r="Y52" i="24"/>
  <c r="X52" i="24"/>
  <c r="W52" i="24"/>
  <c r="V52" i="24"/>
  <c r="U52" i="24"/>
  <c r="T52" i="24"/>
  <c r="S52" i="24"/>
  <c r="R52" i="24"/>
  <c r="AO51" i="24"/>
  <c r="AN51" i="24"/>
  <c r="Y51" i="24"/>
  <c r="X51" i="24"/>
  <c r="W51" i="24"/>
  <c r="V51" i="24"/>
  <c r="U51" i="24"/>
  <c r="T51" i="24"/>
  <c r="S51" i="24"/>
  <c r="R51" i="24"/>
  <c r="AO50" i="24"/>
  <c r="AN50" i="24"/>
  <c r="Y50" i="24"/>
  <c r="X50" i="24"/>
  <c r="W50" i="24"/>
  <c r="V50" i="24"/>
  <c r="U50" i="24"/>
  <c r="T50" i="24"/>
  <c r="S50" i="24"/>
  <c r="R50" i="24"/>
  <c r="AO49" i="24"/>
  <c r="AN49" i="24"/>
  <c r="Y49" i="24"/>
  <c r="X49" i="24"/>
  <c r="W49" i="24"/>
  <c r="V49" i="24"/>
  <c r="U49" i="24"/>
  <c r="T49" i="24"/>
  <c r="S49" i="24"/>
  <c r="R49" i="24"/>
  <c r="AO48" i="24"/>
  <c r="AN48" i="24"/>
  <c r="Y48" i="24"/>
  <c r="X48" i="24"/>
  <c r="W48" i="24"/>
  <c r="V48" i="24"/>
  <c r="U48" i="24"/>
  <c r="T48" i="24"/>
  <c r="S48" i="24"/>
  <c r="R48" i="24"/>
  <c r="AO47" i="24"/>
  <c r="AN47" i="24"/>
  <c r="Y47" i="24"/>
  <c r="X47" i="24"/>
  <c r="W47" i="24"/>
  <c r="V47" i="24"/>
  <c r="U47" i="24"/>
  <c r="T47" i="24"/>
  <c r="S47" i="24"/>
  <c r="R47" i="24"/>
  <c r="AO46" i="24"/>
  <c r="AN46" i="24"/>
  <c r="Y46" i="24"/>
  <c r="X46" i="24"/>
  <c r="W46" i="24"/>
  <c r="V46" i="24"/>
  <c r="U46" i="24"/>
  <c r="T46" i="24"/>
  <c r="S46" i="24"/>
  <c r="R46" i="24"/>
  <c r="AO45" i="24"/>
  <c r="AN45" i="24"/>
  <c r="Y45" i="24"/>
  <c r="X45" i="24"/>
  <c r="W45" i="24"/>
  <c r="V45" i="24"/>
  <c r="U45" i="24"/>
  <c r="T45" i="24"/>
  <c r="S45" i="24"/>
  <c r="R45" i="24"/>
  <c r="AO44" i="24"/>
  <c r="AN44" i="24"/>
  <c r="Y44" i="24"/>
  <c r="X44" i="24"/>
  <c r="W44" i="24"/>
  <c r="V44" i="24"/>
  <c r="U44" i="24"/>
  <c r="T44" i="24"/>
  <c r="S44" i="24"/>
  <c r="R44" i="24"/>
  <c r="AO43" i="24"/>
  <c r="AN43" i="24"/>
  <c r="Y43" i="24"/>
  <c r="X43" i="24"/>
  <c r="W43" i="24"/>
  <c r="V43" i="24"/>
  <c r="U43" i="24"/>
  <c r="T43" i="24"/>
  <c r="S43" i="24"/>
  <c r="R43" i="24"/>
  <c r="AO42" i="24"/>
  <c r="AN42" i="24"/>
  <c r="Y42" i="24"/>
  <c r="X42" i="24"/>
  <c r="W42" i="24"/>
  <c r="V42" i="24"/>
  <c r="U42" i="24"/>
  <c r="T42" i="24"/>
  <c r="S42" i="24"/>
  <c r="R42" i="24"/>
  <c r="AO41" i="24"/>
  <c r="AN41" i="24"/>
  <c r="Y41" i="24"/>
  <c r="X41" i="24"/>
  <c r="W41" i="24"/>
  <c r="V41" i="24"/>
  <c r="U41" i="24"/>
  <c r="T41" i="24"/>
  <c r="S41" i="24"/>
  <c r="R41" i="24"/>
  <c r="AO40" i="24"/>
  <c r="AN40" i="24"/>
  <c r="Y40" i="24"/>
  <c r="X40" i="24"/>
  <c r="W40" i="24"/>
  <c r="V40" i="24"/>
  <c r="U40" i="24"/>
  <c r="T40" i="24"/>
  <c r="S40" i="24"/>
  <c r="R40" i="24"/>
  <c r="AO39" i="24"/>
  <c r="AN39" i="24"/>
  <c r="Y39" i="24"/>
  <c r="X39" i="24"/>
  <c r="W39" i="24"/>
  <c r="V39" i="24"/>
  <c r="U39" i="24"/>
  <c r="T39" i="24"/>
  <c r="S39" i="24"/>
  <c r="R39" i="24"/>
  <c r="AO38" i="24"/>
  <c r="AN38" i="24"/>
  <c r="Y38" i="24"/>
  <c r="X38" i="24"/>
  <c r="W38" i="24"/>
  <c r="V38" i="24"/>
  <c r="U38" i="24"/>
  <c r="T38" i="24"/>
  <c r="S38" i="24"/>
  <c r="R38" i="24"/>
  <c r="AO37" i="24"/>
  <c r="AN37" i="24"/>
  <c r="Y37" i="24"/>
  <c r="X37" i="24"/>
  <c r="W37" i="24"/>
  <c r="V37" i="24"/>
  <c r="U37" i="24"/>
  <c r="T37" i="24"/>
  <c r="S37" i="24"/>
  <c r="R37" i="24"/>
  <c r="AO36" i="24"/>
  <c r="AN36" i="24"/>
  <c r="Y36" i="24"/>
  <c r="X36" i="24"/>
  <c r="W36" i="24"/>
  <c r="V36" i="24"/>
  <c r="U36" i="24"/>
  <c r="T36" i="24"/>
  <c r="S36" i="24"/>
  <c r="R36" i="24"/>
  <c r="AO35" i="24"/>
  <c r="AN35" i="24"/>
  <c r="Y35" i="24"/>
  <c r="X35" i="24"/>
  <c r="W35" i="24"/>
  <c r="V35" i="24"/>
  <c r="U35" i="24"/>
  <c r="T35" i="24"/>
  <c r="S35" i="24"/>
  <c r="R35" i="24"/>
  <c r="AO34" i="24"/>
  <c r="AN34" i="24"/>
  <c r="Y34" i="24"/>
  <c r="X34" i="24"/>
  <c r="W34" i="24"/>
  <c r="V34" i="24"/>
  <c r="U34" i="24"/>
  <c r="T34" i="24"/>
  <c r="S34" i="24"/>
  <c r="R34" i="24"/>
  <c r="AO33" i="24"/>
  <c r="AN33" i="24"/>
  <c r="Y33" i="24"/>
  <c r="X33" i="24"/>
  <c r="W33" i="24"/>
  <c r="V33" i="24"/>
  <c r="U33" i="24"/>
  <c r="T33" i="24"/>
  <c r="S33" i="24"/>
  <c r="R33" i="24"/>
  <c r="AO32" i="24"/>
  <c r="AN32" i="24"/>
  <c r="Y32" i="24"/>
  <c r="X32" i="24"/>
  <c r="W32" i="24"/>
  <c r="V32" i="24"/>
  <c r="U32" i="24"/>
  <c r="T32" i="24"/>
  <c r="S32" i="24"/>
  <c r="R32" i="24"/>
  <c r="AO31" i="24"/>
  <c r="AN31" i="24"/>
  <c r="Y31" i="24"/>
  <c r="X31" i="24"/>
  <c r="W31" i="24"/>
  <c r="V31" i="24"/>
  <c r="U31" i="24"/>
  <c r="T31" i="24"/>
  <c r="S31" i="24"/>
  <c r="R31" i="24"/>
  <c r="AO30" i="24"/>
  <c r="AN30" i="24"/>
  <c r="Y30" i="24"/>
  <c r="X30" i="24"/>
  <c r="W30" i="24"/>
  <c r="V30" i="24"/>
  <c r="U30" i="24"/>
  <c r="T30" i="24"/>
  <c r="S30" i="24"/>
  <c r="R30" i="24"/>
  <c r="AO29" i="24"/>
  <c r="AN29" i="24"/>
  <c r="Y29" i="24"/>
  <c r="X29" i="24"/>
  <c r="W29" i="24"/>
  <c r="V29" i="24"/>
  <c r="U29" i="24"/>
  <c r="T29" i="24"/>
  <c r="S29" i="24"/>
  <c r="R29" i="24"/>
  <c r="AO28" i="24"/>
  <c r="AN28" i="24"/>
  <c r="Y28" i="24"/>
  <c r="X28" i="24"/>
  <c r="W28" i="24"/>
  <c r="V28" i="24"/>
  <c r="U28" i="24"/>
  <c r="T28" i="24"/>
  <c r="S28" i="24"/>
  <c r="R28" i="24"/>
  <c r="AO27" i="24"/>
  <c r="AN27" i="24"/>
  <c r="Y27" i="24"/>
  <c r="X27" i="24"/>
  <c r="W27" i="24"/>
  <c r="V27" i="24"/>
  <c r="U27" i="24"/>
  <c r="T27" i="24"/>
  <c r="S27" i="24"/>
  <c r="R27" i="24"/>
  <c r="AO26" i="24"/>
  <c r="AN26" i="24"/>
  <c r="Y26" i="24"/>
  <c r="X26" i="24"/>
  <c r="W26" i="24"/>
  <c r="V26" i="24"/>
  <c r="U26" i="24"/>
  <c r="T26" i="24"/>
  <c r="S26" i="24"/>
  <c r="R26" i="24"/>
  <c r="AO25" i="24"/>
  <c r="AN25" i="24"/>
  <c r="Y25" i="24"/>
  <c r="X25" i="24"/>
  <c r="W25" i="24"/>
  <c r="V25" i="24"/>
  <c r="U25" i="24"/>
  <c r="T25" i="24"/>
  <c r="S25" i="24"/>
  <c r="R25" i="24"/>
  <c r="AO24" i="24"/>
  <c r="AN24" i="24"/>
  <c r="Y24" i="24"/>
  <c r="X24" i="24"/>
  <c r="W24" i="24"/>
  <c r="V24" i="24"/>
  <c r="U24" i="24"/>
  <c r="T24" i="24"/>
  <c r="S24" i="24"/>
  <c r="R24" i="24"/>
  <c r="AO23" i="24"/>
  <c r="AN23" i="24"/>
  <c r="Y23" i="24"/>
  <c r="X23" i="24"/>
  <c r="W23" i="24"/>
  <c r="V23" i="24"/>
  <c r="U23" i="24"/>
  <c r="T23" i="24"/>
  <c r="S23" i="24"/>
  <c r="R23" i="24"/>
  <c r="AO22" i="24"/>
  <c r="AN22" i="24"/>
  <c r="Y22" i="24"/>
  <c r="X22" i="24"/>
  <c r="W22" i="24"/>
  <c r="V22" i="24"/>
  <c r="U22" i="24"/>
  <c r="T22" i="24"/>
  <c r="S22" i="24"/>
  <c r="R22" i="24"/>
  <c r="AO21" i="24"/>
  <c r="AN21" i="24"/>
  <c r="Y21" i="24"/>
  <c r="X21" i="24"/>
  <c r="W21" i="24"/>
  <c r="V21" i="24"/>
  <c r="U21" i="24"/>
  <c r="T21" i="24"/>
  <c r="S21" i="24"/>
  <c r="R21" i="24"/>
  <c r="AO20" i="24"/>
  <c r="AN20" i="24"/>
  <c r="Y20" i="24"/>
  <c r="X20" i="24"/>
  <c r="W20" i="24"/>
  <c r="V20" i="24"/>
  <c r="U20" i="24"/>
  <c r="T20" i="24"/>
  <c r="S20" i="24"/>
  <c r="R20" i="24"/>
  <c r="AO19" i="24"/>
  <c r="AN19" i="24"/>
  <c r="Y19" i="24"/>
  <c r="X19" i="24"/>
  <c r="W19" i="24"/>
  <c r="V19" i="24"/>
  <c r="U19" i="24"/>
  <c r="T19" i="24"/>
  <c r="S19" i="24"/>
  <c r="R19" i="24"/>
  <c r="AO18" i="24"/>
  <c r="AN18" i="24"/>
  <c r="Y18" i="24"/>
  <c r="X18" i="24"/>
  <c r="W18" i="24"/>
  <c r="V18" i="24"/>
  <c r="U18" i="24"/>
  <c r="T18" i="24"/>
  <c r="S18" i="24"/>
  <c r="R18" i="24"/>
  <c r="AO17" i="24"/>
  <c r="AN17" i="24"/>
  <c r="Y17" i="24"/>
  <c r="X17" i="24"/>
  <c r="W17" i="24"/>
  <c r="V17" i="24"/>
  <c r="U17" i="24"/>
  <c r="T17" i="24"/>
  <c r="S17" i="24"/>
  <c r="R17" i="24"/>
  <c r="AO16" i="24"/>
  <c r="AN16" i="24"/>
  <c r="Y16" i="24"/>
  <c r="X16" i="24"/>
  <c r="W16" i="24"/>
  <c r="V16" i="24"/>
  <c r="U16" i="24"/>
  <c r="T16" i="24"/>
  <c r="S16" i="24"/>
  <c r="R16" i="24"/>
  <c r="AO15" i="24"/>
  <c r="AN15" i="24"/>
  <c r="Y15" i="24"/>
  <c r="X15" i="24"/>
  <c r="W15" i="24"/>
  <c r="V15" i="24"/>
  <c r="U15" i="24"/>
  <c r="T15" i="24"/>
  <c r="S15" i="24"/>
  <c r="R15" i="24"/>
  <c r="AO14" i="24"/>
  <c r="AN14" i="24"/>
  <c r="Y14" i="24"/>
  <c r="X14" i="24"/>
  <c r="W14" i="24"/>
  <c r="V14" i="24"/>
  <c r="U14" i="24"/>
  <c r="T14" i="24"/>
  <c r="S14" i="24"/>
  <c r="R14" i="24"/>
  <c r="AO13" i="24"/>
  <c r="AN13" i="24"/>
  <c r="Y13" i="24"/>
  <c r="X13" i="24"/>
  <c r="W13" i="24"/>
  <c r="V13" i="24"/>
  <c r="U13" i="24"/>
  <c r="T13" i="24"/>
  <c r="S13" i="24"/>
  <c r="R13" i="24"/>
  <c r="AO12" i="24"/>
  <c r="AN12" i="24"/>
  <c r="Y12" i="24"/>
  <c r="X12" i="24"/>
  <c r="W12" i="24"/>
  <c r="V12" i="24"/>
  <c r="U12" i="24"/>
  <c r="T12" i="24"/>
  <c r="S12" i="24"/>
  <c r="R12" i="24"/>
  <c r="AO11" i="24"/>
  <c r="AN11" i="24"/>
  <c r="Y11" i="24"/>
  <c r="X11" i="24"/>
  <c r="W11" i="24"/>
  <c r="V11" i="24"/>
  <c r="U11" i="24"/>
  <c r="T11" i="24"/>
  <c r="S11" i="24"/>
  <c r="R11" i="24"/>
  <c r="AO10" i="24"/>
  <c r="AN10" i="24"/>
  <c r="Y10" i="24"/>
  <c r="X10" i="24"/>
  <c r="W10" i="24"/>
  <c r="V10" i="24"/>
  <c r="U10" i="24"/>
  <c r="T10" i="24"/>
  <c r="S10" i="24"/>
  <c r="R10" i="24"/>
  <c r="AO9" i="24"/>
  <c r="AN9" i="24"/>
  <c r="Y9" i="24"/>
  <c r="X9" i="24"/>
  <c r="W9" i="24"/>
  <c r="V9" i="24"/>
  <c r="U9" i="24"/>
  <c r="T9" i="24"/>
  <c r="S9" i="24"/>
  <c r="R9" i="24"/>
  <c r="AO8" i="24"/>
  <c r="AN8" i="24"/>
  <c r="Y8" i="24"/>
  <c r="X8" i="24"/>
  <c r="W8" i="24"/>
  <c r="V8" i="24"/>
  <c r="U8" i="24"/>
  <c r="T8" i="24"/>
  <c r="S8" i="24"/>
  <c r="R8" i="24"/>
  <c r="AO7" i="24"/>
  <c r="AN7" i="24"/>
  <c r="Y7" i="24"/>
  <c r="X7" i="24"/>
  <c r="W7" i="24"/>
  <c r="V7" i="24"/>
  <c r="U7" i="24"/>
  <c r="T7" i="24"/>
  <c r="S7" i="24"/>
  <c r="R7" i="24"/>
  <c r="AO6" i="24"/>
  <c r="AN6" i="24"/>
  <c r="Y6" i="24"/>
  <c r="X6" i="24"/>
  <c r="W6" i="24"/>
  <c r="V6" i="24"/>
  <c r="U6" i="24"/>
  <c r="T6" i="24"/>
  <c r="S6" i="24"/>
  <c r="R6" i="24"/>
  <c r="AO5" i="24"/>
  <c r="AN5" i="24"/>
  <c r="Y5" i="24"/>
  <c r="X5" i="24"/>
  <c r="W5" i="24"/>
  <c r="V5" i="24"/>
  <c r="U5" i="24"/>
  <c r="T5" i="24"/>
  <c r="S5" i="24"/>
  <c r="R5" i="24"/>
  <c r="AO4" i="24"/>
  <c r="AN4" i="24"/>
  <c r="Y4" i="24"/>
  <c r="X4" i="24"/>
  <c r="W4" i="24"/>
  <c r="V4" i="24"/>
  <c r="U4" i="24"/>
  <c r="T4" i="24"/>
  <c r="S4" i="24"/>
  <c r="R4" i="24"/>
  <c r="AO3" i="24"/>
  <c r="AN3" i="24"/>
  <c r="Y3" i="24"/>
  <c r="X3" i="24"/>
  <c r="W3" i="24"/>
  <c r="V3" i="24"/>
  <c r="U3" i="24"/>
  <c r="T3" i="24"/>
  <c r="S3" i="24"/>
  <c r="R3" i="24"/>
  <c r="N15" i="10"/>
  <c r="M15" i="10"/>
  <c r="K15" i="10"/>
  <c r="J15" i="10"/>
  <c r="I15" i="10"/>
  <c r="H15" i="10"/>
  <c r="G15" i="10"/>
  <c r="F15" i="10"/>
  <c r="E15" i="10"/>
  <c r="D15" i="10"/>
  <c r="C15" i="10"/>
  <c r="O13" i="10"/>
  <c r="O12" i="10"/>
  <c r="O11" i="10"/>
  <c r="O10" i="10"/>
  <c r="O9" i="10"/>
  <c r="O8" i="10"/>
  <c r="N6" i="10"/>
  <c r="M6" i="10"/>
  <c r="L6" i="10"/>
  <c r="K6" i="10"/>
  <c r="J6" i="10"/>
  <c r="I6" i="10"/>
  <c r="H6" i="10"/>
  <c r="G6" i="10"/>
  <c r="F6" i="10"/>
  <c r="E6" i="10"/>
  <c r="D6" i="10"/>
  <c r="J84" i="18"/>
  <c r="J83" i="18"/>
  <c r="J82" i="18"/>
  <c r="J81" i="18"/>
  <c r="J80" i="18"/>
  <c r="J79" i="18"/>
  <c r="J78" i="18"/>
  <c r="J77" i="18"/>
  <c r="J76" i="18"/>
  <c r="J75" i="18"/>
  <c r="J74" i="18"/>
  <c r="B74" i="18"/>
  <c r="J73" i="18"/>
  <c r="J72" i="18"/>
  <c r="J71" i="18"/>
  <c r="B71" i="18"/>
  <c r="J70" i="18"/>
  <c r="J69" i="18"/>
  <c r="J68" i="18"/>
  <c r="J67" i="18"/>
  <c r="J66" i="18"/>
  <c r="J65" i="18"/>
  <c r="J64" i="18"/>
  <c r="J63" i="18"/>
  <c r="J62" i="18"/>
  <c r="J61" i="18"/>
  <c r="J60" i="18"/>
  <c r="J59" i="18"/>
  <c r="J58" i="18"/>
  <c r="J57" i="18"/>
  <c r="J56" i="18"/>
  <c r="J55" i="18"/>
  <c r="J54" i="18"/>
  <c r="J53" i="18"/>
  <c r="J52" i="18"/>
  <c r="J51" i="18"/>
  <c r="J50" i="18"/>
  <c r="B50" i="18"/>
  <c r="J49" i="18"/>
  <c r="J48" i="18"/>
  <c r="J47" i="18"/>
  <c r="J46" i="18"/>
  <c r="J45" i="18"/>
  <c r="J44" i="18"/>
  <c r="J43" i="18"/>
  <c r="J42" i="18"/>
  <c r="B42" i="18"/>
  <c r="J41" i="18"/>
  <c r="J40" i="18"/>
  <c r="J39" i="18"/>
  <c r="J38" i="18"/>
  <c r="J37" i="18"/>
  <c r="J36" i="18"/>
  <c r="J35" i="18"/>
  <c r="J34" i="18"/>
  <c r="J33" i="18"/>
  <c r="J32" i="18"/>
  <c r="J31" i="18"/>
  <c r="J30" i="18"/>
  <c r="J29" i="18"/>
  <c r="J28" i="18"/>
  <c r="J27" i="18"/>
  <c r="J26" i="18"/>
  <c r="J25" i="18"/>
  <c r="J24" i="18"/>
  <c r="J23" i="18"/>
  <c r="J22" i="18"/>
  <c r="J21" i="18"/>
  <c r="J20" i="18"/>
  <c r="B20" i="18"/>
  <c r="J19" i="18"/>
  <c r="J18" i="18"/>
  <c r="J17" i="18"/>
  <c r="J16" i="18"/>
  <c r="J15" i="18"/>
  <c r="J14" i="18"/>
  <c r="J13" i="18"/>
  <c r="J12" i="18"/>
  <c r="B12" i="18"/>
  <c r="J11" i="18"/>
  <c r="B11" i="18"/>
  <c r="J10" i="18"/>
  <c r="J9" i="18"/>
  <c r="J8" i="18"/>
  <c r="J7" i="18"/>
  <c r="J6" i="18"/>
  <c r="J5" i="18"/>
  <c r="CD242" i="11"/>
  <c r="CC242" i="11"/>
  <c r="CB242" i="11"/>
  <c r="CA242" i="11"/>
  <c r="BZ242" i="11"/>
  <c r="BY242" i="11"/>
  <c r="BX242" i="11"/>
  <c r="BW242" i="11"/>
  <c r="BV242" i="11"/>
  <c r="BU242" i="11"/>
  <c r="BT242" i="11"/>
  <c r="BS242" i="11"/>
  <c r="F242" i="11"/>
  <c r="C242" i="11"/>
  <c r="D242" i="11" s="1"/>
  <c r="CD241" i="11"/>
  <c r="CC241" i="11"/>
  <c r="CB241" i="11"/>
  <c r="CA241" i="11"/>
  <c r="BZ241" i="11"/>
  <c r="BY241" i="11"/>
  <c r="BX241" i="11"/>
  <c r="BW241" i="11"/>
  <c r="BV241" i="11"/>
  <c r="BU241" i="11"/>
  <c r="BT241" i="11"/>
  <c r="BS241" i="11"/>
  <c r="F241" i="11"/>
  <c r="C241" i="11"/>
  <c r="B29" i="18" s="1"/>
  <c r="CD239" i="11"/>
  <c r="CC239" i="11"/>
  <c r="CB239" i="11"/>
  <c r="CA239" i="11"/>
  <c r="BZ239" i="11"/>
  <c r="BY239" i="11"/>
  <c r="BX239" i="11"/>
  <c r="BW239" i="11"/>
  <c r="BV239" i="11"/>
  <c r="BU239" i="11"/>
  <c r="BT239" i="11"/>
  <c r="BS239" i="11"/>
  <c r="F239" i="11"/>
  <c r="C239" i="11"/>
  <c r="B239" i="11" s="1"/>
  <c r="CD237" i="11"/>
  <c r="CC237" i="11"/>
  <c r="CB237" i="11"/>
  <c r="CA237" i="11"/>
  <c r="BZ237" i="11"/>
  <c r="BY237" i="11"/>
  <c r="BX237" i="11"/>
  <c r="BW237" i="11"/>
  <c r="BV237" i="11"/>
  <c r="BU237" i="11"/>
  <c r="BT237" i="11"/>
  <c r="BS237" i="11"/>
  <c r="G237" i="11"/>
  <c r="C237" i="11"/>
  <c r="B237" i="11" s="1"/>
  <c r="CD236" i="11"/>
  <c r="CC236" i="11"/>
  <c r="CB236" i="11"/>
  <c r="CA236" i="11"/>
  <c r="BZ236" i="11"/>
  <c r="BY236" i="11"/>
  <c r="BX236" i="11"/>
  <c r="BW236" i="11"/>
  <c r="BV236" i="11"/>
  <c r="BU236" i="11"/>
  <c r="BT236" i="11"/>
  <c r="BS236" i="11"/>
  <c r="C236" i="11"/>
  <c r="D236" i="11" s="1"/>
  <c r="CD235" i="11"/>
  <c r="CC235" i="11"/>
  <c r="CB235" i="11"/>
  <c r="CA235" i="11"/>
  <c r="BZ235" i="11"/>
  <c r="BY235" i="11"/>
  <c r="BX235" i="11"/>
  <c r="BW235" i="11"/>
  <c r="BV235" i="11"/>
  <c r="BU235" i="11"/>
  <c r="BT235" i="11"/>
  <c r="BS235" i="11"/>
  <c r="F235" i="11"/>
  <c r="C235" i="11"/>
  <c r="D235" i="11" s="1"/>
  <c r="CD233" i="11"/>
  <c r="CC233" i="11"/>
  <c r="CB233" i="11"/>
  <c r="CA233" i="11"/>
  <c r="BZ233" i="11"/>
  <c r="BY233" i="11"/>
  <c r="BX233" i="11"/>
  <c r="BW233" i="11"/>
  <c r="BV233" i="11"/>
  <c r="BU233" i="11"/>
  <c r="BT233" i="11"/>
  <c r="BS233" i="11"/>
  <c r="F233" i="11"/>
  <c r="C233" i="11"/>
  <c r="B233" i="11" s="1"/>
  <c r="CD232" i="11"/>
  <c r="CC232" i="11"/>
  <c r="CB232" i="11"/>
  <c r="CA232" i="11"/>
  <c r="BZ232" i="11"/>
  <c r="BY232" i="11"/>
  <c r="BX232" i="11"/>
  <c r="BW232" i="11"/>
  <c r="BV232" i="11"/>
  <c r="BU232" i="11"/>
  <c r="BT232" i="11"/>
  <c r="BS232" i="11"/>
  <c r="F232" i="11"/>
  <c r="C232" i="11"/>
  <c r="B232" i="11" s="1"/>
  <c r="CD231" i="11"/>
  <c r="CC231" i="11"/>
  <c r="CB231" i="11"/>
  <c r="CA231" i="11"/>
  <c r="BZ231" i="11"/>
  <c r="BY231" i="11"/>
  <c r="BX231" i="11"/>
  <c r="BW231" i="11"/>
  <c r="BV231" i="11"/>
  <c r="BU231" i="11"/>
  <c r="BT231" i="11"/>
  <c r="BS231" i="11"/>
  <c r="F231" i="11"/>
  <c r="C231" i="11"/>
  <c r="D231" i="11" s="1"/>
  <c r="CD229" i="11"/>
  <c r="CC229" i="11"/>
  <c r="CB229" i="11"/>
  <c r="CA229" i="11"/>
  <c r="BZ229" i="11"/>
  <c r="BY229" i="11"/>
  <c r="BX229" i="11"/>
  <c r="BW229" i="11"/>
  <c r="BV229" i="11"/>
  <c r="BU229" i="11"/>
  <c r="BT229" i="11"/>
  <c r="BS229" i="11"/>
  <c r="F229" i="11"/>
  <c r="C229" i="11"/>
  <c r="D229" i="11" s="1"/>
  <c r="CD228" i="11"/>
  <c r="CC228" i="11"/>
  <c r="CB228" i="11"/>
  <c r="CA228" i="11"/>
  <c r="BZ228" i="11"/>
  <c r="BY228" i="11"/>
  <c r="BX228" i="11"/>
  <c r="BW228" i="11"/>
  <c r="BV228" i="11"/>
  <c r="BU228" i="11"/>
  <c r="BT228" i="11"/>
  <c r="BS228" i="11"/>
  <c r="G228" i="11"/>
  <c r="C228" i="11"/>
  <c r="B228" i="11" s="1"/>
  <c r="CD227" i="11"/>
  <c r="CC227" i="11"/>
  <c r="CB227" i="11"/>
  <c r="CA227" i="11"/>
  <c r="BZ227" i="11"/>
  <c r="BY227" i="11"/>
  <c r="BX227" i="11"/>
  <c r="BW227" i="11"/>
  <c r="BV227" i="11"/>
  <c r="BU227" i="11"/>
  <c r="BT227" i="11"/>
  <c r="BS227" i="11"/>
  <c r="F227" i="11"/>
  <c r="C227" i="11"/>
  <c r="B227" i="11" s="1"/>
  <c r="CD226" i="11"/>
  <c r="CC226" i="11"/>
  <c r="CB226" i="11"/>
  <c r="CA226" i="11"/>
  <c r="BZ226" i="11"/>
  <c r="BY226" i="11"/>
  <c r="BX226" i="11"/>
  <c r="BW226" i="11"/>
  <c r="BV226" i="11"/>
  <c r="BU226" i="11"/>
  <c r="BT226" i="11"/>
  <c r="BS226" i="11"/>
  <c r="F226" i="11"/>
  <c r="C226" i="11"/>
  <c r="D226" i="11" s="1"/>
  <c r="CD225" i="11"/>
  <c r="CC225" i="11"/>
  <c r="CB225" i="11"/>
  <c r="CA225" i="11"/>
  <c r="BZ225" i="11"/>
  <c r="BY225" i="11"/>
  <c r="BX225" i="11"/>
  <c r="BW225" i="11"/>
  <c r="BV225" i="11"/>
  <c r="BU225" i="11"/>
  <c r="BT225" i="11"/>
  <c r="BS225" i="11"/>
  <c r="F225" i="11"/>
  <c r="C225" i="11"/>
  <c r="D225" i="11" s="1"/>
  <c r="CD221" i="11"/>
  <c r="CC221" i="11"/>
  <c r="CB221" i="11"/>
  <c r="CA221" i="11"/>
  <c r="BZ221" i="11"/>
  <c r="BY221" i="11"/>
  <c r="BX221" i="11"/>
  <c r="BW221" i="11"/>
  <c r="BV221" i="11"/>
  <c r="BU221" i="11"/>
  <c r="BT221" i="11"/>
  <c r="BS221" i="11"/>
  <c r="G221" i="11"/>
  <c r="C221" i="11"/>
  <c r="B221" i="11" s="1"/>
  <c r="CD220" i="11"/>
  <c r="CC220" i="11"/>
  <c r="CB220" i="11"/>
  <c r="CA220" i="11"/>
  <c r="BZ220" i="11"/>
  <c r="BY220" i="11"/>
  <c r="BX220" i="11"/>
  <c r="BW220" i="11"/>
  <c r="BV220" i="11"/>
  <c r="BU220" i="11"/>
  <c r="BT220" i="11"/>
  <c r="BS220" i="11"/>
  <c r="F220" i="11"/>
  <c r="C220" i="11"/>
  <c r="B220" i="11" s="1"/>
  <c r="CD219" i="11"/>
  <c r="CC219" i="11"/>
  <c r="CB219" i="11"/>
  <c r="CA219" i="11"/>
  <c r="BZ219" i="11"/>
  <c r="BY219" i="11"/>
  <c r="BX219" i="11"/>
  <c r="BW219" i="11"/>
  <c r="BV219" i="11"/>
  <c r="BU219" i="11"/>
  <c r="BT219" i="11"/>
  <c r="BS219" i="11"/>
  <c r="F219" i="11"/>
  <c r="C219" i="11"/>
  <c r="D219" i="11" s="1"/>
  <c r="CD218" i="11"/>
  <c r="CC218" i="11"/>
  <c r="CB218" i="11"/>
  <c r="CA218" i="11"/>
  <c r="BZ218" i="11"/>
  <c r="BY218" i="11"/>
  <c r="BX218" i="11"/>
  <c r="BW218" i="11"/>
  <c r="BV218" i="11"/>
  <c r="BU218" i="11"/>
  <c r="BT218" i="11"/>
  <c r="BS218" i="11"/>
  <c r="F218" i="11"/>
  <c r="C218" i="11"/>
  <c r="D218" i="11" s="1"/>
  <c r="CD217" i="11"/>
  <c r="CC217" i="11"/>
  <c r="CB217" i="11"/>
  <c r="CA217" i="11"/>
  <c r="BZ217" i="11"/>
  <c r="BY217" i="11"/>
  <c r="BX217" i="11"/>
  <c r="BW217" i="11"/>
  <c r="BV217" i="11"/>
  <c r="BU217" i="11"/>
  <c r="BT217" i="11"/>
  <c r="BS217" i="11"/>
  <c r="F217" i="11"/>
  <c r="C217" i="11"/>
  <c r="B217" i="11" s="1"/>
  <c r="CD216" i="11"/>
  <c r="CC216" i="11"/>
  <c r="CB216" i="11"/>
  <c r="CA216" i="11"/>
  <c r="BZ216" i="11"/>
  <c r="BY216" i="11"/>
  <c r="BX216" i="11"/>
  <c r="BW216" i="11"/>
  <c r="BV216" i="11"/>
  <c r="BU216" i="11"/>
  <c r="BT216" i="11"/>
  <c r="BS216" i="11"/>
  <c r="F216" i="11"/>
  <c r="D216" i="11"/>
  <c r="B216" i="11"/>
  <c r="CD215" i="11"/>
  <c r="CC215" i="11"/>
  <c r="CB215" i="11"/>
  <c r="CA215" i="11"/>
  <c r="BZ215" i="11"/>
  <c r="BY215" i="11"/>
  <c r="BX215" i="11"/>
  <c r="BW215" i="11"/>
  <c r="BV215" i="11"/>
  <c r="BU215" i="11"/>
  <c r="BT215" i="11"/>
  <c r="BS215" i="11"/>
  <c r="G215" i="11"/>
  <c r="C215" i="11"/>
  <c r="CD214" i="11"/>
  <c r="CC214" i="11"/>
  <c r="CB214" i="11"/>
  <c r="CA214" i="11"/>
  <c r="BZ214" i="11"/>
  <c r="BY214" i="11"/>
  <c r="BX214" i="11"/>
  <c r="BW214" i="11"/>
  <c r="BV214" i="11"/>
  <c r="BU214" i="11"/>
  <c r="BT214" i="11"/>
  <c r="BS214" i="11"/>
  <c r="F214" i="11"/>
  <c r="C214" i="11"/>
  <c r="D214" i="11" s="1"/>
  <c r="CD213" i="11"/>
  <c r="CC213" i="11"/>
  <c r="CB213" i="11"/>
  <c r="CA213" i="11"/>
  <c r="BZ213" i="11"/>
  <c r="BY213" i="11"/>
  <c r="BX213" i="11"/>
  <c r="BW213" i="11"/>
  <c r="BV213" i="11"/>
  <c r="BU213" i="11"/>
  <c r="BT213" i="11"/>
  <c r="BS213" i="11"/>
  <c r="F213" i="11"/>
  <c r="C213" i="11"/>
  <c r="B82" i="18" s="1"/>
  <c r="CD212" i="11"/>
  <c r="CC212" i="11"/>
  <c r="CB212" i="11"/>
  <c r="CA212" i="11"/>
  <c r="BZ212" i="11"/>
  <c r="BY212" i="11"/>
  <c r="BX212" i="11"/>
  <c r="BW212" i="11"/>
  <c r="BV212" i="11"/>
  <c r="BU212" i="11"/>
  <c r="BT212" i="11"/>
  <c r="BS212" i="11"/>
  <c r="F212" i="11"/>
  <c r="C212" i="11"/>
  <c r="B212" i="11" s="1"/>
  <c r="CD211" i="11"/>
  <c r="CC211" i="11"/>
  <c r="CB211" i="11"/>
  <c r="CA211" i="11"/>
  <c r="BZ211" i="11"/>
  <c r="BY211" i="11"/>
  <c r="BX211" i="11"/>
  <c r="BW211" i="11"/>
  <c r="BV211" i="11"/>
  <c r="BU211" i="11"/>
  <c r="BT211" i="11"/>
  <c r="BS211" i="11"/>
  <c r="G211" i="11"/>
  <c r="C211" i="11"/>
  <c r="CD210" i="11"/>
  <c r="CC210" i="11"/>
  <c r="CB210" i="11"/>
  <c r="CA210" i="11"/>
  <c r="BZ210" i="11"/>
  <c r="BY210" i="11"/>
  <c r="BX210" i="11"/>
  <c r="BW210" i="11"/>
  <c r="BV210" i="11"/>
  <c r="BU210" i="11"/>
  <c r="BT210" i="11"/>
  <c r="BS210" i="11"/>
  <c r="F210" i="11"/>
  <c r="C210" i="11"/>
  <c r="D210" i="11" s="1"/>
  <c r="CD209" i="11"/>
  <c r="CC209" i="11"/>
  <c r="CB209" i="11"/>
  <c r="CA209" i="11"/>
  <c r="BZ209" i="11"/>
  <c r="BY209" i="11"/>
  <c r="BX209" i="11"/>
  <c r="BW209" i="11"/>
  <c r="BV209" i="11"/>
  <c r="BU209" i="11"/>
  <c r="BT209" i="11"/>
  <c r="BS209" i="11"/>
  <c r="F209" i="11"/>
  <c r="C209" i="11"/>
  <c r="B38" i="18" s="1"/>
  <c r="CD208" i="11"/>
  <c r="CC208" i="11"/>
  <c r="CB208" i="11"/>
  <c r="CA208" i="11"/>
  <c r="BZ208" i="11"/>
  <c r="BY208" i="11"/>
  <c r="BX208" i="11"/>
  <c r="BW208" i="11"/>
  <c r="BV208" i="11"/>
  <c r="BU208" i="11"/>
  <c r="BT208" i="11"/>
  <c r="BS208" i="11"/>
  <c r="G208" i="11"/>
  <c r="C208" i="11"/>
  <c r="B208" i="11" s="1"/>
  <c r="CD206" i="11"/>
  <c r="CC206" i="11"/>
  <c r="CB206" i="11"/>
  <c r="CA206" i="11"/>
  <c r="BZ206" i="11"/>
  <c r="BY206" i="11"/>
  <c r="BX206" i="11"/>
  <c r="BW206" i="11"/>
  <c r="BV206" i="11"/>
  <c r="BU206" i="11"/>
  <c r="BT206" i="11"/>
  <c r="BS206" i="11"/>
  <c r="F206" i="11"/>
  <c r="C206" i="11"/>
  <c r="CD205" i="11"/>
  <c r="CC205" i="11"/>
  <c r="CB205" i="11"/>
  <c r="CA205" i="11"/>
  <c r="BZ205" i="11"/>
  <c r="BY205" i="11"/>
  <c r="BX205" i="11"/>
  <c r="BW205" i="11"/>
  <c r="BV205" i="11"/>
  <c r="BU205" i="11"/>
  <c r="BT205" i="11"/>
  <c r="BS205" i="11"/>
  <c r="G205" i="11"/>
  <c r="C205" i="11"/>
  <c r="D205" i="11" s="1"/>
  <c r="CD204" i="11"/>
  <c r="CC204" i="11"/>
  <c r="CB204" i="11"/>
  <c r="CA204" i="11"/>
  <c r="BZ204" i="11"/>
  <c r="BY204" i="11"/>
  <c r="BX204" i="11"/>
  <c r="BW204" i="11"/>
  <c r="BV204" i="11"/>
  <c r="BU204" i="11"/>
  <c r="BT204" i="11"/>
  <c r="BS204" i="11"/>
  <c r="F204" i="11"/>
  <c r="C204" i="11"/>
  <c r="B30" i="18" s="1"/>
  <c r="CD203" i="11"/>
  <c r="CC203" i="11"/>
  <c r="CB203" i="11"/>
  <c r="CA203" i="11"/>
  <c r="BZ203" i="11"/>
  <c r="BY203" i="11"/>
  <c r="BX203" i="11"/>
  <c r="BW203" i="11"/>
  <c r="BV203" i="11"/>
  <c r="BU203" i="11"/>
  <c r="BT203" i="11"/>
  <c r="BS203" i="11"/>
  <c r="F203" i="11"/>
  <c r="C203" i="11"/>
  <c r="B203" i="11" s="1"/>
  <c r="CD202" i="11"/>
  <c r="CC202" i="11"/>
  <c r="CB202" i="11"/>
  <c r="CA202" i="11"/>
  <c r="BZ202" i="11"/>
  <c r="BY202" i="11"/>
  <c r="BW202" i="11"/>
  <c r="BV202" i="11"/>
  <c r="BU202" i="11"/>
  <c r="BT202" i="11"/>
  <c r="BS202" i="11"/>
  <c r="AJ202" i="11"/>
  <c r="BX202" i="11" s="1"/>
  <c r="F202" i="11"/>
  <c r="C202" i="11"/>
  <c r="D202" i="11" s="1"/>
  <c r="CD198" i="11"/>
  <c r="CC198" i="11"/>
  <c r="CB198" i="11"/>
  <c r="CA198" i="11"/>
  <c r="BZ198" i="11"/>
  <c r="BY198" i="11"/>
  <c r="BX198" i="11"/>
  <c r="BW198" i="11"/>
  <c r="BV198" i="11"/>
  <c r="BU198" i="11"/>
  <c r="BT198" i="11"/>
  <c r="BS198" i="11"/>
  <c r="F198" i="11"/>
  <c r="C198" i="11"/>
  <c r="D198" i="11" s="1"/>
  <c r="CD197" i="11"/>
  <c r="CC197" i="11"/>
  <c r="CB197" i="11"/>
  <c r="CA197" i="11"/>
  <c r="BZ197" i="11"/>
  <c r="BY197" i="11"/>
  <c r="BX197" i="11"/>
  <c r="BW197" i="11"/>
  <c r="BV197" i="11"/>
  <c r="BU197" i="11"/>
  <c r="BT197" i="11"/>
  <c r="BS197" i="11"/>
  <c r="F197" i="11"/>
  <c r="C197" i="11"/>
  <c r="B197" i="11" s="1"/>
  <c r="CD196" i="11"/>
  <c r="CC196" i="11"/>
  <c r="CB196" i="11"/>
  <c r="CA196" i="11"/>
  <c r="BZ196" i="11"/>
  <c r="BX196" i="11"/>
  <c r="BW196" i="11"/>
  <c r="BV196" i="11"/>
  <c r="BU196" i="11"/>
  <c r="BT196" i="11"/>
  <c r="BS196" i="11"/>
  <c r="G196" i="11"/>
  <c r="C196" i="11"/>
  <c r="CD195" i="11"/>
  <c r="CC195" i="11"/>
  <c r="CB195" i="11"/>
  <c r="CA195" i="11"/>
  <c r="BZ195" i="11"/>
  <c r="BY195" i="11"/>
  <c r="BX195" i="11"/>
  <c r="BW195" i="11"/>
  <c r="BV195" i="11"/>
  <c r="BU195" i="11"/>
  <c r="BT195" i="11"/>
  <c r="BS195" i="11"/>
  <c r="F195" i="11"/>
  <c r="C195" i="11"/>
  <c r="B195" i="11" s="1"/>
  <c r="CD194" i="11"/>
  <c r="CC194" i="11"/>
  <c r="CB194" i="11"/>
  <c r="CA194" i="11"/>
  <c r="BZ194" i="11"/>
  <c r="BY194" i="11"/>
  <c r="BX194" i="11"/>
  <c r="BW194" i="11"/>
  <c r="BV194" i="11"/>
  <c r="BU194" i="11"/>
  <c r="BT194" i="11"/>
  <c r="BS194" i="11"/>
  <c r="F194" i="11"/>
  <c r="C194" i="11"/>
  <c r="D194" i="11" s="1"/>
  <c r="CD193" i="11"/>
  <c r="CC193" i="11"/>
  <c r="CB193" i="11"/>
  <c r="CA193" i="11"/>
  <c r="BZ193" i="11"/>
  <c r="BY193" i="11"/>
  <c r="BX193" i="11"/>
  <c r="BW193" i="11"/>
  <c r="BV193" i="11"/>
  <c r="BU193" i="11"/>
  <c r="BT193" i="11"/>
  <c r="BS193" i="11"/>
  <c r="G193" i="11"/>
  <c r="C193" i="11"/>
  <c r="D193" i="11" s="1"/>
  <c r="CD192" i="11"/>
  <c r="CC192" i="11"/>
  <c r="CB192" i="11"/>
  <c r="CA192" i="11"/>
  <c r="BZ192" i="11"/>
  <c r="BY192" i="11"/>
  <c r="BX192" i="11"/>
  <c r="BW192" i="11"/>
  <c r="BV192" i="11"/>
  <c r="BU192" i="11"/>
  <c r="BT192" i="11"/>
  <c r="BS192" i="11"/>
  <c r="G192" i="11"/>
  <c r="C192" i="11"/>
  <c r="CD191" i="11"/>
  <c r="CC191" i="11"/>
  <c r="CB191" i="11"/>
  <c r="CA191" i="11"/>
  <c r="BZ191" i="11"/>
  <c r="BY191" i="11"/>
  <c r="BX191" i="11"/>
  <c r="BW191" i="11"/>
  <c r="BV191" i="11"/>
  <c r="BU191" i="11"/>
  <c r="BT191" i="11"/>
  <c r="BS191" i="11"/>
  <c r="G191" i="11"/>
  <c r="C191" i="11"/>
  <c r="B191" i="11" s="1"/>
  <c r="CD190" i="11"/>
  <c r="CC190" i="11"/>
  <c r="CB190" i="11"/>
  <c r="CA190" i="11"/>
  <c r="BZ190" i="11"/>
  <c r="BY190" i="11"/>
  <c r="BX190" i="11"/>
  <c r="BW190" i="11"/>
  <c r="BV190" i="11"/>
  <c r="BU190" i="11"/>
  <c r="BT190" i="11"/>
  <c r="BS190" i="11"/>
  <c r="F190" i="11"/>
  <c r="C190" i="11"/>
  <c r="B46" i="18" s="1"/>
  <c r="CD189" i="11"/>
  <c r="CC189" i="11"/>
  <c r="CB189" i="11"/>
  <c r="CA189" i="11"/>
  <c r="BZ189" i="11"/>
  <c r="BY189" i="11"/>
  <c r="BX189" i="11"/>
  <c r="BW189" i="11"/>
  <c r="BV189" i="11"/>
  <c r="BU189" i="11"/>
  <c r="BT189" i="11"/>
  <c r="BS189" i="11"/>
  <c r="G189" i="11"/>
  <c r="C189" i="11"/>
  <c r="D189" i="11" s="1"/>
  <c r="CD188" i="11"/>
  <c r="CC188" i="11"/>
  <c r="CB188" i="11"/>
  <c r="CA188" i="11"/>
  <c r="BZ188" i="11"/>
  <c r="BY188" i="11"/>
  <c r="BX188" i="11"/>
  <c r="BW188" i="11"/>
  <c r="BV188" i="11"/>
  <c r="BU188" i="11"/>
  <c r="BT188" i="11"/>
  <c r="BS188" i="11"/>
  <c r="G188" i="11"/>
  <c r="C188" i="11"/>
  <c r="CD187" i="11"/>
  <c r="CC187" i="11"/>
  <c r="CB187" i="11"/>
  <c r="CA187" i="11"/>
  <c r="BZ187" i="11"/>
  <c r="BY187" i="11"/>
  <c r="BX187" i="11"/>
  <c r="BW187" i="11"/>
  <c r="BV187" i="11"/>
  <c r="BU187" i="11"/>
  <c r="BT187" i="11"/>
  <c r="BS187" i="11"/>
  <c r="G187" i="11"/>
  <c r="C187" i="11"/>
  <c r="B187" i="11" s="1"/>
  <c r="CD186" i="11"/>
  <c r="CC186" i="11"/>
  <c r="CB186" i="11"/>
  <c r="CA186" i="11"/>
  <c r="BZ186" i="11"/>
  <c r="BY186" i="11"/>
  <c r="BX186" i="11"/>
  <c r="BW186" i="11"/>
  <c r="BV186" i="11"/>
  <c r="BU186" i="11"/>
  <c r="BT186" i="11"/>
  <c r="BS186" i="11"/>
  <c r="G186" i="11"/>
  <c r="C186" i="11"/>
  <c r="B17" i="18" s="1"/>
  <c r="CD185" i="11"/>
  <c r="CC185" i="11"/>
  <c r="CB185" i="11"/>
  <c r="CA185" i="11"/>
  <c r="BZ185" i="11"/>
  <c r="BY185" i="11"/>
  <c r="BX185" i="11"/>
  <c r="BW185" i="11"/>
  <c r="BV185" i="11"/>
  <c r="BU185" i="11"/>
  <c r="BT185" i="11"/>
  <c r="BS185" i="11"/>
  <c r="F185" i="11"/>
  <c r="C185" i="11"/>
  <c r="D185" i="11" s="1"/>
  <c r="CD184" i="11"/>
  <c r="CC184" i="11"/>
  <c r="CB184" i="11"/>
  <c r="CA184" i="11"/>
  <c r="BZ184" i="11"/>
  <c r="BY184" i="11"/>
  <c r="BX184" i="11"/>
  <c r="BW184" i="11"/>
  <c r="BV184" i="11"/>
  <c r="BU184" i="11"/>
  <c r="BT184" i="11"/>
  <c r="BS184" i="11"/>
  <c r="F184" i="11"/>
  <c r="C184" i="11"/>
  <c r="CD183" i="11"/>
  <c r="CC183" i="11"/>
  <c r="CB183" i="11"/>
  <c r="CA183" i="11"/>
  <c r="BZ183" i="11"/>
  <c r="BY183" i="11"/>
  <c r="BX183" i="11"/>
  <c r="BW183" i="11"/>
  <c r="BV183" i="11"/>
  <c r="BU183" i="11"/>
  <c r="BT183" i="11"/>
  <c r="BS183" i="11"/>
  <c r="G183" i="11"/>
  <c r="C183" i="11"/>
  <c r="B183" i="11" s="1"/>
  <c r="CD182" i="11"/>
  <c r="CC182" i="11"/>
  <c r="CB182" i="11"/>
  <c r="CA182" i="11"/>
  <c r="BZ182" i="11"/>
  <c r="BY182" i="11"/>
  <c r="BX182" i="11"/>
  <c r="BW182" i="11"/>
  <c r="BV182" i="11"/>
  <c r="BU182" i="11"/>
  <c r="BT182" i="11"/>
  <c r="BS182" i="11"/>
  <c r="G182" i="11"/>
  <c r="C182" i="11"/>
  <c r="B182" i="11" s="1"/>
  <c r="CD181" i="11"/>
  <c r="CC181" i="11"/>
  <c r="CB181" i="11"/>
  <c r="CA181" i="11"/>
  <c r="BZ181" i="11"/>
  <c r="BY181" i="11"/>
  <c r="BX181" i="11"/>
  <c r="BW181" i="11"/>
  <c r="BV181" i="11"/>
  <c r="BU181" i="11"/>
  <c r="BT181" i="11"/>
  <c r="BS181" i="11"/>
  <c r="G181" i="11"/>
  <c r="C181" i="11"/>
  <c r="CD180" i="11"/>
  <c r="CC180" i="11"/>
  <c r="CB180" i="11"/>
  <c r="CA180" i="11"/>
  <c r="BZ180" i="11"/>
  <c r="BY180" i="11"/>
  <c r="BX180" i="11"/>
  <c r="BW180" i="11"/>
  <c r="BV180" i="11"/>
  <c r="BU180" i="11"/>
  <c r="BT180" i="11"/>
  <c r="BS180" i="11"/>
  <c r="F180" i="11"/>
  <c r="C180" i="11"/>
  <c r="B180" i="11" s="1"/>
  <c r="CD179" i="11"/>
  <c r="CC179" i="11"/>
  <c r="CB179" i="11"/>
  <c r="CA179" i="11"/>
  <c r="BZ179" i="11"/>
  <c r="BY179" i="11"/>
  <c r="BX179" i="11"/>
  <c r="BW179" i="11"/>
  <c r="BV179" i="11"/>
  <c r="BU179" i="11"/>
  <c r="BT179" i="11"/>
  <c r="BS179" i="11"/>
  <c r="F179" i="11"/>
  <c r="C179" i="11"/>
  <c r="B27" i="18" s="1"/>
  <c r="CD178" i="11"/>
  <c r="CC178" i="11"/>
  <c r="CB178" i="11"/>
  <c r="CA178" i="11"/>
  <c r="BZ178" i="11"/>
  <c r="BY178" i="11"/>
  <c r="BX178" i="11"/>
  <c r="BW178" i="11"/>
  <c r="BV178" i="11"/>
  <c r="BU178" i="11"/>
  <c r="BT178" i="11"/>
  <c r="BS178" i="11"/>
  <c r="F178" i="11"/>
  <c r="C178" i="11"/>
  <c r="D178" i="11" s="1"/>
  <c r="CD177" i="11"/>
  <c r="CC177" i="11"/>
  <c r="CB177" i="11"/>
  <c r="CA177" i="11"/>
  <c r="BZ177" i="11"/>
  <c r="BY177" i="11"/>
  <c r="BX177" i="11"/>
  <c r="BW177" i="11"/>
  <c r="BV177" i="11"/>
  <c r="BU177" i="11"/>
  <c r="BT177" i="11"/>
  <c r="BS177" i="11"/>
  <c r="G177" i="11"/>
  <c r="C177" i="11"/>
  <c r="CD176" i="11"/>
  <c r="CC176" i="11"/>
  <c r="CB176" i="11"/>
  <c r="CA176" i="11"/>
  <c r="BZ176" i="11"/>
  <c r="BY176" i="11"/>
  <c r="BX176" i="11"/>
  <c r="BW176" i="11"/>
  <c r="BV176" i="11"/>
  <c r="BU176" i="11"/>
  <c r="BT176" i="11"/>
  <c r="BS176" i="11"/>
  <c r="F176" i="11"/>
  <c r="C176" i="11"/>
  <c r="B176" i="11" s="1"/>
  <c r="CD175" i="11"/>
  <c r="CC175" i="11"/>
  <c r="CB175" i="11"/>
  <c r="CA175" i="11"/>
  <c r="BZ175" i="11"/>
  <c r="BY175" i="11"/>
  <c r="BX175" i="11"/>
  <c r="BW175" i="11"/>
  <c r="BV175" i="11"/>
  <c r="BU175" i="11"/>
  <c r="BT175" i="11"/>
  <c r="BS175" i="11"/>
  <c r="G175" i="11"/>
  <c r="C175" i="11"/>
  <c r="B175" i="11" s="1"/>
  <c r="CD174" i="11"/>
  <c r="CC174" i="11"/>
  <c r="CB174" i="11"/>
  <c r="CA174" i="11"/>
  <c r="BZ174" i="11"/>
  <c r="BY174" i="11"/>
  <c r="BX174" i="11"/>
  <c r="BW174" i="11"/>
  <c r="BV174" i="11"/>
  <c r="BU174" i="11"/>
  <c r="BT174" i="11"/>
  <c r="BS174" i="11"/>
  <c r="F174" i="11"/>
  <c r="C174" i="11"/>
  <c r="D174" i="11" s="1"/>
  <c r="CD173" i="11"/>
  <c r="CC173" i="11"/>
  <c r="CB173" i="11"/>
  <c r="CA173" i="11"/>
  <c r="BZ173" i="11"/>
  <c r="BY173" i="11"/>
  <c r="BX173" i="11"/>
  <c r="BW173" i="11"/>
  <c r="BV173" i="11"/>
  <c r="BU173" i="11"/>
  <c r="BT173" i="11"/>
  <c r="BS173" i="11"/>
  <c r="F173" i="11"/>
  <c r="C173" i="11"/>
  <c r="CD172" i="11"/>
  <c r="CC172" i="11"/>
  <c r="CB172" i="11"/>
  <c r="CA172" i="11"/>
  <c r="BZ172" i="11"/>
  <c r="BY172" i="11"/>
  <c r="BX172" i="11"/>
  <c r="BW172" i="11"/>
  <c r="BV172" i="11"/>
  <c r="BU172" i="11"/>
  <c r="BT172" i="11"/>
  <c r="BS172" i="11"/>
  <c r="G172" i="11"/>
  <c r="C172" i="11"/>
  <c r="B172" i="11" s="1"/>
  <c r="CD171" i="11"/>
  <c r="CC171" i="11"/>
  <c r="CB171" i="11"/>
  <c r="CA171" i="11"/>
  <c r="BZ171" i="11"/>
  <c r="BY171" i="11"/>
  <c r="BX171" i="11"/>
  <c r="BW171" i="11"/>
  <c r="BV171" i="11"/>
  <c r="BU171" i="11"/>
  <c r="BT171" i="11"/>
  <c r="BS171" i="11"/>
  <c r="G171" i="11"/>
  <c r="C171" i="11"/>
  <c r="B69" i="18" s="1"/>
  <c r="CD169" i="11"/>
  <c r="CC169" i="11"/>
  <c r="CB169" i="11"/>
  <c r="CA169" i="11"/>
  <c r="BZ169" i="11"/>
  <c r="BY169" i="11"/>
  <c r="BX169" i="11"/>
  <c r="BW169" i="11"/>
  <c r="BV169" i="11"/>
  <c r="BU169" i="11"/>
  <c r="BT169" i="11"/>
  <c r="BS169" i="11"/>
  <c r="G169" i="11"/>
  <c r="C169" i="11"/>
  <c r="D169" i="11" s="1"/>
  <c r="CD168" i="11"/>
  <c r="CC168" i="11"/>
  <c r="CB168" i="11"/>
  <c r="CA168" i="11"/>
  <c r="BZ168" i="11"/>
  <c r="BY168" i="11"/>
  <c r="BX168" i="11"/>
  <c r="BW168" i="11"/>
  <c r="BV168" i="11"/>
  <c r="BU168" i="11"/>
  <c r="BT168" i="11"/>
  <c r="BS168" i="11"/>
  <c r="F168" i="11"/>
  <c r="C168" i="11"/>
  <c r="CD167" i="11"/>
  <c r="CC167" i="11"/>
  <c r="CB167" i="11"/>
  <c r="CA167" i="11"/>
  <c r="BZ167" i="11"/>
  <c r="BY167" i="11"/>
  <c r="BX167" i="11"/>
  <c r="BW167" i="11"/>
  <c r="BV167" i="11"/>
  <c r="BU167" i="11"/>
  <c r="BT167" i="11"/>
  <c r="BS167" i="11"/>
  <c r="F167" i="11"/>
  <c r="C167" i="11"/>
  <c r="CD166" i="11"/>
  <c r="CC166" i="11"/>
  <c r="CB166" i="11"/>
  <c r="CA166" i="11"/>
  <c r="BZ166" i="11"/>
  <c r="BY166" i="11"/>
  <c r="BX166" i="11"/>
  <c r="BW166" i="11"/>
  <c r="BV166" i="11"/>
  <c r="BU166" i="11"/>
  <c r="BT166" i="11"/>
  <c r="BS166" i="11"/>
  <c r="F166" i="11"/>
  <c r="C166" i="11"/>
  <c r="B66" i="18" s="1"/>
  <c r="CD165" i="11"/>
  <c r="CC165" i="11"/>
  <c r="CB165" i="11"/>
  <c r="CA165" i="11"/>
  <c r="BZ165" i="11"/>
  <c r="BY165" i="11"/>
  <c r="BX165" i="11"/>
  <c r="BW165" i="11"/>
  <c r="BV165" i="11"/>
  <c r="BU165" i="11"/>
  <c r="BT165" i="11"/>
  <c r="BS165" i="11"/>
  <c r="F165" i="11"/>
  <c r="C165" i="11"/>
  <c r="D165" i="11" s="1"/>
  <c r="CD164" i="11"/>
  <c r="CC164" i="11"/>
  <c r="CB164" i="11"/>
  <c r="CA164" i="11"/>
  <c r="BZ164" i="11"/>
  <c r="BY164" i="11"/>
  <c r="BX164" i="11"/>
  <c r="BW164" i="11"/>
  <c r="BV164" i="11"/>
  <c r="BU164" i="11"/>
  <c r="BT164" i="11"/>
  <c r="BS164" i="11"/>
  <c r="F164" i="11"/>
  <c r="C164" i="11"/>
  <c r="CD163" i="11"/>
  <c r="CC163" i="11"/>
  <c r="CB163" i="11"/>
  <c r="CA163" i="11"/>
  <c r="BZ163" i="11"/>
  <c r="BY163" i="11"/>
  <c r="BX163" i="11"/>
  <c r="BW163" i="11"/>
  <c r="BV163" i="11"/>
  <c r="BU163" i="11"/>
  <c r="BT163" i="11"/>
  <c r="BS163" i="11"/>
  <c r="F163" i="11"/>
  <c r="C163" i="11"/>
  <c r="CD162" i="11"/>
  <c r="CC162" i="11"/>
  <c r="CB162" i="11"/>
  <c r="CA162" i="11"/>
  <c r="BZ162" i="11"/>
  <c r="BY162" i="11"/>
  <c r="BX162" i="11"/>
  <c r="BW162" i="11"/>
  <c r="BV162" i="11"/>
  <c r="BU162" i="11"/>
  <c r="BT162" i="11"/>
  <c r="BS162" i="11"/>
  <c r="F162" i="11"/>
  <c r="C162" i="11"/>
  <c r="B63" i="18" s="1"/>
  <c r="CD161" i="11"/>
  <c r="CC161" i="11"/>
  <c r="CB161" i="11"/>
  <c r="CA161" i="11"/>
  <c r="BZ161" i="11"/>
  <c r="BY161" i="11"/>
  <c r="BX161" i="11"/>
  <c r="BW161" i="11"/>
  <c r="BV161" i="11"/>
  <c r="BU161" i="11"/>
  <c r="BT161" i="11"/>
  <c r="BS161" i="11"/>
  <c r="G161" i="11"/>
  <c r="C161" i="11"/>
  <c r="D161" i="11" s="1"/>
  <c r="CD160" i="11"/>
  <c r="CC160" i="11"/>
  <c r="CB160" i="11"/>
  <c r="CA160" i="11"/>
  <c r="BZ160" i="11"/>
  <c r="BY160" i="11"/>
  <c r="BX160" i="11"/>
  <c r="BW160" i="11"/>
  <c r="BV160" i="11"/>
  <c r="BU160" i="11"/>
  <c r="BT160" i="11"/>
  <c r="BS160" i="11"/>
  <c r="F160" i="11"/>
  <c r="C160" i="11"/>
  <c r="CD159" i="11"/>
  <c r="CC159" i="11"/>
  <c r="CB159" i="11"/>
  <c r="CA159" i="11"/>
  <c r="BZ159" i="11"/>
  <c r="BY159" i="11"/>
  <c r="BX159" i="11"/>
  <c r="BW159" i="11"/>
  <c r="BV159" i="11"/>
  <c r="BU159" i="11"/>
  <c r="BT159" i="11"/>
  <c r="BS159" i="11"/>
  <c r="G159" i="11"/>
  <c r="C159" i="11"/>
  <c r="CD158" i="11"/>
  <c r="CC158" i="11"/>
  <c r="CB158" i="11"/>
  <c r="CA158" i="11"/>
  <c r="BZ158" i="11"/>
  <c r="BY158" i="11"/>
  <c r="BX158" i="11"/>
  <c r="BW158" i="11"/>
  <c r="BV158" i="11"/>
  <c r="BU158" i="11"/>
  <c r="BT158" i="11"/>
  <c r="BS158" i="11"/>
  <c r="G158" i="11"/>
  <c r="C158" i="11"/>
  <c r="B158" i="11" s="1"/>
  <c r="CD157" i="11"/>
  <c r="CC157" i="11"/>
  <c r="CB157" i="11"/>
  <c r="CA157" i="11"/>
  <c r="BZ157" i="11"/>
  <c r="BY157" i="11"/>
  <c r="BX157" i="11"/>
  <c r="BW157" i="11"/>
  <c r="BV157" i="11"/>
  <c r="BU157" i="11"/>
  <c r="BT157" i="11"/>
  <c r="BS157" i="11"/>
  <c r="G157" i="11"/>
  <c r="C157" i="11"/>
  <c r="D157" i="11" s="1"/>
  <c r="CD156" i="11"/>
  <c r="CC156" i="11"/>
  <c r="CB156" i="11"/>
  <c r="CA156" i="11"/>
  <c r="BZ156" i="11"/>
  <c r="BY156" i="11"/>
  <c r="BX156" i="11"/>
  <c r="BW156" i="11"/>
  <c r="BV156" i="11"/>
  <c r="BU156" i="11"/>
  <c r="BT156" i="11"/>
  <c r="BS156" i="11"/>
  <c r="G156" i="11"/>
  <c r="C156" i="11"/>
  <c r="CD155" i="11"/>
  <c r="CC155" i="11"/>
  <c r="CB155" i="11"/>
  <c r="CA155" i="11"/>
  <c r="BZ155" i="11"/>
  <c r="BY155" i="11"/>
  <c r="BX155" i="11"/>
  <c r="BW155" i="11"/>
  <c r="BV155" i="11"/>
  <c r="BU155" i="11"/>
  <c r="BT155" i="11"/>
  <c r="BS155" i="11"/>
  <c r="G155" i="11"/>
  <c r="C155" i="11"/>
  <c r="CD154" i="11"/>
  <c r="CC154" i="11"/>
  <c r="CB154" i="11"/>
  <c r="CA154" i="11"/>
  <c r="BZ154" i="11"/>
  <c r="BY154" i="11"/>
  <c r="BX154" i="11"/>
  <c r="BW154" i="11"/>
  <c r="BV154" i="11"/>
  <c r="BU154" i="11"/>
  <c r="BT154" i="11"/>
  <c r="BS154" i="11"/>
  <c r="G154" i="11"/>
  <c r="C154" i="11"/>
  <c r="B59" i="18" s="1"/>
  <c r="CD153" i="11"/>
  <c r="CC153" i="11"/>
  <c r="CB153" i="11"/>
  <c r="CA153" i="11"/>
  <c r="BZ153" i="11"/>
  <c r="BY153" i="11"/>
  <c r="BX153" i="11"/>
  <c r="BW153" i="11"/>
  <c r="BV153" i="11"/>
  <c r="BU153" i="11"/>
  <c r="BT153" i="11"/>
  <c r="BS153" i="11"/>
  <c r="G153" i="11"/>
  <c r="C153" i="11"/>
  <c r="D153" i="11" s="1"/>
  <c r="CD152" i="11"/>
  <c r="CC152" i="11"/>
  <c r="CB152" i="11"/>
  <c r="CA152" i="11"/>
  <c r="BZ152" i="11"/>
  <c r="BY152" i="11"/>
  <c r="BX152" i="11"/>
  <c r="BW152" i="11"/>
  <c r="BV152" i="11"/>
  <c r="BU152" i="11"/>
  <c r="BT152" i="11"/>
  <c r="BS152" i="11"/>
  <c r="G152" i="11"/>
  <c r="C152" i="11"/>
  <c r="CD151" i="11"/>
  <c r="CC151" i="11"/>
  <c r="CB151" i="11"/>
  <c r="CA151" i="11"/>
  <c r="BZ151" i="11"/>
  <c r="BY151" i="11"/>
  <c r="BX151" i="11"/>
  <c r="BW151" i="11"/>
  <c r="BV151" i="11"/>
  <c r="BU151" i="11"/>
  <c r="BT151" i="11"/>
  <c r="BS151" i="11"/>
  <c r="G151" i="11"/>
  <c r="C151" i="11"/>
  <c r="CD150" i="11"/>
  <c r="CC150" i="11"/>
  <c r="CB150" i="11"/>
  <c r="CA150" i="11"/>
  <c r="BZ150" i="11"/>
  <c r="BY150" i="11"/>
  <c r="BX150" i="11"/>
  <c r="BW150" i="11"/>
  <c r="BV150" i="11"/>
  <c r="BU150" i="11"/>
  <c r="BT150" i="11"/>
  <c r="BS150" i="11"/>
  <c r="G150" i="11"/>
  <c r="C150" i="11"/>
  <c r="B62" i="18" s="1"/>
  <c r="CD149" i="11"/>
  <c r="CC149" i="11"/>
  <c r="CB149" i="11"/>
  <c r="CA149" i="11"/>
  <c r="BZ149" i="11"/>
  <c r="BY149" i="11"/>
  <c r="BX149" i="11"/>
  <c r="BW149" i="11"/>
  <c r="BV149" i="11"/>
  <c r="BU149" i="11"/>
  <c r="BT149" i="11"/>
  <c r="BS149" i="11"/>
  <c r="F149" i="11"/>
  <c r="C149" i="11"/>
  <c r="D149" i="11" s="1"/>
  <c r="CD148" i="11"/>
  <c r="CC148" i="11"/>
  <c r="CB148" i="11"/>
  <c r="CA148" i="11"/>
  <c r="BZ148" i="11"/>
  <c r="BY148" i="11"/>
  <c r="BX148" i="11"/>
  <c r="BW148" i="11"/>
  <c r="BV148" i="11"/>
  <c r="BU148" i="11"/>
  <c r="BT148" i="11"/>
  <c r="BS148" i="11"/>
  <c r="F148" i="11"/>
  <c r="C148" i="11"/>
  <c r="CD147" i="11"/>
  <c r="CC147" i="11"/>
  <c r="CB147" i="11"/>
  <c r="CA147" i="11"/>
  <c r="BZ147" i="11"/>
  <c r="BY147" i="11"/>
  <c r="BX147" i="11"/>
  <c r="BW147" i="11"/>
  <c r="BV147" i="11"/>
  <c r="BU147" i="11"/>
  <c r="BT147" i="11"/>
  <c r="BS147" i="11"/>
  <c r="F147" i="11"/>
  <c r="C147" i="11"/>
  <c r="CD146" i="11"/>
  <c r="CC146" i="11"/>
  <c r="CB146" i="11"/>
  <c r="CA146" i="11"/>
  <c r="BZ146" i="11"/>
  <c r="BY146" i="11"/>
  <c r="BX146" i="11"/>
  <c r="BW146" i="11"/>
  <c r="BV146" i="11"/>
  <c r="BU146" i="11"/>
  <c r="BT146" i="11"/>
  <c r="BS146" i="11"/>
  <c r="F146" i="11"/>
  <c r="C146" i="11"/>
  <c r="B55" i="18" s="1"/>
  <c r="CD145" i="11"/>
  <c r="CC145" i="11"/>
  <c r="CB145" i="11"/>
  <c r="CA145" i="11"/>
  <c r="BZ145" i="11"/>
  <c r="BY145" i="11"/>
  <c r="BX145" i="11"/>
  <c r="BW145" i="11"/>
  <c r="BV145" i="11"/>
  <c r="BU145" i="11"/>
  <c r="BT145" i="11"/>
  <c r="BS145" i="11"/>
  <c r="F145" i="11"/>
  <c r="C145" i="11"/>
  <c r="D145" i="11" s="1"/>
  <c r="CD144" i="11"/>
  <c r="CC144" i="11"/>
  <c r="CB144" i="11"/>
  <c r="CA144" i="11"/>
  <c r="BZ144" i="11"/>
  <c r="BY144" i="11"/>
  <c r="BX144" i="11"/>
  <c r="BW144" i="11"/>
  <c r="BV144" i="11"/>
  <c r="BU144" i="11"/>
  <c r="BT144" i="11"/>
  <c r="BS144" i="11"/>
  <c r="F144" i="11"/>
  <c r="C144" i="11"/>
  <c r="CD143" i="11"/>
  <c r="CC143" i="11"/>
  <c r="CB143" i="11"/>
  <c r="CA143" i="11"/>
  <c r="BZ143" i="11"/>
  <c r="BY143" i="11"/>
  <c r="BX143" i="11"/>
  <c r="BW143" i="11"/>
  <c r="BV143" i="11"/>
  <c r="BU143" i="11"/>
  <c r="BT143" i="11"/>
  <c r="BS143" i="11"/>
  <c r="F143" i="11"/>
  <c r="C143" i="11"/>
  <c r="CD142" i="11"/>
  <c r="CC142" i="11"/>
  <c r="CB142" i="11"/>
  <c r="CA142" i="11"/>
  <c r="BZ142" i="11"/>
  <c r="BY142" i="11"/>
  <c r="BX142" i="11"/>
  <c r="BW142" i="11"/>
  <c r="BV142" i="11"/>
  <c r="BU142" i="11"/>
  <c r="BT142" i="11"/>
  <c r="BS142" i="11"/>
  <c r="G142" i="11"/>
  <c r="C142" i="11"/>
  <c r="B142" i="11" s="1"/>
  <c r="CD141" i="11"/>
  <c r="CC141" i="11"/>
  <c r="CB141" i="11"/>
  <c r="CA141" i="11"/>
  <c r="BZ141" i="11"/>
  <c r="BY141" i="11"/>
  <c r="BX141" i="11"/>
  <c r="BW141" i="11"/>
  <c r="BV141" i="11"/>
  <c r="BU141" i="11"/>
  <c r="BT141" i="11"/>
  <c r="BS141" i="11"/>
  <c r="F141" i="11"/>
  <c r="C141" i="11"/>
  <c r="D141" i="11" s="1"/>
  <c r="CD140" i="11"/>
  <c r="CC140" i="11"/>
  <c r="CB140" i="11"/>
  <c r="CA140" i="11"/>
  <c r="BZ140" i="11"/>
  <c r="BY140" i="11"/>
  <c r="BX140" i="11"/>
  <c r="BW140" i="11"/>
  <c r="BV140" i="11"/>
  <c r="BU140" i="11"/>
  <c r="BT140" i="11"/>
  <c r="BS140" i="11"/>
  <c r="F140" i="11"/>
  <c r="C140" i="11"/>
  <c r="CD139" i="11"/>
  <c r="CC139" i="11"/>
  <c r="CB139" i="11"/>
  <c r="CA139" i="11"/>
  <c r="BZ139" i="11"/>
  <c r="BY139" i="11"/>
  <c r="BX139" i="11"/>
  <c r="BW139" i="11"/>
  <c r="BV139" i="11"/>
  <c r="BU139" i="11"/>
  <c r="BT139" i="11"/>
  <c r="BS139" i="11"/>
  <c r="F139" i="11"/>
  <c r="C139" i="11"/>
  <c r="CD138" i="11"/>
  <c r="CC138" i="11"/>
  <c r="CB138" i="11"/>
  <c r="CA138" i="11"/>
  <c r="BZ138" i="11"/>
  <c r="BY138" i="11"/>
  <c r="BX138" i="11"/>
  <c r="BW138" i="11"/>
  <c r="BV138" i="11"/>
  <c r="BU138" i="11"/>
  <c r="BT138" i="11"/>
  <c r="BS138" i="11"/>
  <c r="F138" i="11"/>
  <c r="C138" i="11"/>
  <c r="B49" i="18" s="1"/>
  <c r="CD137" i="11"/>
  <c r="CC137" i="11"/>
  <c r="CB137" i="11"/>
  <c r="CA137" i="11"/>
  <c r="BZ137" i="11"/>
  <c r="BY137" i="11"/>
  <c r="BX137" i="11"/>
  <c r="BW137" i="11"/>
  <c r="BV137" i="11"/>
  <c r="BU137" i="11"/>
  <c r="BT137" i="11"/>
  <c r="BS137" i="11"/>
  <c r="F137" i="11"/>
  <c r="C137" i="11"/>
  <c r="D137" i="11" s="1"/>
  <c r="CD136" i="11"/>
  <c r="CC136" i="11"/>
  <c r="CB136" i="11"/>
  <c r="CA136" i="11"/>
  <c r="BZ136" i="11"/>
  <c r="BY136" i="11"/>
  <c r="BX136" i="11"/>
  <c r="BW136" i="11"/>
  <c r="BV136" i="11"/>
  <c r="BU136" i="11"/>
  <c r="BT136" i="11"/>
  <c r="BS136" i="11"/>
  <c r="F136" i="11"/>
  <c r="C136" i="11"/>
  <c r="CD135" i="11"/>
  <c r="CC135" i="11"/>
  <c r="CB135" i="11"/>
  <c r="CA135" i="11"/>
  <c r="BZ135" i="11"/>
  <c r="BY135" i="11"/>
  <c r="BX135" i="11"/>
  <c r="BW135" i="11"/>
  <c r="BV135" i="11"/>
  <c r="BU135" i="11"/>
  <c r="BT135" i="11"/>
  <c r="BS135" i="11"/>
  <c r="F135" i="11"/>
  <c r="C135" i="11"/>
  <c r="CD134" i="11"/>
  <c r="CC134" i="11"/>
  <c r="CB134" i="11"/>
  <c r="CA134" i="11"/>
  <c r="BZ134" i="11"/>
  <c r="BY134" i="11"/>
  <c r="BX134" i="11"/>
  <c r="BW134" i="11"/>
  <c r="BV134" i="11"/>
  <c r="BU134" i="11"/>
  <c r="BT134" i="11"/>
  <c r="BS134" i="11"/>
  <c r="F134" i="11"/>
  <c r="C134" i="11"/>
  <c r="B47" i="18" s="1"/>
  <c r="CD133" i="11"/>
  <c r="CC133" i="11"/>
  <c r="CB133" i="11"/>
  <c r="CA133" i="11"/>
  <c r="BZ133" i="11"/>
  <c r="BY133" i="11"/>
  <c r="BX133" i="11"/>
  <c r="BW133" i="11"/>
  <c r="BV133" i="11"/>
  <c r="BU133" i="11"/>
  <c r="BT133" i="11"/>
  <c r="BS133" i="11"/>
  <c r="G133" i="11"/>
  <c r="C133" i="11"/>
  <c r="D133" i="11" s="1"/>
  <c r="CD132" i="11"/>
  <c r="CC132" i="11"/>
  <c r="CB132" i="11"/>
  <c r="CA132" i="11"/>
  <c r="BZ132" i="11"/>
  <c r="BY132" i="11"/>
  <c r="BX132" i="11"/>
  <c r="BW132" i="11"/>
  <c r="BV132" i="11"/>
  <c r="BU132" i="11"/>
  <c r="BT132" i="11"/>
  <c r="BS132" i="11"/>
  <c r="G132" i="11"/>
  <c r="C132" i="11"/>
  <c r="CD131" i="11"/>
  <c r="CC131" i="11"/>
  <c r="CB131" i="11"/>
  <c r="CA131" i="11"/>
  <c r="BZ131" i="11"/>
  <c r="BY131" i="11"/>
  <c r="BX131" i="11"/>
  <c r="BW131" i="11"/>
  <c r="BV131" i="11"/>
  <c r="BU131" i="11"/>
  <c r="BT131" i="11"/>
  <c r="BS131" i="11"/>
  <c r="G131" i="11"/>
  <c r="C131" i="11"/>
  <c r="CD130" i="11"/>
  <c r="CC130" i="11"/>
  <c r="CB130" i="11"/>
  <c r="CA130" i="11"/>
  <c r="BZ130" i="11"/>
  <c r="BY130" i="11"/>
  <c r="BX130" i="11"/>
  <c r="BW130" i="11"/>
  <c r="BV130" i="11"/>
  <c r="BU130" i="11"/>
  <c r="BT130" i="11"/>
  <c r="BS130" i="11"/>
  <c r="G130" i="11"/>
  <c r="C130" i="11"/>
  <c r="B13" i="18" s="1"/>
  <c r="CD129" i="11"/>
  <c r="CC129" i="11"/>
  <c r="CB129" i="11"/>
  <c r="CA129" i="11"/>
  <c r="BZ129" i="11"/>
  <c r="BY129" i="11"/>
  <c r="BX129" i="11"/>
  <c r="BW129" i="11"/>
  <c r="BV129" i="11"/>
  <c r="BU129" i="11"/>
  <c r="BT129" i="11"/>
  <c r="BS129" i="11"/>
  <c r="F129" i="11"/>
  <c r="C129" i="11"/>
  <c r="D129" i="11" s="1"/>
  <c r="CD128" i="11"/>
  <c r="CC128" i="11"/>
  <c r="CB128" i="11"/>
  <c r="CA128" i="11"/>
  <c r="BZ128" i="11"/>
  <c r="BY128" i="11"/>
  <c r="BX128" i="11"/>
  <c r="BW128" i="11"/>
  <c r="BV128" i="11"/>
  <c r="BU128" i="11"/>
  <c r="BT128" i="11"/>
  <c r="BS128" i="11"/>
  <c r="F128" i="11"/>
  <c r="C128" i="11"/>
  <c r="CD127" i="11"/>
  <c r="CC127" i="11"/>
  <c r="CB127" i="11"/>
  <c r="CA127" i="11"/>
  <c r="BZ127" i="11"/>
  <c r="BY127" i="11"/>
  <c r="BX127" i="11"/>
  <c r="BW127" i="11"/>
  <c r="BV127" i="11"/>
  <c r="BU127" i="11"/>
  <c r="BT127" i="11"/>
  <c r="BS127" i="11"/>
  <c r="F127" i="11"/>
  <c r="C127" i="11"/>
  <c r="CD126" i="11"/>
  <c r="CC126" i="11"/>
  <c r="CB126" i="11"/>
  <c r="CA126" i="11"/>
  <c r="BZ126" i="11"/>
  <c r="BY126" i="11"/>
  <c r="BX126" i="11"/>
  <c r="BW126" i="11"/>
  <c r="BV126" i="11"/>
  <c r="BU126" i="11"/>
  <c r="BT126" i="11"/>
  <c r="BS126" i="11"/>
  <c r="F126" i="11"/>
  <c r="C126" i="11"/>
  <c r="B9" i="18" s="1"/>
  <c r="CD125" i="11"/>
  <c r="CC125" i="11"/>
  <c r="CB125" i="11"/>
  <c r="CA125" i="11"/>
  <c r="BZ125" i="11"/>
  <c r="BY125" i="11"/>
  <c r="BX125" i="11"/>
  <c r="BW125" i="11"/>
  <c r="BV125" i="11"/>
  <c r="BU125" i="11"/>
  <c r="BT125" i="11"/>
  <c r="BS125" i="11"/>
  <c r="F125" i="11"/>
  <c r="C125" i="11"/>
  <c r="CD124" i="11"/>
  <c r="CC124" i="11"/>
  <c r="CB124" i="11"/>
  <c r="CA124" i="11"/>
  <c r="BZ124" i="11"/>
  <c r="BY124" i="11"/>
  <c r="BX124" i="11"/>
  <c r="BW124" i="11"/>
  <c r="BV124" i="11"/>
  <c r="BU124" i="11"/>
  <c r="BT124" i="11"/>
  <c r="BS124" i="11"/>
  <c r="F124" i="11"/>
  <c r="C124" i="11"/>
  <c r="CD123" i="11"/>
  <c r="CC123" i="11"/>
  <c r="CB123" i="11"/>
  <c r="CA123" i="11"/>
  <c r="BZ123" i="11"/>
  <c r="BY123" i="11"/>
  <c r="BX123" i="11"/>
  <c r="BW123" i="11"/>
  <c r="BV123" i="11"/>
  <c r="BU123" i="11"/>
  <c r="BT123" i="11"/>
  <c r="BS123" i="11"/>
  <c r="F123" i="11"/>
  <c r="C123" i="11"/>
  <c r="CD122" i="11"/>
  <c r="CC122" i="11"/>
  <c r="CB122" i="11"/>
  <c r="CA122" i="11"/>
  <c r="BZ122" i="11"/>
  <c r="BY122" i="11"/>
  <c r="BX122" i="11"/>
  <c r="BW122" i="11"/>
  <c r="BV122" i="11"/>
  <c r="BU122" i="11"/>
  <c r="BT122" i="11"/>
  <c r="BS122" i="11"/>
  <c r="F122" i="11"/>
  <c r="C122" i="11"/>
  <c r="B5" i="18" s="1"/>
  <c r="CD121" i="11"/>
  <c r="CC121" i="11"/>
  <c r="CB121" i="11"/>
  <c r="CA121" i="11"/>
  <c r="BZ121" i="11"/>
  <c r="BY121" i="11"/>
  <c r="BX121" i="11"/>
  <c r="BW121" i="11"/>
  <c r="BV121" i="11"/>
  <c r="BU121" i="11"/>
  <c r="BT121" i="11"/>
  <c r="BS121" i="11"/>
  <c r="F121" i="11"/>
  <c r="C121" i="11"/>
  <c r="CD120" i="11"/>
  <c r="CC120" i="11"/>
  <c r="CB120" i="11"/>
  <c r="CA120" i="11"/>
  <c r="BZ120" i="11"/>
  <c r="BY120" i="11"/>
  <c r="BX120" i="11"/>
  <c r="BW120" i="11"/>
  <c r="BV120" i="11"/>
  <c r="BU120" i="11"/>
  <c r="BT120" i="11"/>
  <c r="BS120" i="11"/>
  <c r="F120" i="11"/>
  <c r="C120" i="11"/>
  <c r="CD119" i="11"/>
  <c r="CC119" i="11"/>
  <c r="CB119" i="11"/>
  <c r="CA119" i="11"/>
  <c r="BZ119" i="11"/>
  <c r="BY119" i="11"/>
  <c r="BX119" i="11"/>
  <c r="BW119" i="11"/>
  <c r="BV119" i="11"/>
  <c r="BU119" i="11"/>
  <c r="BT119" i="11"/>
  <c r="BS119" i="11"/>
  <c r="G119" i="11"/>
  <c r="C119" i="11"/>
  <c r="CD118" i="11"/>
  <c r="CC118" i="11"/>
  <c r="CB118" i="11"/>
  <c r="CA118" i="11"/>
  <c r="BZ118" i="11"/>
  <c r="BY118" i="11"/>
  <c r="BX118" i="11"/>
  <c r="BW118" i="11"/>
  <c r="BV118" i="11"/>
  <c r="BU118" i="11"/>
  <c r="BT118" i="11"/>
  <c r="BS118" i="11"/>
  <c r="G118" i="11"/>
  <c r="C118" i="11"/>
  <c r="B118" i="11" s="1"/>
  <c r="CD117" i="11"/>
  <c r="CC117" i="11"/>
  <c r="CB117" i="11"/>
  <c r="CA117" i="11"/>
  <c r="BZ117" i="11"/>
  <c r="BY117" i="11"/>
  <c r="BX117" i="11"/>
  <c r="BW117" i="11"/>
  <c r="BV117" i="11"/>
  <c r="BU117" i="11"/>
  <c r="BT117" i="11"/>
  <c r="BS117" i="11"/>
  <c r="G117" i="11"/>
  <c r="C117" i="11"/>
  <c r="B117" i="11" s="1"/>
  <c r="CD116" i="11"/>
  <c r="CC116" i="11"/>
  <c r="CB116" i="11"/>
  <c r="CA116" i="11"/>
  <c r="BZ116" i="11"/>
  <c r="BY116" i="11"/>
  <c r="BX116" i="11"/>
  <c r="BW116" i="11"/>
  <c r="BV116" i="11"/>
  <c r="BU116" i="11"/>
  <c r="BT116" i="11"/>
  <c r="BS116" i="11"/>
  <c r="G116" i="11"/>
  <c r="C116" i="11"/>
  <c r="B116" i="11" s="1"/>
  <c r="CD115" i="11"/>
  <c r="CC115" i="11"/>
  <c r="CB115" i="11"/>
  <c r="CA115" i="11"/>
  <c r="BZ115" i="11"/>
  <c r="BY115" i="11"/>
  <c r="BX115" i="11"/>
  <c r="BW115" i="11"/>
  <c r="BV115" i="11"/>
  <c r="BU115" i="11"/>
  <c r="BT115" i="11"/>
  <c r="BS115" i="11"/>
  <c r="G115" i="11"/>
  <c r="C115" i="11"/>
  <c r="B115" i="11" s="1"/>
  <c r="CD114" i="11"/>
  <c r="CC114" i="11"/>
  <c r="CB114" i="11"/>
  <c r="CA114" i="11"/>
  <c r="BZ114" i="11"/>
  <c r="BY114" i="11"/>
  <c r="BX114" i="11"/>
  <c r="BW114" i="11"/>
  <c r="BV114" i="11"/>
  <c r="BU114" i="11"/>
  <c r="BT114" i="11"/>
  <c r="BS114" i="11"/>
  <c r="F114" i="11"/>
  <c r="C114" i="11"/>
  <c r="D114" i="11" s="1"/>
  <c r="CD113" i="11"/>
  <c r="CC113" i="11"/>
  <c r="CB113" i="11"/>
  <c r="CA113" i="11"/>
  <c r="BZ113" i="11"/>
  <c r="BY113" i="11"/>
  <c r="BX113" i="11"/>
  <c r="BW113" i="11"/>
  <c r="BV113" i="11"/>
  <c r="BU113" i="11"/>
  <c r="BT113" i="11"/>
  <c r="BS113" i="11"/>
  <c r="F113" i="11"/>
  <c r="C113" i="11"/>
  <c r="CD112" i="11"/>
  <c r="CC112" i="11"/>
  <c r="CB112" i="11"/>
  <c r="CA112" i="11"/>
  <c r="BZ112" i="11"/>
  <c r="BY112" i="11"/>
  <c r="BX112" i="11"/>
  <c r="BW112" i="11"/>
  <c r="BV112" i="11"/>
  <c r="BU112" i="11"/>
  <c r="BT112" i="11"/>
  <c r="BS112" i="11"/>
  <c r="F112" i="11"/>
  <c r="C112" i="11"/>
  <c r="D112" i="11" s="1"/>
  <c r="CD111" i="11"/>
  <c r="CC111" i="11"/>
  <c r="CB111" i="11"/>
  <c r="CA111" i="11"/>
  <c r="BZ111" i="11"/>
  <c r="BY111" i="11"/>
  <c r="BX111" i="11"/>
  <c r="BW111" i="11"/>
  <c r="BV111" i="11"/>
  <c r="BU111" i="11"/>
  <c r="BT111" i="11"/>
  <c r="BS111" i="11"/>
  <c r="G111" i="11"/>
  <c r="C111" i="11"/>
  <c r="B111" i="11" s="1"/>
  <c r="CD110" i="11"/>
  <c r="CC110" i="11"/>
  <c r="CB110" i="11"/>
  <c r="CA110" i="11"/>
  <c r="BZ110" i="11"/>
  <c r="BY110" i="11"/>
  <c r="BX110" i="11"/>
  <c r="BW110" i="11"/>
  <c r="BV110" i="11"/>
  <c r="BU110" i="11"/>
  <c r="BT110" i="11"/>
  <c r="BS110" i="11"/>
  <c r="G110" i="11"/>
  <c r="C110" i="11"/>
  <c r="B110" i="11" s="1"/>
  <c r="CD109" i="11"/>
  <c r="CC109" i="11"/>
  <c r="CB109" i="11"/>
  <c r="CA109" i="11"/>
  <c r="BZ109" i="11"/>
  <c r="BY109" i="11"/>
  <c r="BX109" i="11"/>
  <c r="BW109" i="11"/>
  <c r="BV109" i="11"/>
  <c r="BU109" i="11"/>
  <c r="BT109" i="11"/>
  <c r="BS109" i="11"/>
  <c r="G109" i="11"/>
  <c r="C109" i="11"/>
  <c r="B109" i="11" s="1"/>
  <c r="CD108" i="11"/>
  <c r="CC108" i="11"/>
  <c r="CB108" i="11"/>
  <c r="CA108" i="11"/>
  <c r="BZ108" i="11"/>
  <c r="BY108" i="11"/>
  <c r="BX108" i="11"/>
  <c r="BW108" i="11"/>
  <c r="BV108" i="11"/>
  <c r="BU108" i="11"/>
  <c r="BT108" i="11"/>
  <c r="BS108" i="11"/>
  <c r="F108" i="11"/>
  <c r="C108" i="11"/>
  <c r="B108" i="11" s="1"/>
  <c r="CD107" i="11"/>
  <c r="CC107" i="11"/>
  <c r="CB107" i="11"/>
  <c r="CA107" i="11"/>
  <c r="BZ107" i="11"/>
  <c r="BY107" i="11"/>
  <c r="BX107" i="11"/>
  <c r="BW107" i="11"/>
  <c r="BV107" i="11"/>
  <c r="BU107" i="11"/>
  <c r="BT107" i="11"/>
  <c r="BS107" i="11"/>
  <c r="F107" i="11"/>
  <c r="C107" i="11"/>
  <c r="B107" i="11" s="1"/>
  <c r="CD106" i="11"/>
  <c r="CC106" i="11"/>
  <c r="CB106" i="11"/>
  <c r="CA106" i="11"/>
  <c r="BZ106" i="11"/>
  <c r="BY106" i="11"/>
  <c r="BX106" i="11"/>
  <c r="BW106" i="11"/>
  <c r="BV106" i="11"/>
  <c r="BU106" i="11"/>
  <c r="BT106" i="11"/>
  <c r="BS106" i="11"/>
  <c r="F106" i="11"/>
  <c r="C106" i="11"/>
  <c r="B106" i="11" s="1"/>
  <c r="CD105" i="11"/>
  <c r="CC105" i="11"/>
  <c r="CB105" i="11"/>
  <c r="CA105" i="11"/>
  <c r="BZ105" i="11"/>
  <c r="BY105" i="11"/>
  <c r="BX105" i="11"/>
  <c r="BW105" i="11"/>
  <c r="BV105" i="11"/>
  <c r="BU105" i="11"/>
  <c r="BT105" i="11"/>
  <c r="BS105" i="11"/>
  <c r="F105" i="11"/>
  <c r="C105" i="11"/>
  <c r="B105" i="11" s="1"/>
  <c r="CD103" i="11"/>
  <c r="CC103" i="11"/>
  <c r="CB103" i="11"/>
  <c r="CA103" i="11"/>
  <c r="BZ103" i="11"/>
  <c r="BY103" i="11"/>
  <c r="BX103" i="11"/>
  <c r="BW103" i="11"/>
  <c r="BV103" i="11"/>
  <c r="BU103" i="11"/>
  <c r="BT103" i="11"/>
  <c r="BS103" i="11"/>
  <c r="C103" i="11"/>
  <c r="B103" i="11" s="1"/>
  <c r="CD102" i="11"/>
  <c r="CC102" i="11"/>
  <c r="CB102" i="11"/>
  <c r="CA102" i="11"/>
  <c r="BZ102" i="11"/>
  <c r="BY102" i="11"/>
  <c r="BX102" i="11"/>
  <c r="BW102" i="11"/>
  <c r="BV102" i="11"/>
  <c r="BU102" i="11"/>
  <c r="BT102" i="11"/>
  <c r="BS102" i="11"/>
  <c r="F102" i="11"/>
  <c r="C102" i="11"/>
  <c r="B79" i="18" s="1"/>
  <c r="CD101" i="11"/>
  <c r="CC101" i="11"/>
  <c r="CB101" i="11"/>
  <c r="CA101" i="11"/>
  <c r="BZ101" i="11"/>
  <c r="BY101" i="11"/>
  <c r="BX101" i="11"/>
  <c r="BW101" i="11"/>
  <c r="BV101" i="11"/>
  <c r="BU101" i="11"/>
  <c r="BT101" i="11"/>
  <c r="BS101" i="11"/>
  <c r="F101" i="11"/>
  <c r="C101" i="11"/>
  <c r="B101" i="11" s="1"/>
  <c r="CD100" i="11"/>
  <c r="CC100" i="11"/>
  <c r="CB100" i="11"/>
  <c r="CA100" i="11"/>
  <c r="BZ100" i="11"/>
  <c r="BY100" i="11"/>
  <c r="BX100" i="11"/>
  <c r="BW100" i="11"/>
  <c r="BV100" i="11"/>
  <c r="BU100" i="11"/>
  <c r="BT100" i="11"/>
  <c r="BS100" i="11"/>
  <c r="F100" i="11"/>
  <c r="C100" i="11"/>
  <c r="B100" i="11" s="1"/>
  <c r="CD99" i="11"/>
  <c r="CC99" i="11"/>
  <c r="CB99" i="11"/>
  <c r="CA99" i="11"/>
  <c r="BZ99" i="11"/>
  <c r="BY99" i="11"/>
  <c r="BX99" i="11"/>
  <c r="BW99" i="11"/>
  <c r="BV99" i="11"/>
  <c r="BU99" i="11"/>
  <c r="BT99" i="11"/>
  <c r="BS99" i="11"/>
  <c r="F99" i="11"/>
  <c r="C99" i="11"/>
  <c r="B99" i="11" s="1"/>
  <c r="CD98" i="11"/>
  <c r="CC98" i="11"/>
  <c r="CB98" i="11"/>
  <c r="CA98" i="11"/>
  <c r="BZ98" i="11"/>
  <c r="BY98" i="11"/>
  <c r="BX98" i="11"/>
  <c r="BW98" i="11"/>
  <c r="BV98" i="11"/>
  <c r="BU98" i="11"/>
  <c r="BT98" i="11"/>
  <c r="BS98" i="11"/>
  <c r="F98" i="11"/>
  <c r="C98" i="11"/>
  <c r="D98" i="11" s="1"/>
  <c r="CD97" i="11"/>
  <c r="CC97" i="11"/>
  <c r="CB97" i="11"/>
  <c r="CA97" i="11"/>
  <c r="BZ97" i="11"/>
  <c r="BY97" i="11"/>
  <c r="BX97" i="11"/>
  <c r="BW97" i="11"/>
  <c r="BV97" i="11"/>
  <c r="BU97" i="11"/>
  <c r="BT97" i="11"/>
  <c r="BS97" i="11"/>
  <c r="F97" i="11"/>
  <c r="C97" i="11"/>
  <c r="B97" i="11" s="1"/>
  <c r="CD96" i="11"/>
  <c r="CC96" i="11"/>
  <c r="CB96" i="11"/>
  <c r="CA96" i="11"/>
  <c r="BZ96" i="11"/>
  <c r="BY96" i="11"/>
  <c r="BX96" i="11"/>
  <c r="BW96" i="11"/>
  <c r="BV96" i="11"/>
  <c r="BU96" i="11"/>
  <c r="BT96" i="11"/>
  <c r="BS96" i="11"/>
  <c r="F96" i="11"/>
  <c r="C96" i="11"/>
  <c r="D96" i="11" s="1"/>
  <c r="CD95" i="11"/>
  <c r="CC95" i="11"/>
  <c r="CB95" i="11"/>
  <c r="CA95" i="11"/>
  <c r="BZ95" i="11"/>
  <c r="BY95" i="11"/>
  <c r="BX95" i="11"/>
  <c r="BW95" i="11"/>
  <c r="BV95" i="11"/>
  <c r="BU95" i="11"/>
  <c r="BT95" i="11"/>
  <c r="BS95" i="11"/>
  <c r="F95" i="11"/>
  <c r="C95" i="11"/>
  <c r="CD94" i="11"/>
  <c r="CC94" i="11"/>
  <c r="CB94" i="11"/>
  <c r="CA94" i="11"/>
  <c r="BZ94" i="11"/>
  <c r="BY94" i="11"/>
  <c r="BX94" i="11"/>
  <c r="BW94" i="11"/>
  <c r="BV94" i="11"/>
  <c r="BU94" i="11"/>
  <c r="BT94" i="11"/>
  <c r="BS94" i="11"/>
  <c r="G94" i="11"/>
  <c r="C94" i="11"/>
  <c r="B94" i="11" s="1"/>
  <c r="CD93" i="11"/>
  <c r="CC93" i="11"/>
  <c r="CB93" i="11"/>
  <c r="CA93" i="11"/>
  <c r="BZ93" i="11"/>
  <c r="BY93" i="11"/>
  <c r="BX93" i="11"/>
  <c r="BW93" i="11"/>
  <c r="BV93" i="11"/>
  <c r="BU93" i="11"/>
  <c r="BT93" i="11"/>
  <c r="BS93" i="11"/>
  <c r="G93" i="11"/>
  <c r="C93" i="11"/>
  <c r="B25" i="18" s="1"/>
  <c r="CD92" i="11"/>
  <c r="CC92" i="11"/>
  <c r="CB92" i="11"/>
  <c r="CA92" i="11"/>
  <c r="BZ92" i="11"/>
  <c r="BY92" i="11"/>
  <c r="BX92" i="11"/>
  <c r="BW92" i="11"/>
  <c r="BV92" i="11"/>
  <c r="BU92" i="11"/>
  <c r="BT92" i="11"/>
  <c r="BS92" i="11"/>
  <c r="G92" i="11"/>
  <c r="C92" i="11"/>
  <c r="B92" i="11" s="1"/>
  <c r="CD91" i="11"/>
  <c r="CC91" i="11"/>
  <c r="CB91" i="11"/>
  <c r="CA91" i="11"/>
  <c r="BZ91" i="11"/>
  <c r="BY91" i="11"/>
  <c r="BX91" i="11"/>
  <c r="BW91" i="11"/>
  <c r="BV91" i="11"/>
  <c r="BU91" i="11"/>
  <c r="BT91" i="11"/>
  <c r="BS91" i="11"/>
  <c r="F91" i="11"/>
  <c r="C91" i="11"/>
  <c r="B24" i="18" s="1"/>
  <c r="CD90" i="11"/>
  <c r="CC90" i="11"/>
  <c r="CB90" i="11"/>
  <c r="CA90" i="11"/>
  <c r="BZ90" i="11"/>
  <c r="BY90" i="11"/>
  <c r="BX90" i="11"/>
  <c r="BW90" i="11"/>
  <c r="BV90" i="11"/>
  <c r="BU90" i="11"/>
  <c r="BT90" i="11"/>
  <c r="BS90" i="11"/>
  <c r="F90" i="11"/>
  <c r="C90" i="11"/>
  <c r="D90" i="11" s="1"/>
  <c r="CD89" i="11"/>
  <c r="CC89" i="11"/>
  <c r="CB89" i="11"/>
  <c r="CA89" i="11"/>
  <c r="BZ89" i="11"/>
  <c r="BY89" i="11"/>
  <c r="BX89" i="11"/>
  <c r="BW89" i="11"/>
  <c r="BV89" i="11"/>
  <c r="BU89" i="11"/>
  <c r="BT89" i="11"/>
  <c r="BS89" i="11"/>
  <c r="F89" i="11"/>
  <c r="C89" i="11"/>
  <c r="B89" i="11" s="1"/>
  <c r="CD88" i="11"/>
  <c r="CC88" i="11"/>
  <c r="CB88" i="11"/>
  <c r="CA88" i="11"/>
  <c r="BZ88" i="11"/>
  <c r="BY88" i="11"/>
  <c r="BX88" i="11"/>
  <c r="BW88" i="11"/>
  <c r="BV88" i="11"/>
  <c r="BU88" i="11"/>
  <c r="BT88" i="11"/>
  <c r="BS88" i="11"/>
  <c r="F88" i="11"/>
  <c r="C88" i="11"/>
  <c r="B88" i="11" s="1"/>
  <c r="CD87" i="11"/>
  <c r="CC87" i="11"/>
  <c r="CB87" i="11"/>
  <c r="CA87" i="11"/>
  <c r="BZ87" i="11"/>
  <c r="BY87" i="11"/>
  <c r="BX87" i="11"/>
  <c r="BW87" i="11"/>
  <c r="BV87" i="11"/>
  <c r="BU87" i="11"/>
  <c r="BT87" i="11"/>
  <c r="BS87" i="11"/>
  <c r="F87" i="11"/>
  <c r="C87" i="11"/>
  <c r="B87" i="11" s="1"/>
  <c r="CD86" i="11"/>
  <c r="CC86" i="11"/>
  <c r="CB86" i="11"/>
  <c r="CA86" i="11"/>
  <c r="BZ86" i="11"/>
  <c r="BY86" i="11"/>
  <c r="BX86" i="11"/>
  <c r="BW86" i="11"/>
  <c r="BV86" i="11"/>
  <c r="BU86" i="11"/>
  <c r="BT86" i="11"/>
  <c r="BS86" i="11"/>
  <c r="F86" i="11"/>
  <c r="C86" i="11"/>
  <c r="D86" i="11" s="1"/>
  <c r="CD85" i="11"/>
  <c r="CC85" i="11"/>
  <c r="CB85" i="11"/>
  <c r="CA85" i="11"/>
  <c r="BZ85" i="11"/>
  <c r="BY85" i="11"/>
  <c r="BX85" i="11"/>
  <c r="BW85" i="11"/>
  <c r="BV85" i="11"/>
  <c r="BU85" i="11"/>
  <c r="BT85" i="11"/>
  <c r="BS85" i="11"/>
  <c r="G85" i="11"/>
  <c r="C85" i="11"/>
  <c r="B85" i="11" s="1"/>
  <c r="CD84" i="11"/>
  <c r="CC84" i="11"/>
  <c r="CB84" i="11"/>
  <c r="CA84" i="11"/>
  <c r="BZ84" i="11"/>
  <c r="BY84" i="11"/>
  <c r="BX84" i="11"/>
  <c r="BW84" i="11"/>
  <c r="BV84" i="11"/>
  <c r="BU84" i="11"/>
  <c r="BT84" i="11"/>
  <c r="BS84" i="11"/>
  <c r="G84" i="11"/>
  <c r="C84" i="11"/>
  <c r="B84" i="11" s="1"/>
  <c r="CD83" i="11"/>
  <c r="CC83" i="11"/>
  <c r="CB83" i="11"/>
  <c r="CA83" i="11"/>
  <c r="BZ83" i="11"/>
  <c r="BY83" i="11"/>
  <c r="BX83" i="11"/>
  <c r="BW83" i="11"/>
  <c r="BV83" i="11"/>
  <c r="BU83" i="11"/>
  <c r="BT83" i="11"/>
  <c r="BS83" i="11"/>
  <c r="F83" i="11"/>
  <c r="C83" i="11"/>
  <c r="D83" i="11" s="1"/>
  <c r="CD82" i="11"/>
  <c r="CC82" i="11"/>
  <c r="CB82" i="11"/>
  <c r="CA82" i="11"/>
  <c r="BZ82" i="11"/>
  <c r="BY82" i="11"/>
  <c r="BX82" i="11"/>
  <c r="BW82" i="11"/>
  <c r="BV82" i="11"/>
  <c r="BU82" i="11"/>
  <c r="BT82" i="11"/>
  <c r="BS82" i="11"/>
  <c r="F82" i="11"/>
  <c r="C82" i="11"/>
  <c r="D82" i="11" s="1"/>
  <c r="CD81" i="11"/>
  <c r="CC81" i="11"/>
  <c r="CB81" i="11"/>
  <c r="CA81" i="11"/>
  <c r="BZ81" i="11"/>
  <c r="BY81" i="11"/>
  <c r="BX81" i="11"/>
  <c r="BW81" i="11"/>
  <c r="BV81" i="11"/>
  <c r="BU81" i="11"/>
  <c r="BT81" i="11"/>
  <c r="BS81" i="11"/>
  <c r="G81" i="11"/>
  <c r="C81" i="11"/>
  <c r="B81" i="11" s="1"/>
  <c r="CD80" i="11"/>
  <c r="CC80" i="11"/>
  <c r="CB80" i="11"/>
  <c r="CA80" i="11"/>
  <c r="BZ80" i="11"/>
  <c r="BY80" i="11"/>
  <c r="BX80" i="11"/>
  <c r="BW80" i="11"/>
  <c r="BV80" i="11"/>
  <c r="BU80" i="11"/>
  <c r="BT80" i="11"/>
  <c r="BS80" i="11"/>
  <c r="F80" i="11"/>
  <c r="C80" i="11"/>
  <c r="B80" i="11" s="1"/>
  <c r="CD79" i="11"/>
  <c r="CC79" i="11"/>
  <c r="CB79" i="11"/>
  <c r="CA79" i="11"/>
  <c r="BZ79" i="11"/>
  <c r="BY79" i="11"/>
  <c r="BX79" i="11"/>
  <c r="BW79" i="11"/>
  <c r="BV79" i="11"/>
  <c r="BU79" i="11"/>
  <c r="BT79" i="11"/>
  <c r="BS79" i="11"/>
  <c r="G79" i="11"/>
  <c r="C79" i="11"/>
  <c r="B79" i="11" s="1"/>
  <c r="CD78" i="11"/>
  <c r="CC78" i="11"/>
  <c r="CB78" i="11"/>
  <c r="CA78" i="11"/>
  <c r="BZ78" i="11"/>
  <c r="BY78" i="11"/>
  <c r="BX78" i="11"/>
  <c r="BW78" i="11"/>
  <c r="BV78" i="11"/>
  <c r="BU78" i="11"/>
  <c r="BT78" i="11"/>
  <c r="BS78" i="11"/>
  <c r="G78" i="11"/>
  <c r="C78" i="11"/>
  <c r="D78" i="11" s="1"/>
  <c r="CD77" i="11"/>
  <c r="CC77" i="11"/>
  <c r="CB77" i="11"/>
  <c r="CA77" i="11"/>
  <c r="BZ77" i="11"/>
  <c r="BY77" i="11"/>
  <c r="BX77" i="11"/>
  <c r="BW77" i="11"/>
  <c r="BV77" i="11"/>
  <c r="BU77" i="11"/>
  <c r="BT77" i="11"/>
  <c r="BS77" i="11"/>
  <c r="F77" i="11"/>
  <c r="C77" i="11"/>
  <c r="D77" i="11" s="1"/>
  <c r="CD76" i="11"/>
  <c r="CC76" i="11"/>
  <c r="CB76" i="11"/>
  <c r="CA76" i="11"/>
  <c r="BZ76" i="11"/>
  <c r="BY76" i="11"/>
  <c r="BX76" i="11"/>
  <c r="BW76" i="11"/>
  <c r="BV76" i="11"/>
  <c r="BU76" i="11"/>
  <c r="BT76" i="11"/>
  <c r="BS76" i="11"/>
  <c r="G76" i="11"/>
  <c r="C76" i="11"/>
  <c r="B76" i="11" s="1"/>
  <c r="CD75" i="11"/>
  <c r="CC75" i="11"/>
  <c r="CB75" i="11"/>
  <c r="CA75" i="11"/>
  <c r="BZ75" i="11"/>
  <c r="BY75" i="11"/>
  <c r="BX75" i="11"/>
  <c r="BW75" i="11"/>
  <c r="BV75" i="11"/>
  <c r="BU75" i="11"/>
  <c r="BT75" i="11"/>
  <c r="BS75" i="11"/>
  <c r="F75" i="11"/>
  <c r="C75" i="11"/>
  <c r="D75" i="11" s="1"/>
  <c r="CD74" i="11"/>
  <c r="CC74" i="11"/>
  <c r="CB74" i="11"/>
  <c r="CA74" i="11"/>
  <c r="BZ74" i="11"/>
  <c r="BY74" i="11"/>
  <c r="BX74" i="11"/>
  <c r="BW74" i="11"/>
  <c r="BV74" i="11"/>
  <c r="BU74" i="11"/>
  <c r="BT74" i="11"/>
  <c r="BS74" i="11"/>
  <c r="F74" i="11"/>
  <c r="C74" i="11"/>
  <c r="D74" i="11" s="1"/>
  <c r="CD73" i="11"/>
  <c r="CC73" i="11"/>
  <c r="CB73" i="11"/>
  <c r="CA73" i="11"/>
  <c r="BZ73" i="11"/>
  <c r="BY73" i="11"/>
  <c r="BX73" i="11"/>
  <c r="BW73" i="11"/>
  <c r="BV73" i="11"/>
  <c r="BU73" i="11"/>
  <c r="BT73" i="11"/>
  <c r="BS73" i="11"/>
  <c r="G73" i="11"/>
  <c r="C73" i="11"/>
  <c r="D73" i="11" s="1"/>
  <c r="CD72" i="11"/>
  <c r="CC72" i="11"/>
  <c r="CB72" i="11"/>
  <c r="CA72" i="11"/>
  <c r="BZ72" i="11"/>
  <c r="BY72" i="11"/>
  <c r="BX72" i="11"/>
  <c r="BW72" i="11"/>
  <c r="BV72" i="11"/>
  <c r="BU72" i="11"/>
  <c r="BT72" i="11"/>
  <c r="BS72" i="11"/>
  <c r="F72" i="11"/>
  <c r="C72" i="11"/>
  <c r="B72" i="11" s="1"/>
  <c r="CD71" i="11"/>
  <c r="CC71" i="11"/>
  <c r="CB71" i="11"/>
  <c r="CA71" i="11"/>
  <c r="BZ71" i="11"/>
  <c r="BY71" i="11"/>
  <c r="BX71" i="11"/>
  <c r="BW71" i="11"/>
  <c r="BV71" i="11"/>
  <c r="BU71" i="11"/>
  <c r="BT71" i="11"/>
  <c r="BS71" i="11"/>
  <c r="G71" i="11"/>
  <c r="C71" i="11"/>
  <c r="B71" i="11" s="1"/>
  <c r="CD70" i="11"/>
  <c r="CC70" i="11"/>
  <c r="CB70" i="11"/>
  <c r="CA70" i="11"/>
  <c r="BZ70" i="11"/>
  <c r="BY70" i="11"/>
  <c r="BX70" i="11"/>
  <c r="BW70" i="11"/>
  <c r="BV70" i="11"/>
  <c r="BU70" i="11"/>
  <c r="BT70" i="11"/>
  <c r="BS70" i="11"/>
  <c r="G70" i="11"/>
  <c r="C70" i="11"/>
  <c r="D70" i="11" s="1"/>
  <c r="CD69" i="11"/>
  <c r="CC69" i="11"/>
  <c r="CB69" i="11"/>
  <c r="CA69" i="11"/>
  <c r="BZ69" i="11"/>
  <c r="BY69" i="11"/>
  <c r="BX69" i="11"/>
  <c r="BW69" i="11"/>
  <c r="BV69" i="11"/>
  <c r="BU69" i="11"/>
  <c r="BT69" i="11"/>
  <c r="BS69" i="11"/>
  <c r="F69" i="11"/>
  <c r="C69" i="11"/>
  <c r="B69" i="11" s="1"/>
  <c r="CD68" i="11"/>
  <c r="CC68" i="11"/>
  <c r="CB68" i="11"/>
  <c r="CA68" i="11"/>
  <c r="BZ68" i="11"/>
  <c r="BY68" i="11"/>
  <c r="BX68" i="11"/>
  <c r="BW68" i="11"/>
  <c r="BV68" i="11"/>
  <c r="BU68" i="11"/>
  <c r="BT68" i="11"/>
  <c r="BS68" i="11"/>
  <c r="C68" i="11"/>
  <c r="D68" i="11" s="1"/>
  <c r="CD67" i="11"/>
  <c r="CC67" i="11"/>
  <c r="CB67" i="11"/>
  <c r="CA67" i="11"/>
  <c r="BZ67" i="11"/>
  <c r="BY67" i="11"/>
  <c r="BX67" i="11"/>
  <c r="BW67" i="11"/>
  <c r="BV67" i="11"/>
  <c r="BU67" i="11"/>
  <c r="BT67" i="11"/>
  <c r="BS67" i="11"/>
  <c r="F67" i="11"/>
  <c r="C67" i="11"/>
  <c r="B67" i="11" s="1"/>
  <c r="CD66" i="11"/>
  <c r="CC66" i="11"/>
  <c r="CB66" i="11"/>
  <c r="CA66" i="11"/>
  <c r="BZ66" i="11"/>
  <c r="BY66" i="11"/>
  <c r="BX66" i="11"/>
  <c r="BW66" i="11"/>
  <c r="BV66" i="11"/>
  <c r="BU66" i="11"/>
  <c r="BT66" i="11"/>
  <c r="BS66" i="11"/>
  <c r="G66" i="11"/>
  <c r="C66" i="11"/>
  <c r="B66" i="11" s="1"/>
  <c r="CD65" i="11"/>
  <c r="CC65" i="11"/>
  <c r="CB65" i="11"/>
  <c r="CA65" i="11"/>
  <c r="BZ65" i="11"/>
  <c r="BY65" i="11"/>
  <c r="BX65" i="11"/>
  <c r="BW65" i="11"/>
  <c r="BV65" i="11"/>
  <c r="BU65" i="11"/>
  <c r="BT65" i="11"/>
  <c r="BS65" i="11"/>
  <c r="F65" i="11"/>
  <c r="C65" i="11"/>
  <c r="B65" i="11" s="1"/>
  <c r="CD64" i="11"/>
  <c r="CC64" i="11"/>
  <c r="CB64" i="11"/>
  <c r="CA64" i="11"/>
  <c r="BZ64" i="11"/>
  <c r="BY64" i="11"/>
  <c r="BX64" i="11"/>
  <c r="BW64" i="11"/>
  <c r="BV64" i="11"/>
  <c r="BU64" i="11"/>
  <c r="BT64" i="11"/>
  <c r="BS64" i="11"/>
  <c r="G64" i="11"/>
  <c r="C64" i="11"/>
  <c r="D64" i="11" s="1"/>
  <c r="CD63" i="11"/>
  <c r="CC63" i="11"/>
  <c r="CB63" i="11"/>
  <c r="CA63" i="11"/>
  <c r="BZ63" i="11"/>
  <c r="BY63" i="11"/>
  <c r="BX63" i="11"/>
  <c r="BW63" i="11"/>
  <c r="BV63" i="11"/>
  <c r="BU63" i="11"/>
  <c r="BT63" i="11"/>
  <c r="BS63" i="11"/>
  <c r="G63" i="11"/>
  <c r="C63" i="11"/>
  <c r="D63" i="11" s="1"/>
  <c r="CD62" i="11"/>
  <c r="CC62" i="11"/>
  <c r="CB62" i="11"/>
  <c r="CA62" i="11"/>
  <c r="BZ62" i="11"/>
  <c r="BY62" i="11"/>
  <c r="BX62" i="11"/>
  <c r="BW62" i="11"/>
  <c r="BV62" i="11"/>
  <c r="BU62" i="11"/>
  <c r="BT62" i="11"/>
  <c r="BS62" i="11"/>
  <c r="F62" i="11"/>
  <c r="C62" i="11"/>
  <c r="D62" i="11" s="1"/>
  <c r="CD61" i="11"/>
  <c r="CC61" i="11"/>
  <c r="CB61" i="11"/>
  <c r="CA61" i="11"/>
  <c r="BZ61" i="11"/>
  <c r="BY61" i="11"/>
  <c r="BX61" i="11"/>
  <c r="BW61" i="11"/>
  <c r="BV61" i="11"/>
  <c r="BU61" i="11"/>
  <c r="BT61" i="11"/>
  <c r="BS61" i="11"/>
  <c r="G61" i="11"/>
  <c r="C61" i="11"/>
  <c r="B61" i="11" s="1"/>
  <c r="CD60" i="11"/>
  <c r="CC60" i="11"/>
  <c r="CB60" i="11"/>
  <c r="CA60" i="11"/>
  <c r="BZ60" i="11"/>
  <c r="BY60" i="11"/>
  <c r="BX60" i="11"/>
  <c r="BW60" i="11"/>
  <c r="BV60" i="11"/>
  <c r="BU60" i="11"/>
  <c r="BT60" i="11"/>
  <c r="BS60" i="11"/>
  <c r="F60" i="11"/>
  <c r="C60" i="11"/>
  <c r="D60" i="11" s="1"/>
  <c r="CD59" i="11"/>
  <c r="CC59" i="11"/>
  <c r="CB59" i="11"/>
  <c r="CA59" i="11"/>
  <c r="BZ59" i="11"/>
  <c r="BY59" i="11"/>
  <c r="BX59" i="11"/>
  <c r="BW59" i="11"/>
  <c r="BV59" i="11"/>
  <c r="BU59" i="11"/>
  <c r="BT59" i="11"/>
  <c r="BS59" i="11"/>
  <c r="G59" i="11"/>
  <c r="C59" i="11"/>
  <c r="D59" i="11" s="1"/>
  <c r="CD58" i="11"/>
  <c r="CC58" i="11"/>
  <c r="CB58" i="11"/>
  <c r="CA58" i="11"/>
  <c r="BZ58" i="11"/>
  <c r="BY58" i="11"/>
  <c r="BX58" i="11"/>
  <c r="BW58" i="11"/>
  <c r="BV58" i="11"/>
  <c r="BU58" i="11"/>
  <c r="BT58" i="11"/>
  <c r="BS58" i="11"/>
  <c r="G58" i="11"/>
  <c r="C58" i="11"/>
  <c r="D58" i="11" s="1"/>
  <c r="CD57" i="11"/>
  <c r="CC57" i="11"/>
  <c r="CB57" i="11"/>
  <c r="CA57" i="11"/>
  <c r="BZ57" i="11"/>
  <c r="BY57" i="11"/>
  <c r="BX57" i="11"/>
  <c r="BW57" i="11"/>
  <c r="BV57" i="11"/>
  <c r="BU57" i="11"/>
  <c r="BT57" i="11"/>
  <c r="BS57" i="11"/>
  <c r="F57" i="11"/>
  <c r="C57" i="11"/>
  <c r="B57" i="11" s="1"/>
  <c r="CD56" i="11"/>
  <c r="CC56" i="11"/>
  <c r="CB56" i="11"/>
  <c r="CA56" i="11"/>
  <c r="BZ56" i="11"/>
  <c r="BY56" i="11"/>
  <c r="BX56" i="11"/>
  <c r="BW56" i="11"/>
  <c r="BV56" i="11"/>
  <c r="BU56" i="11"/>
  <c r="BT56" i="11"/>
  <c r="BS56" i="11"/>
  <c r="F56" i="11"/>
  <c r="C56" i="11"/>
  <c r="D56" i="11" s="1"/>
  <c r="CD55" i="11"/>
  <c r="CC55" i="11"/>
  <c r="CB55" i="11"/>
  <c r="CA55" i="11"/>
  <c r="BZ55" i="11"/>
  <c r="BY55" i="11"/>
  <c r="BX55" i="11"/>
  <c r="BW55" i="11"/>
  <c r="BV55" i="11"/>
  <c r="BU55" i="11"/>
  <c r="BT55" i="11"/>
  <c r="BS55" i="11"/>
  <c r="F55" i="11"/>
  <c r="C55" i="11"/>
  <c r="D55" i="11" s="1"/>
  <c r="CD54" i="11"/>
  <c r="CC54" i="11"/>
  <c r="CB54" i="11"/>
  <c r="CA54" i="11"/>
  <c r="BZ54" i="11"/>
  <c r="BY54" i="11"/>
  <c r="BX54" i="11"/>
  <c r="BW54" i="11"/>
  <c r="BV54" i="11"/>
  <c r="BU54" i="11"/>
  <c r="BT54" i="11"/>
  <c r="BS54" i="11"/>
  <c r="F54" i="11"/>
  <c r="C54" i="11"/>
  <c r="B54" i="11" s="1"/>
  <c r="CD53" i="11"/>
  <c r="CC53" i="11"/>
  <c r="CB53" i="11"/>
  <c r="CA53" i="11"/>
  <c r="BZ53" i="11"/>
  <c r="BY53" i="11"/>
  <c r="BX53" i="11"/>
  <c r="BW53" i="11"/>
  <c r="BV53" i="11"/>
  <c r="BU53" i="11"/>
  <c r="BT53" i="11"/>
  <c r="BS53" i="11"/>
  <c r="G53" i="11"/>
  <c r="C53" i="11"/>
  <c r="B53" i="11" s="1"/>
  <c r="CD52" i="11"/>
  <c r="CC52" i="11"/>
  <c r="CB52" i="11"/>
  <c r="CA52" i="11"/>
  <c r="BZ52" i="11"/>
  <c r="BY52" i="11"/>
  <c r="BX52" i="11"/>
  <c r="BW52" i="11"/>
  <c r="BV52" i="11"/>
  <c r="BU52" i="11"/>
  <c r="BT52" i="11"/>
  <c r="BS52" i="11"/>
  <c r="F52" i="11"/>
  <c r="C52" i="11"/>
  <c r="D52" i="11" s="1"/>
  <c r="CD51" i="11"/>
  <c r="CC51" i="11"/>
  <c r="CB51" i="11"/>
  <c r="CA51" i="11"/>
  <c r="BZ51" i="11"/>
  <c r="BY51" i="11"/>
  <c r="BX51" i="11"/>
  <c r="BW51" i="11"/>
  <c r="BV51" i="11"/>
  <c r="BU51" i="11"/>
  <c r="BT51" i="11"/>
  <c r="BS51" i="11"/>
  <c r="G51" i="11"/>
  <c r="C51" i="11"/>
  <c r="D51" i="11" s="1"/>
  <c r="CD50" i="11"/>
  <c r="CC50" i="11"/>
  <c r="CB50" i="11"/>
  <c r="CA50" i="11"/>
  <c r="BZ50" i="11"/>
  <c r="BY50" i="11"/>
  <c r="BX50" i="11"/>
  <c r="BW50" i="11"/>
  <c r="BV50" i="11"/>
  <c r="BU50" i="11"/>
  <c r="BT50" i="11"/>
  <c r="BS50" i="11"/>
  <c r="G50" i="11"/>
  <c r="C50" i="11"/>
  <c r="B50" i="11" s="1"/>
  <c r="CD49" i="11"/>
  <c r="CC49" i="11"/>
  <c r="CB49" i="11"/>
  <c r="CA49" i="11"/>
  <c r="BZ49" i="11"/>
  <c r="BY49" i="11"/>
  <c r="BX49" i="11"/>
  <c r="BW49" i="11"/>
  <c r="BV49" i="11"/>
  <c r="BU49" i="11"/>
  <c r="BT49" i="11"/>
  <c r="BS49" i="11"/>
  <c r="F49" i="11"/>
  <c r="C49" i="11"/>
  <c r="B49" i="11" s="1"/>
  <c r="CD48" i="11"/>
  <c r="CC48" i="11"/>
  <c r="CB48" i="11"/>
  <c r="CA48" i="11"/>
  <c r="BZ48" i="11"/>
  <c r="BY48" i="11"/>
  <c r="BX48" i="11"/>
  <c r="BW48" i="11"/>
  <c r="BV48" i="11"/>
  <c r="BU48" i="11"/>
  <c r="BT48" i="11"/>
  <c r="BS48" i="11"/>
  <c r="G48" i="11"/>
  <c r="C48" i="11"/>
  <c r="D48" i="11" s="1"/>
  <c r="CD47" i="11"/>
  <c r="CC47" i="11"/>
  <c r="CB47" i="11"/>
  <c r="CA47" i="11"/>
  <c r="BZ47" i="11"/>
  <c r="BY47" i="11"/>
  <c r="BX47" i="11"/>
  <c r="BW47" i="11"/>
  <c r="BV47" i="11"/>
  <c r="BU47" i="11"/>
  <c r="BT47" i="11"/>
  <c r="BS47" i="11"/>
  <c r="G47" i="11"/>
  <c r="C47" i="11"/>
  <c r="D47" i="11" s="1"/>
  <c r="CD46" i="11"/>
  <c r="CC46" i="11"/>
  <c r="CB46" i="11"/>
  <c r="CA46" i="11"/>
  <c r="BZ46" i="11"/>
  <c r="BY46" i="11"/>
  <c r="BX46" i="11"/>
  <c r="BW46" i="11"/>
  <c r="BV46" i="11"/>
  <c r="BU46" i="11"/>
  <c r="BT46" i="11"/>
  <c r="BS46" i="11"/>
  <c r="F46" i="11"/>
  <c r="C46" i="11"/>
  <c r="B46" i="11" s="1"/>
  <c r="CD45" i="11"/>
  <c r="CC45" i="11"/>
  <c r="CB45" i="11"/>
  <c r="CA45" i="11"/>
  <c r="BZ45" i="11"/>
  <c r="BY45" i="11"/>
  <c r="BX45" i="11"/>
  <c r="BW45" i="11"/>
  <c r="BV45" i="11"/>
  <c r="BU45" i="11"/>
  <c r="BT45" i="11"/>
  <c r="BS45" i="11"/>
  <c r="G45" i="11"/>
  <c r="C45" i="11"/>
  <c r="B45" i="11" s="1"/>
  <c r="CD44" i="11"/>
  <c r="CC44" i="11"/>
  <c r="CB44" i="11"/>
  <c r="CA44" i="11"/>
  <c r="BZ44" i="11"/>
  <c r="BY44" i="11"/>
  <c r="BX44" i="11"/>
  <c r="BW44" i="11"/>
  <c r="BV44" i="11"/>
  <c r="BU44" i="11"/>
  <c r="BT44" i="11"/>
  <c r="BS44" i="11"/>
  <c r="G44" i="11"/>
  <c r="C44" i="11"/>
  <c r="D44" i="11" s="1"/>
  <c r="CD43" i="11"/>
  <c r="CC43" i="11"/>
  <c r="CB43" i="11"/>
  <c r="CA43" i="11"/>
  <c r="BZ43" i="11"/>
  <c r="BY43" i="11"/>
  <c r="BX43" i="11"/>
  <c r="BW43" i="11"/>
  <c r="BV43" i="11"/>
  <c r="BU43" i="11"/>
  <c r="BT43" i="11"/>
  <c r="BS43" i="11"/>
  <c r="F43" i="11"/>
  <c r="C43" i="11"/>
  <c r="D43" i="11" s="1"/>
  <c r="CD42" i="11"/>
  <c r="CC42" i="11"/>
  <c r="CB42" i="11"/>
  <c r="CA42" i="11"/>
  <c r="BZ42" i="11"/>
  <c r="BY42" i="11"/>
  <c r="BX42" i="11"/>
  <c r="BW42" i="11"/>
  <c r="BV42" i="11"/>
  <c r="BU42" i="11"/>
  <c r="BT42" i="11"/>
  <c r="BS42" i="11"/>
  <c r="F42" i="11"/>
  <c r="C42" i="11"/>
  <c r="D42" i="11" s="1"/>
  <c r="CD41" i="11"/>
  <c r="CC41" i="11"/>
  <c r="CB41" i="11"/>
  <c r="CA41" i="11"/>
  <c r="BZ41" i="11"/>
  <c r="BY41" i="11"/>
  <c r="BX41" i="11"/>
  <c r="BW41" i="11"/>
  <c r="BV41" i="11"/>
  <c r="BU41" i="11"/>
  <c r="BT41" i="11"/>
  <c r="BS41" i="11"/>
  <c r="G41" i="11"/>
  <c r="C41" i="11"/>
  <c r="B41" i="11" s="1"/>
  <c r="CD40" i="11"/>
  <c r="CC40" i="11"/>
  <c r="CB40" i="11"/>
  <c r="CA40" i="11"/>
  <c r="BZ40" i="11"/>
  <c r="BY40" i="11"/>
  <c r="BX40" i="11"/>
  <c r="BW40" i="11"/>
  <c r="BV40" i="11"/>
  <c r="BU40" i="11"/>
  <c r="BT40" i="11"/>
  <c r="BS40" i="11"/>
  <c r="G40" i="11"/>
  <c r="C40" i="11"/>
  <c r="D40" i="11" s="1"/>
  <c r="CD39" i="11"/>
  <c r="CC39" i="11"/>
  <c r="CB39" i="11"/>
  <c r="CA39" i="11"/>
  <c r="BZ39" i="11"/>
  <c r="BY39" i="11"/>
  <c r="BX39" i="11"/>
  <c r="BW39" i="11"/>
  <c r="BV39" i="11"/>
  <c r="BU39" i="11"/>
  <c r="BT39" i="11"/>
  <c r="BS39" i="11"/>
  <c r="F39" i="11"/>
  <c r="C39" i="11"/>
  <c r="D39" i="11" s="1"/>
  <c r="CD38" i="11"/>
  <c r="CC38" i="11"/>
  <c r="CB38" i="11"/>
  <c r="CA38" i="11"/>
  <c r="BZ38" i="11"/>
  <c r="BY38" i="11"/>
  <c r="BX38" i="11"/>
  <c r="BW38" i="11"/>
  <c r="BV38" i="11"/>
  <c r="BU38" i="11"/>
  <c r="BT38" i="11"/>
  <c r="BS38" i="11"/>
  <c r="G38" i="11"/>
  <c r="C38" i="11"/>
  <c r="D38" i="11" s="1"/>
  <c r="CD37" i="11"/>
  <c r="CC37" i="11"/>
  <c r="CB37" i="11"/>
  <c r="CA37" i="11"/>
  <c r="BZ37" i="11"/>
  <c r="BY37" i="11"/>
  <c r="BX37" i="11"/>
  <c r="BW37" i="11"/>
  <c r="BV37" i="11"/>
  <c r="BU37" i="11"/>
  <c r="BT37" i="11"/>
  <c r="BS37" i="11"/>
  <c r="G37" i="11"/>
  <c r="C37" i="11"/>
  <c r="B37" i="11" s="1"/>
  <c r="CD36" i="11"/>
  <c r="CC36" i="11"/>
  <c r="CB36" i="11"/>
  <c r="CA36" i="11"/>
  <c r="BZ36" i="11"/>
  <c r="BY36" i="11"/>
  <c r="BX36" i="11"/>
  <c r="BW36" i="11"/>
  <c r="BV36" i="11"/>
  <c r="BU36" i="11"/>
  <c r="BT36" i="11"/>
  <c r="BS36" i="11"/>
  <c r="F36" i="11"/>
  <c r="C36" i="11"/>
  <c r="D36" i="11" s="1"/>
  <c r="CD35" i="11"/>
  <c r="CC35" i="11"/>
  <c r="CB35" i="11"/>
  <c r="CA35" i="11"/>
  <c r="BZ35" i="11"/>
  <c r="BY35" i="11"/>
  <c r="BX35" i="11"/>
  <c r="BW35" i="11"/>
  <c r="BV35" i="11"/>
  <c r="BU35" i="11"/>
  <c r="BT35" i="11"/>
  <c r="BS35" i="11"/>
  <c r="F35" i="11"/>
  <c r="C35" i="11"/>
  <c r="D35" i="11" s="1"/>
  <c r="CD34" i="11"/>
  <c r="CC34" i="11"/>
  <c r="CB34" i="11"/>
  <c r="CA34" i="11"/>
  <c r="BZ34" i="11"/>
  <c r="BY34" i="11"/>
  <c r="BX34" i="11"/>
  <c r="BW34" i="11"/>
  <c r="BV34" i="11"/>
  <c r="BU34" i="11"/>
  <c r="BT34" i="11"/>
  <c r="BS34" i="11"/>
  <c r="F34" i="11"/>
  <c r="C34" i="11"/>
  <c r="B34" i="11" s="1"/>
  <c r="CD33" i="11"/>
  <c r="CC33" i="11"/>
  <c r="CB33" i="11"/>
  <c r="CA33" i="11"/>
  <c r="BZ33" i="11"/>
  <c r="BY33" i="11"/>
  <c r="BX33" i="11"/>
  <c r="BW33" i="11"/>
  <c r="BV33" i="11"/>
  <c r="BU33" i="11"/>
  <c r="BT33" i="11"/>
  <c r="BS33" i="11"/>
  <c r="F33" i="11"/>
  <c r="C33" i="11"/>
  <c r="B33" i="11" s="1"/>
  <c r="CD32" i="11"/>
  <c r="CC32" i="11"/>
  <c r="CB32" i="11"/>
  <c r="CA32" i="11"/>
  <c r="BZ32" i="11"/>
  <c r="BY32" i="11"/>
  <c r="BX32" i="11"/>
  <c r="BW32" i="11"/>
  <c r="BV32" i="11"/>
  <c r="BU32" i="11"/>
  <c r="BT32" i="11"/>
  <c r="BS32" i="11"/>
  <c r="F32" i="11"/>
  <c r="C32" i="11"/>
  <c r="D32" i="11" s="1"/>
  <c r="CD31" i="11"/>
  <c r="CC31" i="11"/>
  <c r="CB31" i="11"/>
  <c r="CA31" i="11"/>
  <c r="BZ31" i="11"/>
  <c r="BY31" i="11"/>
  <c r="BX31" i="11"/>
  <c r="BW31" i="11"/>
  <c r="BV31" i="11"/>
  <c r="BU31" i="11"/>
  <c r="BT31" i="11"/>
  <c r="BS31" i="11"/>
  <c r="G31" i="11"/>
  <c r="C31" i="11"/>
  <c r="D31" i="11" s="1"/>
  <c r="CD30" i="11"/>
  <c r="CC30" i="11"/>
  <c r="CB30" i="11"/>
  <c r="CA30" i="11"/>
  <c r="BZ30" i="11"/>
  <c r="BY30" i="11"/>
  <c r="BX30" i="11"/>
  <c r="BW30" i="11"/>
  <c r="BV30" i="11"/>
  <c r="BU30" i="11"/>
  <c r="BT30" i="11"/>
  <c r="BS30" i="11"/>
  <c r="F30" i="11"/>
  <c r="C30" i="11"/>
  <c r="B30" i="11" s="1"/>
  <c r="CD29" i="11"/>
  <c r="CC29" i="11"/>
  <c r="CB29" i="11"/>
  <c r="CA29" i="11"/>
  <c r="BZ29" i="11"/>
  <c r="BY29" i="11"/>
  <c r="BX29" i="11"/>
  <c r="BW29" i="11"/>
  <c r="BV29" i="11"/>
  <c r="BU29" i="11"/>
  <c r="BT29" i="11"/>
  <c r="BS29" i="11"/>
  <c r="F29" i="11"/>
  <c r="C29" i="11"/>
  <c r="B29" i="11" s="1"/>
  <c r="CD28" i="11"/>
  <c r="CC28" i="11"/>
  <c r="CB28" i="11"/>
  <c r="CA28" i="11"/>
  <c r="BZ28" i="11"/>
  <c r="BY28" i="11"/>
  <c r="BX28" i="11"/>
  <c r="BW28" i="11"/>
  <c r="BV28" i="11"/>
  <c r="BU28" i="11"/>
  <c r="BT28" i="11"/>
  <c r="BS28" i="11"/>
  <c r="F28" i="11"/>
  <c r="C28" i="11"/>
  <c r="D28" i="11" s="1"/>
  <c r="CD27" i="11"/>
  <c r="CC27" i="11"/>
  <c r="CB27" i="11"/>
  <c r="CA27" i="11"/>
  <c r="BZ27" i="11"/>
  <c r="BY27" i="11"/>
  <c r="BX27" i="11"/>
  <c r="BW27" i="11"/>
  <c r="BV27" i="11"/>
  <c r="BU27" i="11"/>
  <c r="BT27" i="11"/>
  <c r="BS27" i="11"/>
  <c r="F27" i="11"/>
  <c r="C27" i="11"/>
  <c r="D27" i="11" s="1"/>
  <c r="CD26" i="11"/>
  <c r="CC26" i="11"/>
  <c r="CB26" i="11"/>
  <c r="CA26" i="11"/>
  <c r="BZ26" i="11"/>
  <c r="BY26" i="11"/>
  <c r="BX26" i="11"/>
  <c r="BW26" i="11"/>
  <c r="BV26" i="11"/>
  <c r="BU26" i="11"/>
  <c r="BT26" i="11"/>
  <c r="BS26" i="11"/>
  <c r="F26" i="11"/>
  <c r="C26" i="11"/>
  <c r="D26" i="11" s="1"/>
  <c r="CD25" i="11"/>
  <c r="CC25" i="11"/>
  <c r="CB25" i="11"/>
  <c r="CA25" i="11"/>
  <c r="BZ25" i="11"/>
  <c r="BY25" i="11"/>
  <c r="BX25" i="11"/>
  <c r="BW25" i="11"/>
  <c r="BV25" i="11"/>
  <c r="BU25" i="11"/>
  <c r="BT25" i="11"/>
  <c r="BS25" i="11"/>
  <c r="F25" i="11"/>
  <c r="C25" i="11"/>
  <c r="B25" i="11" s="1"/>
  <c r="CD24" i="11"/>
  <c r="CC24" i="11"/>
  <c r="CB24" i="11"/>
  <c r="CA24" i="11"/>
  <c r="BZ24" i="11"/>
  <c r="BY24" i="11"/>
  <c r="BX24" i="11"/>
  <c r="BW24" i="11"/>
  <c r="BV24" i="11"/>
  <c r="BU24" i="11"/>
  <c r="BT24" i="11"/>
  <c r="BS24" i="11"/>
  <c r="F24" i="11"/>
  <c r="C24" i="11"/>
  <c r="D24" i="11" s="1"/>
  <c r="CD23" i="11"/>
  <c r="CC23" i="11"/>
  <c r="CB23" i="11"/>
  <c r="CA23" i="11"/>
  <c r="BZ23" i="11"/>
  <c r="BY23" i="11"/>
  <c r="BX23" i="11"/>
  <c r="BW23" i="11"/>
  <c r="BV23" i="11"/>
  <c r="BU23" i="11"/>
  <c r="BT23" i="11"/>
  <c r="BS23" i="11"/>
  <c r="F23" i="11"/>
  <c r="C23" i="11"/>
  <c r="D23" i="11" s="1"/>
  <c r="CD22" i="11"/>
  <c r="CC22" i="11"/>
  <c r="CB22" i="11"/>
  <c r="CA22" i="11"/>
  <c r="BZ22" i="11"/>
  <c r="BY22" i="11"/>
  <c r="BX22" i="11"/>
  <c r="BW22" i="11"/>
  <c r="BV22" i="11"/>
  <c r="BU22" i="11"/>
  <c r="BT22" i="11"/>
  <c r="BS22" i="11"/>
  <c r="F22" i="11"/>
  <c r="C22" i="11"/>
  <c r="B22" i="11" s="1"/>
  <c r="CD21" i="11"/>
  <c r="CC21" i="11"/>
  <c r="CB21" i="11"/>
  <c r="CA21" i="11"/>
  <c r="BZ21" i="11"/>
  <c r="BY21" i="11"/>
  <c r="BX21" i="11"/>
  <c r="BW21" i="11"/>
  <c r="BV21" i="11"/>
  <c r="BU21" i="11"/>
  <c r="BT21" i="11"/>
  <c r="BS21" i="11"/>
  <c r="F21" i="11"/>
  <c r="C21" i="11"/>
  <c r="B23" i="18" s="1"/>
  <c r="CD20" i="11"/>
  <c r="CC20" i="11"/>
  <c r="CB20" i="11"/>
  <c r="CA20" i="11"/>
  <c r="BZ20" i="11"/>
  <c r="BY20" i="11"/>
  <c r="BX20" i="11"/>
  <c r="BW20" i="11"/>
  <c r="BV20" i="11"/>
  <c r="BU20" i="11"/>
  <c r="BT20" i="11"/>
  <c r="BS20" i="11"/>
  <c r="F20" i="11"/>
  <c r="C20" i="11"/>
  <c r="D20" i="11" s="1"/>
  <c r="CD19" i="11"/>
  <c r="CC19" i="11"/>
  <c r="CB19" i="11"/>
  <c r="CA19" i="11"/>
  <c r="BZ19" i="11"/>
  <c r="BY19" i="11"/>
  <c r="BX19" i="11"/>
  <c r="BW19" i="11"/>
  <c r="BV19" i="11"/>
  <c r="BU19" i="11"/>
  <c r="BT19" i="11"/>
  <c r="BS19" i="11"/>
  <c r="F19" i="11"/>
  <c r="C19" i="11"/>
  <c r="B22" i="18" s="1"/>
  <c r="CD18" i="11"/>
  <c r="CC18" i="11"/>
  <c r="CB18" i="11"/>
  <c r="CA18" i="11"/>
  <c r="BZ18" i="11"/>
  <c r="BY18" i="11"/>
  <c r="BX18" i="11"/>
  <c r="BW18" i="11"/>
  <c r="BV18" i="11"/>
  <c r="BU18" i="11"/>
  <c r="BT18" i="11"/>
  <c r="BS18" i="11"/>
  <c r="F18" i="11"/>
  <c r="C18" i="11"/>
  <c r="B21" i="18" s="1"/>
  <c r="CD17" i="11"/>
  <c r="CC17" i="11"/>
  <c r="CB17" i="11"/>
  <c r="CA17" i="11"/>
  <c r="BZ17" i="11"/>
  <c r="BY17" i="11"/>
  <c r="BX17" i="11"/>
  <c r="BW17" i="11"/>
  <c r="BV17" i="11"/>
  <c r="BU17" i="11"/>
  <c r="BT17" i="11"/>
  <c r="BS17" i="11"/>
  <c r="F17" i="11"/>
  <c r="C17" i="11"/>
  <c r="B19" i="18" s="1"/>
  <c r="CD16" i="11"/>
  <c r="CC16" i="11"/>
  <c r="CB16" i="11"/>
  <c r="CA16" i="11"/>
  <c r="BZ16" i="11"/>
  <c r="BY16" i="11"/>
  <c r="BX16" i="11"/>
  <c r="BW16" i="11"/>
  <c r="BV16" i="11"/>
  <c r="BU16" i="11"/>
  <c r="BT16" i="11"/>
  <c r="BS16" i="11"/>
  <c r="C16" i="11"/>
  <c r="B16" i="11" s="1"/>
  <c r="CD15" i="11"/>
  <c r="CC15" i="11"/>
  <c r="CB15" i="11"/>
  <c r="CA15" i="11"/>
  <c r="BZ15" i="11"/>
  <c r="BY15" i="11"/>
  <c r="BX15" i="11"/>
  <c r="BW15" i="11"/>
  <c r="BV15" i="11"/>
  <c r="BU15" i="11"/>
  <c r="BT15" i="11"/>
  <c r="BS15" i="11"/>
  <c r="F15" i="11"/>
  <c r="C15" i="11"/>
  <c r="B18" i="18" s="1"/>
  <c r="CD14" i="11"/>
  <c r="CC14" i="11"/>
  <c r="CB14" i="11"/>
  <c r="CA14" i="11"/>
  <c r="BZ14" i="11"/>
  <c r="BY14" i="11"/>
  <c r="BX14" i="11"/>
  <c r="BW14" i="11"/>
  <c r="BV14" i="11"/>
  <c r="BU14" i="11"/>
  <c r="BT14" i="11"/>
  <c r="BS14" i="11"/>
  <c r="G14" i="11"/>
  <c r="C14" i="11"/>
  <c r="B45" i="18" s="1"/>
  <c r="CD13" i="11"/>
  <c r="CC13" i="11"/>
  <c r="CB13" i="11"/>
  <c r="CA13" i="11"/>
  <c r="BZ13" i="11"/>
  <c r="BY13" i="11"/>
  <c r="BX13" i="11"/>
  <c r="BW13" i="11"/>
  <c r="BV13" i="11"/>
  <c r="BU13" i="11"/>
  <c r="BT13" i="11"/>
  <c r="BS13" i="11"/>
  <c r="G13" i="11"/>
  <c r="C13" i="11"/>
  <c r="B44" i="18" s="1"/>
  <c r="CD12" i="11"/>
  <c r="CC12" i="11"/>
  <c r="CB12" i="11"/>
  <c r="CA12" i="11"/>
  <c r="BZ12" i="11"/>
  <c r="BY12" i="11"/>
  <c r="BX12" i="11"/>
  <c r="BW12" i="11"/>
  <c r="BV12" i="11"/>
  <c r="BU12" i="11"/>
  <c r="BT12" i="11"/>
  <c r="BS12" i="11"/>
  <c r="G12" i="11"/>
  <c r="C12" i="11"/>
  <c r="B12" i="11" s="1"/>
  <c r="CD11" i="11"/>
  <c r="CC11" i="11"/>
  <c r="CB11" i="11"/>
  <c r="CA11" i="11"/>
  <c r="BZ11" i="11"/>
  <c r="BY11" i="11"/>
  <c r="BX11" i="11"/>
  <c r="BW11" i="11"/>
  <c r="BV11" i="11"/>
  <c r="BU11" i="11"/>
  <c r="BT11" i="11"/>
  <c r="BS11" i="11"/>
  <c r="G11" i="11"/>
  <c r="C11" i="11"/>
  <c r="B43" i="18" s="1"/>
  <c r="CD10" i="11"/>
  <c r="CC10" i="11"/>
  <c r="CB10" i="11"/>
  <c r="CA10" i="11"/>
  <c r="BZ10" i="11"/>
  <c r="BY10" i="11"/>
  <c r="BX10" i="11"/>
  <c r="BW10" i="11"/>
  <c r="BV10" i="11"/>
  <c r="BU10" i="11"/>
  <c r="BT10" i="11"/>
  <c r="BS10" i="11"/>
  <c r="F10" i="11"/>
  <c r="C10" i="11"/>
  <c r="D10" i="11" s="1"/>
  <c r="CD9" i="11"/>
  <c r="CC9" i="11"/>
  <c r="CB9" i="11"/>
  <c r="CA9" i="11"/>
  <c r="BZ9" i="11"/>
  <c r="BY9" i="11"/>
  <c r="BX9" i="11"/>
  <c r="BW9" i="11"/>
  <c r="BV9" i="11"/>
  <c r="BU9" i="11"/>
  <c r="BT9" i="11"/>
  <c r="BS9" i="11"/>
  <c r="F9" i="11"/>
  <c r="C9" i="11"/>
  <c r="B41" i="18" s="1"/>
  <c r="CD8" i="11"/>
  <c r="CC8" i="11"/>
  <c r="CB8" i="11"/>
  <c r="CA8" i="11"/>
  <c r="BZ8" i="11"/>
  <c r="BY8" i="11"/>
  <c r="BX8" i="11"/>
  <c r="BW8" i="11"/>
  <c r="BV8" i="11"/>
  <c r="BU8" i="11"/>
  <c r="BT8" i="11"/>
  <c r="BS8" i="11"/>
  <c r="F8" i="11"/>
  <c r="C8" i="11"/>
  <c r="B40" i="18" s="1"/>
  <c r="BR7" i="11"/>
  <c r="BQ7" i="11"/>
  <c r="BP7" i="11"/>
  <c r="BO7" i="11"/>
  <c r="BN7" i="11"/>
  <c r="BM7" i="11"/>
  <c r="BL7" i="11"/>
  <c r="BK7" i="11"/>
  <c r="BJ7" i="11"/>
  <c r="BI7" i="11"/>
  <c r="BH7" i="11"/>
  <c r="BG7" i="11"/>
  <c r="BF7" i="11"/>
  <c r="BE7" i="11"/>
  <c r="BD7" i="11"/>
  <c r="BC7" i="11"/>
  <c r="BB7" i="11"/>
  <c r="BA7" i="11"/>
  <c r="AZ7" i="11"/>
  <c r="AY7" i="11"/>
  <c r="AX7" i="11"/>
  <c r="AW7" i="11"/>
  <c r="AV7" i="11"/>
  <c r="AU7" i="11"/>
  <c r="AT7" i="11"/>
  <c r="AS7" i="11"/>
  <c r="AR7" i="11"/>
  <c r="AQ7" i="11"/>
  <c r="AP7" i="11"/>
  <c r="AO7" i="11"/>
  <c r="AN7" i="11"/>
  <c r="AM7" i="11"/>
  <c r="AL7" i="11"/>
  <c r="AK7" i="11"/>
  <c r="AJ7" i="11"/>
  <c r="AI7" i="11"/>
  <c r="AH7" i="11"/>
  <c r="AG7" i="11"/>
  <c r="AF7" i="11"/>
  <c r="AE7" i="11"/>
  <c r="AD7" i="11"/>
  <c r="AC7" i="11"/>
  <c r="AB7" i="11"/>
  <c r="AA7" i="11"/>
  <c r="Z7" i="11"/>
  <c r="Y7" i="11"/>
  <c r="X7" i="11"/>
  <c r="W7" i="11"/>
  <c r="V7" i="11"/>
  <c r="U7" i="11"/>
  <c r="T7" i="11"/>
  <c r="S7" i="11"/>
  <c r="R7" i="11"/>
  <c r="Q7" i="11"/>
  <c r="P7" i="11"/>
  <c r="O7" i="11"/>
  <c r="N7" i="11"/>
  <c r="M7" i="11"/>
  <c r="L7" i="11"/>
  <c r="K7" i="11"/>
  <c r="M38" i="17"/>
  <c r="M37" i="17"/>
  <c r="M36" i="17"/>
  <c r="M35" i="17"/>
  <c r="M34" i="17"/>
  <c r="M33" i="17"/>
  <c r="M32" i="17"/>
  <c r="M31" i="17"/>
  <c r="M30" i="17"/>
  <c r="M29" i="17"/>
  <c r="M28" i="17"/>
  <c r="K27" i="17"/>
  <c r="M27" i="17" s="1"/>
  <c r="M26" i="17"/>
  <c r="M25" i="17"/>
  <c r="M24" i="17"/>
  <c r="M23" i="17"/>
  <c r="M22" i="17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4" i="17"/>
  <c r="M3" i="17"/>
  <c r="M2" i="17"/>
  <c r="E211" i="38"/>
  <c r="E210" i="38"/>
  <c r="E209" i="38"/>
  <c r="E208" i="38"/>
  <c r="E207" i="38"/>
  <c r="E206" i="38"/>
  <c r="E205" i="38"/>
  <c r="E204" i="38"/>
  <c r="E203" i="38"/>
  <c r="E202" i="38"/>
  <c r="E201" i="38"/>
  <c r="E200" i="38"/>
  <c r="E199" i="38"/>
  <c r="E198" i="38"/>
  <c r="E197" i="38"/>
  <c r="E196" i="38"/>
  <c r="E195" i="38"/>
  <c r="E194" i="38"/>
  <c r="E193" i="38"/>
  <c r="E192" i="38"/>
  <c r="E191" i="38"/>
  <c r="E190" i="38"/>
  <c r="E189" i="38"/>
  <c r="E188" i="38"/>
  <c r="E187" i="38"/>
  <c r="E186" i="38"/>
  <c r="E185" i="38"/>
  <c r="E184" i="38"/>
  <c r="E183" i="38"/>
  <c r="E182" i="38"/>
  <c r="E181" i="38"/>
  <c r="E180" i="38"/>
  <c r="E179" i="38"/>
  <c r="E178" i="38"/>
  <c r="E177" i="38"/>
  <c r="E176" i="38"/>
  <c r="E175" i="38"/>
  <c r="E174" i="38"/>
  <c r="E173" i="38"/>
  <c r="E172" i="38"/>
  <c r="E171" i="38"/>
  <c r="E170" i="38"/>
  <c r="E169" i="38"/>
  <c r="E168" i="38"/>
  <c r="E167" i="38"/>
  <c r="E166" i="38"/>
  <c r="E165" i="38"/>
  <c r="E164" i="38"/>
  <c r="E163" i="38"/>
  <c r="E162" i="38"/>
  <c r="E161" i="38"/>
  <c r="E160" i="38"/>
  <c r="E159" i="38"/>
  <c r="E158" i="38"/>
  <c r="E157" i="38"/>
  <c r="E156" i="38"/>
  <c r="E155" i="38"/>
  <c r="E154" i="38"/>
  <c r="E153" i="38"/>
  <c r="E152" i="38"/>
  <c r="E151" i="38"/>
  <c r="E150" i="38"/>
  <c r="E149" i="38"/>
  <c r="E148" i="38"/>
  <c r="E147" i="38"/>
  <c r="E146" i="38"/>
  <c r="E145" i="38"/>
  <c r="E144" i="38"/>
  <c r="E143" i="38"/>
  <c r="E142" i="38"/>
  <c r="E141" i="38"/>
  <c r="E140" i="38"/>
  <c r="E139" i="38"/>
  <c r="E138" i="38"/>
  <c r="E137" i="38"/>
  <c r="E136" i="38"/>
  <c r="E135" i="38"/>
  <c r="E134" i="38"/>
  <c r="E133" i="38"/>
  <c r="E132" i="38"/>
  <c r="E131" i="38"/>
  <c r="E130" i="38"/>
  <c r="E129" i="38"/>
  <c r="E128" i="38"/>
  <c r="E127" i="38"/>
  <c r="E126" i="38"/>
  <c r="E125" i="38"/>
  <c r="E124" i="38"/>
  <c r="E123" i="38"/>
  <c r="E122" i="38"/>
  <c r="E121" i="38"/>
  <c r="E120" i="38"/>
  <c r="E119" i="38"/>
  <c r="E118" i="38"/>
  <c r="E117" i="38"/>
  <c r="E116" i="38"/>
  <c r="E115" i="38"/>
  <c r="E114" i="38"/>
  <c r="E113" i="38"/>
  <c r="E112" i="38"/>
  <c r="E111" i="38"/>
  <c r="E110" i="38"/>
  <c r="E109" i="38"/>
  <c r="E108" i="38"/>
  <c r="E107" i="38"/>
  <c r="E106" i="38"/>
  <c r="E105" i="38"/>
  <c r="E104" i="38"/>
  <c r="E103" i="38"/>
  <c r="E102" i="38"/>
  <c r="E101" i="38"/>
  <c r="E100" i="38"/>
  <c r="E99" i="38"/>
  <c r="E98" i="38"/>
  <c r="E97" i="38"/>
  <c r="E96" i="38"/>
  <c r="E95" i="38"/>
  <c r="E94" i="38"/>
  <c r="E93" i="38"/>
  <c r="E92" i="38"/>
  <c r="E91" i="38"/>
  <c r="E90" i="38"/>
  <c r="E89" i="38"/>
  <c r="E88" i="38"/>
  <c r="E87" i="38"/>
  <c r="E86" i="38"/>
  <c r="E85" i="38"/>
  <c r="E84" i="38"/>
  <c r="E83" i="38"/>
  <c r="E82" i="38"/>
  <c r="E81" i="38"/>
  <c r="E80" i="38"/>
  <c r="E79" i="38"/>
  <c r="E78" i="38"/>
  <c r="E77" i="38"/>
  <c r="E76" i="38"/>
  <c r="E75" i="38"/>
  <c r="E74" i="38"/>
  <c r="E73" i="38"/>
  <c r="E72" i="38"/>
  <c r="E71" i="38"/>
  <c r="E70" i="38"/>
  <c r="E69" i="38"/>
  <c r="E68" i="38"/>
  <c r="E67" i="38"/>
  <c r="E66" i="38"/>
  <c r="E65" i="38"/>
  <c r="E64" i="38"/>
  <c r="E63" i="38"/>
  <c r="E62" i="38"/>
  <c r="E61" i="38"/>
  <c r="E60" i="38"/>
  <c r="E59" i="38"/>
  <c r="E58" i="38"/>
  <c r="E57" i="38"/>
  <c r="E56" i="38"/>
  <c r="E55" i="38"/>
  <c r="E54" i="38"/>
  <c r="E53" i="38"/>
  <c r="E52" i="38"/>
  <c r="E51" i="38"/>
  <c r="E50" i="38"/>
  <c r="E49" i="38"/>
  <c r="E48" i="38"/>
  <c r="E47" i="38"/>
  <c r="E46" i="38"/>
  <c r="E45" i="38"/>
  <c r="E44" i="38"/>
  <c r="E43" i="38"/>
  <c r="E42" i="38"/>
  <c r="E41" i="38"/>
  <c r="E40" i="38"/>
  <c r="E39" i="38"/>
  <c r="E38" i="38"/>
  <c r="E37" i="38"/>
  <c r="E36" i="38"/>
  <c r="E35" i="38"/>
  <c r="E34" i="38"/>
  <c r="E33" i="38"/>
  <c r="E32" i="38"/>
  <c r="E31" i="38"/>
  <c r="E30" i="38"/>
  <c r="E29" i="38"/>
  <c r="E28" i="38"/>
  <c r="E27" i="38"/>
  <c r="E26" i="38"/>
  <c r="E25" i="38"/>
  <c r="E24" i="38"/>
  <c r="E23" i="38"/>
  <c r="E22" i="38"/>
  <c r="E21" i="38"/>
  <c r="E20" i="38"/>
  <c r="E19" i="38"/>
  <c r="E18" i="38"/>
  <c r="E17" i="38"/>
  <c r="E16" i="38"/>
  <c r="E15" i="38"/>
  <c r="E14" i="38"/>
  <c r="E13" i="38"/>
  <c r="E12" i="38"/>
  <c r="E11" i="38"/>
  <c r="E10" i="38"/>
  <c r="E9" i="38"/>
  <c r="E8" i="38"/>
  <c r="E7" i="38"/>
  <c r="E6" i="38"/>
  <c r="E5" i="38"/>
  <c r="E4" i="38"/>
  <c r="E3" i="38"/>
  <c r="G38" i="82"/>
  <c r="G37" i="82"/>
  <c r="G36" i="82"/>
  <c r="G35" i="82"/>
  <c r="G33" i="82"/>
  <c r="G32" i="82"/>
  <c r="G30" i="82"/>
  <c r="G29" i="82"/>
  <c r="G28" i="82"/>
  <c r="G27" i="82"/>
  <c r="G26" i="82"/>
  <c r="G25" i="82"/>
  <c r="G24" i="82"/>
  <c r="G23" i="82"/>
  <c r="G22" i="82"/>
  <c r="G21" i="82"/>
  <c r="G20" i="82"/>
  <c r="G19" i="82"/>
  <c r="G18" i="82"/>
  <c r="G17" i="82"/>
  <c r="G16" i="82"/>
  <c r="G15" i="82"/>
  <c r="G14" i="82"/>
  <c r="G13" i="82"/>
  <c r="G12" i="82"/>
  <c r="G11" i="82"/>
  <c r="G10" i="82"/>
  <c r="G9" i="82"/>
  <c r="G8" i="82"/>
  <c r="G6" i="82"/>
  <c r="G5" i="82"/>
  <c r="U41" i="29"/>
  <c r="U40" i="29"/>
  <c r="K39" i="31" s="1"/>
  <c r="U39" i="29"/>
  <c r="K38" i="31" s="1"/>
  <c r="U38" i="29"/>
  <c r="K37" i="31" s="1"/>
  <c r="U37" i="29"/>
  <c r="K36" i="31" s="1"/>
  <c r="U36" i="29"/>
  <c r="K35" i="31" s="1"/>
  <c r="U35" i="29"/>
  <c r="U34" i="29"/>
  <c r="K33" i="31" s="1"/>
  <c r="U33" i="29"/>
  <c r="K32" i="31" s="1"/>
  <c r="U32" i="29"/>
  <c r="K31" i="31" s="1"/>
  <c r="U31" i="29"/>
  <c r="K30" i="31" s="1"/>
  <c r="U30" i="29"/>
  <c r="K29" i="31" s="1"/>
  <c r="U29" i="29"/>
  <c r="U28" i="29"/>
  <c r="K28" i="31" s="1"/>
  <c r="U27" i="29"/>
  <c r="U26" i="29"/>
  <c r="K26" i="31" s="1"/>
  <c r="U25" i="29"/>
  <c r="K25" i="31" s="1"/>
  <c r="U24" i="29"/>
  <c r="U23" i="29"/>
  <c r="U22" i="29"/>
  <c r="K22" i="31" s="1"/>
  <c r="U21" i="29"/>
  <c r="K21" i="31" s="1"/>
  <c r="U20" i="29"/>
  <c r="U19" i="29"/>
  <c r="K19" i="31" s="1"/>
  <c r="U18" i="29"/>
  <c r="K18" i="31" s="1"/>
  <c r="U17" i="29"/>
  <c r="K17" i="31" s="1"/>
  <c r="U16" i="29"/>
  <c r="U15" i="29"/>
  <c r="U14" i="29"/>
  <c r="K14" i="31" s="1"/>
  <c r="U13" i="29"/>
  <c r="K13" i="31" s="1"/>
  <c r="U12" i="29"/>
  <c r="U11" i="29"/>
  <c r="K11" i="31" s="1"/>
  <c r="U10" i="29"/>
  <c r="K10" i="31" s="1"/>
  <c r="U9" i="29"/>
  <c r="K9" i="31" s="1"/>
  <c r="U8" i="29"/>
  <c r="B33" i="30"/>
  <c r="G58" i="30" s="1"/>
  <c r="B4" i="30"/>
  <c r="K40" i="31"/>
  <c r="I40" i="31"/>
  <c r="F40" i="31"/>
  <c r="I39" i="31"/>
  <c r="F39" i="31"/>
  <c r="I38" i="31"/>
  <c r="F38" i="31"/>
  <c r="I37" i="31"/>
  <c r="F37" i="31"/>
  <c r="I36" i="31"/>
  <c r="F36" i="31"/>
  <c r="I35" i="31"/>
  <c r="G35" i="31"/>
  <c r="F35" i="31"/>
  <c r="K34" i="31"/>
  <c r="I34" i="31"/>
  <c r="F34" i="31"/>
  <c r="I33" i="31"/>
  <c r="F33" i="31"/>
  <c r="I32" i="31"/>
  <c r="F32" i="31"/>
  <c r="I31" i="31"/>
  <c r="F31" i="31"/>
  <c r="I30" i="31"/>
  <c r="F30" i="31"/>
  <c r="L30" i="31" s="1"/>
  <c r="I29" i="31"/>
  <c r="F29" i="31"/>
  <c r="I28" i="31"/>
  <c r="F28" i="31"/>
  <c r="K27" i="31"/>
  <c r="I27" i="31"/>
  <c r="F27" i="31"/>
  <c r="I26" i="31"/>
  <c r="F26" i="31"/>
  <c r="I25" i="31"/>
  <c r="F25" i="31"/>
  <c r="K24" i="31"/>
  <c r="I24" i="31"/>
  <c r="G24" i="31"/>
  <c r="F24" i="31"/>
  <c r="K23" i="31"/>
  <c r="I23" i="31"/>
  <c r="F23" i="31"/>
  <c r="I22" i="31"/>
  <c r="F22" i="31"/>
  <c r="I21" i="31"/>
  <c r="F21" i="31"/>
  <c r="K20" i="31"/>
  <c r="I20" i="31"/>
  <c r="F20" i="31"/>
  <c r="I19" i="31"/>
  <c r="F19" i="31"/>
  <c r="I18" i="31"/>
  <c r="F18" i="31"/>
  <c r="I17" i="31"/>
  <c r="F17" i="31"/>
  <c r="K16" i="31"/>
  <c r="I16" i="31"/>
  <c r="F16" i="31"/>
  <c r="K15" i="31"/>
  <c r="I15" i="31"/>
  <c r="F15" i="31"/>
  <c r="L15" i="31" s="1"/>
  <c r="I14" i="31"/>
  <c r="F14" i="31"/>
  <c r="I13" i="31"/>
  <c r="F13" i="31"/>
  <c r="K12" i="31"/>
  <c r="I12" i="31"/>
  <c r="F12" i="31"/>
  <c r="I11" i="31"/>
  <c r="F11" i="31"/>
  <c r="I10" i="31"/>
  <c r="F10" i="31"/>
  <c r="I9" i="31"/>
  <c r="F9" i="31"/>
  <c r="K8" i="31"/>
  <c r="I8" i="31"/>
  <c r="F8" i="31"/>
  <c r="I7" i="31"/>
  <c r="F7" i="31"/>
  <c r="I6" i="31"/>
  <c r="F6" i="31"/>
  <c r="I5" i="31"/>
  <c r="F5" i="31"/>
  <c r="I4" i="31"/>
  <c r="F4" i="31"/>
  <c r="T240" i="24" l="1"/>
  <c r="X240" i="24"/>
  <c r="S240" i="24"/>
  <c r="W240" i="24"/>
  <c r="U240" i="24"/>
  <c r="Y240" i="24"/>
  <c r="R240" i="24"/>
  <c r="V240" i="24"/>
  <c r="H22" i="30"/>
  <c r="H28" i="30" s="1"/>
  <c r="L22" i="30"/>
  <c r="K24" i="30"/>
  <c r="E22" i="30"/>
  <c r="I22" i="30"/>
  <c r="M22" i="30"/>
  <c r="H24" i="30"/>
  <c r="L24" i="30"/>
  <c r="F22" i="30"/>
  <c r="F28" i="30" s="1"/>
  <c r="J22" i="30"/>
  <c r="E24" i="30"/>
  <c r="I24" i="30"/>
  <c r="M24" i="30"/>
  <c r="G22" i="30"/>
  <c r="G28" i="30" s="1"/>
  <c r="K22" i="30"/>
  <c r="F24" i="30"/>
  <c r="J24" i="30"/>
  <c r="J52" i="30"/>
  <c r="D44" i="30"/>
  <c r="F52" i="30"/>
  <c r="D36" i="30"/>
  <c r="K50" i="30"/>
  <c r="N52" i="30"/>
  <c r="G50" i="30"/>
  <c r="D42" i="30"/>
  <c r="O50" i="30"/>
  <c r="O56" i="30" s="1"/>
  <c r="D37" i="30"/>
  <c r="E42" i="30"/>
  <c r="D45" i="30"/>
  <c r="H50" i="30"/>
  <c r="L50" i="30"/>
  <c r="P50" i="30"/>
  <c r="P56" i="30" s="1"/>
  <c r="G52" i="30"/>
  <c r="K52" i="30"/>
  <c r="O52" i="30"/>
  <c r="O51" i="30"/>
  <c r="D38" i="30"/>
  <c r="D43" i="30"/>
  <c r="E50" i="30"/>
  <c r="I50" i="30"/>
  <c r="M50" i="30"/>
  <c r="H52" i="30"/>
  <c r="L52" i="30"/>
  <c r="P52" i="30"/>
  <c r="P51" i="30"/>
  <c r="D35" i="30"/>
  <c r="D39" i="30"/>
  <c r="E43" i="30"/>
  <c r="F50" i="30"/>
  <c r="J50" i="30"/>
  <c r="N50" i="30"/>
  <c r="N56" i="30" s="1"/>
  <c r="E52" i="30"/>
  <c r="I52" i="30"/>
  <c r="M52" i="30"/>
  <c r="I41" i="31"/>
  <c r="I42" i="31"/>
  <c r="F41" i="31"/>
  <c r="K42" i="31"/>
  <c r="K41" i="31"/>
  <c r="F42" i="31"/>
  <c r="J24" i="31"/>
  <c r="L24" i="31" s="1"/>
  <c r="J35" i="31"/>
  <c r="L35" i="31" s="1"/>
  <c r="B32" i="11"/>
  <c r="B179" i="11"/>
  <c r="B241" i="11"/>
  <c r="B62" i="11"/>
  <c r="B194" i="11"/>
  <c r="CE198" i="11"/>
  <c r="B235" i="11"/>
  <c r="D171" i="11"/>
  <c r="D186" i="11"/>
  <c r="D46" i="11"/>
  <c r="B48" i="11"/>
  <c r="B83" i="11"/>
  <c r="D138" i="11"/>
  <c r="B171" i="11"/>
  <c r="D179" i="11"/>
  <c r="B186" i="11"/>
  <c r="D30" i="11"/>
  <c r="D80" i="11"/>
  <c r="D81" i="11"/>
  <c r="D88" i="11"/>
  <c r="D89" i="11"/>
  <c r="D108" i="11"/>
  <c r="D166" i="11"/>
  <c r="D175" i="11"/>
  <c r="D182" i="11"/>
  <c r="D190" i="11"/>
  <c r="D102" i="11"/>
  <c r="D122" i="11"/>
  <c r="B64" i="11"/>
  <c r="CE75" i="11"/>
  <c r="CE77" i="11"/>
  <c r="B78" i="11"/>
  <c r="B166" i="11"/>
  <c r="B190" i="11"/>
  <c r="B9" i="11"/>
  <c r="CE20" i="11"/>
  <c r="D22" i="11"/>
  <c r="CE23" i="11"/>
  <c r="B24" i="11"/>
  <c r="B38" i="11"/>
  <c r="CE52" i="11"/>
  <c r="D54" i="11"/>
  <c r="CE55" i="11"/>
  <c r="B56" i="11"/>
  <c r="D97" i="11"/>
  <c r="D103" i="11"/>
  <c r="D109" i="11"/>
  <c r="D142" i="11"/>
  <c r="B146" i="11"/>
  <c r="D158" i="11"/>
  <c r="B162" i="11"/>
  <c r="B198" i="11"/>
  <c r="B204" i="11"/>
  <c r="D213" i="11"/>
  <c r="D220" i="11"/>
  <c r="CE221" i="11"/>
  <c r="B225" i="11"/>
  <c r="CE103" i="11"/>
  <c r="CE106" i="11"/>
  <c r="CE39" i="11"/>
  <c r="B40" i="11"/>
  <c r="D117" i="11"/>
  <c r="D126" i="11"/>
  <c r="D150" i="11"/>
  <c r="B154" i="11"/>
  <c r="D204" i="11"/>
  <c r="B213" i="11"/>
  <c r="D232" i="11"/>
  <c r="CE233" i="11"/>
  <c r="CE82" i="11"/>
  <c r="B13" i="11"/>
  <c r="CE16" i="11"/>
  <c r="D18" i="11"/>
  <c r="CE19" i="11"/>
  <c r="B20" i="11"/>
  <c r="B26" i="11"/>
  <c r="CE32" i="11"/>
  <c r="D34" i="11"/>
  <c r="CE35" i="11"/>
  <c r="B36" i="11"/>
  <c r="B42" i="11"/>
  <c r="CE48" i="11"/>
  <c r="D50" i="11"/>
  <c r="CE51" i="11"/>
  <c r="B52" i="11"/>
  <c r="B58" i="11"/>
  <c r="CE64" i="11"/>
  <c r="D66" i="11"/>
  <c r="B68" i="11"/>
  <c r="B70" i="11"/>
  <c r="B73" i="11"/>
  <c r="B209" i="11"/>
  <c r="CE225" i="11"/>
  <c r="CE235" i="11"/>
  <c r="CE28" i="11"/>
  <c r="CE31" i="11"/>
  <c r="CE47" i="11"/>
  <c r="CE60" i="11"/>
  <c r="CE63" i="11"/>
  <c r="CE44" i="11"/>
  <c r="B18" i="11"/>
  <c r="CE24" i="11"/>
  <c r="CE27" i="11"/>
  <c r="B28" i="11"/>
  <c r="CE40" i="11"/>
  <c r="CE43" i="11"/>
  <c r="B44" i="11"/>
  <c r="CE56" i="11"/>
  <c r="CE59" i="11"/>
  <c r="B60" i="11"/>
  <c r="D72" i="11"/>
  <c r="CE74" i="11"/>
  <c r="B75" i="11"/>
  <c r="CE83" i="11"/>
  <c r="CE85" i="11"/>
  <c r="B86" i="11"/>
  <c r="D87" i="11"/>
  <c r="CE97" i="11"/>
  <c r="CE112" i="11"/>
  <c r="CE114" i="11"/>
  <c r="D130" i="11"/>
  <c r="CE197" i="11"/>
  <c r="D209" i="11"/>
  <c r="CE218" i="11"/>
  <c r="CE229" i="11"/>
  <c r="CE241" i="11"/>
  <c r="D110" i="11"/>
  <c r="CE111" i="11"/>
  <c r="B112" i="11"/>
  <c r="D118" i="11"/>
  <c r="D134" i="11"/>
  <c r="D146" i="11"/>
  <c r="B150" i="11"/>
  <c r="D154" i="11"/>
  <c r="D162" i="11"/>
  <c r="CE217" i="11"/>
  <c r="B218" i="11"/>
  <c r="D227" i="11"/>
  <c r="CE228" i="11"/>
  <c r="B229" i="11"/>
  <c r="D237" i="11"/>
  <c r="CE239" i="11"/>
  <c r="P24" i="30"/>
  <c r="D9" i="30"/>
  <c r="E14" i="30"/>
  <c r="D17" i="30"/>
  <c r="O23" i="30"/>
  <c r="D6" i="30"/>
  <c r="D10" i="30"/>
  <c r="D15" i="30"/>
  <c r="N22" i="30"/>
  <c r="N28" i="30" s="1"/>
  <c r="P23" i="30"/>
  <c r="O24" i="30"/>
  <c r="D7" i="30"/>
  <c r="D11" i="30"/>
  <c r="E15" i="30"/>
  <c r="O22" i="30"/>
  <c r="O28" i="30" s="1"/>
  <c r="D8" i="30"/>
  <c r="D14" i="30"/>
  <c r="D16" i="30"/>
  <c r="P22" i="30"/>
  <c r="P28" i="30" s="1"/>
  <c r="O15" i="10"/>
  <c r="P11" i="10" s="1"/>
  <c r="D140" i="11"/>
  <c r="B140" i="11"/>
  <c r="B31" i="18"/>
  <c r="D206" i="11"/>
  <c r="B206" i="11"/>
  <c r="D215" i="11"/>
  <c r="B215" i="11"/>
  <c r="CE8" i="11"/>
  <c r="CE9" i="11"/>
  <c r="D11" i="11"/>
  <c r="CE12" i="11"/>
  <c r="CE13" i="11"/>
  <c r="D15" i="11"/>
  <c r="CE67" i="11"/>
  <c r="CE70" i="11"/>
  <c r="D79" i="11"/>
  <c r="CE88" i="11"/>
  <c r="CE89" i="11"/>
  <c r="D91" i="11"/>
  <c r="D116" i="11"/>
  <c r="D128" i="11"/>
  <c r="B128" i="11"/>
  <c r="B53" i="18"/>
  <c r="D144" i="11"/>
  <c r="B144" i="11"/>
  <c r="D152" i="11"/>
  <c r="B152" i="11"/>
  <c r="D160" i="11"/>
  <c r="B160" i="11"/>
  <c r="B68" i="18"/>
  <c r="D168" i="11"/>
  <c r="B168" i="11"/>
  <c r="D177" i="11"/>
  <c r="B177" i="11"/>
  <c r="D184" i="11"/>
  <c r="B16" i="18"/>
  <c r="B184" i="11"/>
  <c r="D192" i="11"/>
  <c r="B192" i="11"/>
  <c r="CE36" i="11"/>
  <c r="B7" i="18"/>
  <c r="D124" i="11"/>
  <c r="B124" i="11"/>
  <c r="CE21" i="11"/>
  <c r="CE22" i="11"/>
  <c r="CE29" i="11"/>
  <c r="CE30" i="11"/>
  <c r="CE33" i="11"/>
  <c r="CE34" i="11"/>
  <c r="CE37" i="11"/>
  <c r="CE38" i="11"/>
  <c r="CE41" i="11"/>
  <c r="CE42" i="11"/>
  <c r="CE45" i="11"/>
  <c r="CE46" i="11"/>
  <c r="CE49" i="11"/>
  <c r="CE50" i="11"/>
  <c r="CE53" i="11"/>
  <c r="CE54" i="11"/>
  <c r="CE57" i="11"/>
  <c r="CE58" i="11"/>
  <c r="CE61" i="11"/>
  <c r="CE62" i="11"/>
  <c r="CE65" i="11"/>
  <c r="CE66" i="11"/>
  <c r="CE69" i="11"/>
  <c r="D71" i="11"/>
  <c r="CE81" i="11"/>
  <c r="B76" i="18"/>
  <c r="B95" i="11"/>
  <c r="D132" i="11"/>
  <c r="B132" i="11"/>
  <c r="D211" i="11"/>
  <c r="B211" i="11"/>
  <c r="CE17" i="11"/>
  <c r="CE18" i="11"/>
  <c r="CE25" i="11"/>
  <c r="CE26" i="11"/>
  <c r="D9" i="11"/>
  <c r="CE10" i="11"/>
  <c r="B11" i="11"/>
  <c r="CE11" i="11"/>
  <c r="D13" i="11"/>
  <c r="CE14" i="11"/>
  <c r="B15" i="11"/>
  <c r="CE15" i="11"/>
  <c r="D67" i="11"/>
  <c r="CE72" i="11"/>
  <c r="CE73" i="11"/>
  <c r="CE90" i="11"/>
  <c r="B91" i="11"/>
  <c r="CE91" i="11"/>
  <c r="CE93" i="11"/>
  <c r="D95" i="11"/>
  <c r="D99" i="11"/>
  <c r="D120" i="11"/>
  <c r="B120" i="11"/>
  <c r="B48" i="18"/>
  <c r="D136" i="11"/>
  <c r="B136" i="11"/>
  <c r="B57" i="18"/>
  <c r="D148" i="11"/>
  <c r="B148" i="11"/>
  <c r="D156" i="11"/>
  <c r="B156" i="11"/>
  <c r="B65" i="18"/>
  <c r="D164" i="11"/>
  <c r="B164" i="11"/>
  <c r="B37" i="18"/>
  <c r="D173" i="11"/>
  <c r="B173" i="11"/>
  <c r="D181" i="11"/>
  <c r="B181" i="11"/>
  <c r="D188" i="11"/>
  <c r="B188" i="11"/>
  <c r="D196" i="11"/>
  <c r="B196" i="11"/>
  <c r="CE120" i="11"/>
  <c r="CE124" i="11"/>
  <c r="CE128" i="11"/>
  <c r="CE131" i="11"/>
  <c r="CE132" i="11"/>
  <c r="CE136" i="11"/>
  <c r="CE139" i="11"/>
  <c r="CE140" i="11"/>
  <c r="CE144" i="11"/>
  <c r="CE147" i="11"/>
  <c r="CE148" i="11"/>
  <c r="CE152" i="11"/>
  <c r="CE155" i="11"/>
  <c r="CE156" i="11"/>
  <c r="CE160" i="11"/>
  <c r="CE163" i="11"/>
  <c r="CE164" i="11"/>
  <c r="CE168" i="11"/>
  <c r="CE172" i="11"/>
  <c r="CE173" i="11"/>
  <c r="CE176" i="11"/>
  <c r="CE177" i="11"/>
  <c r="CE180" i="11"/>
  <c r="CE181" i="11"/>
  <c r="CE183" i="11"/>
  <c r="CE184" i="11"/>
  <c r="CE187" i="11"/>
  <c r="CE188" i="11"/>
  <c r="CE191" i="11"/>
  <c r="CE192" i="11"/>
  <c r="CE195" i="11"/>
  <c r="CE196" i="11"/>
  <c r="CE202" i="11"/>
  <c r="CE205" i="11"/>
  <c r="CE206" i="11"/>
  <c r="CE210" i="11"/>
  <c r="CE211" i="11"/>
  <c r="CE214" i="11"/>
  <c r="CE215" i="11"/>
  <c r="CE71" i="11"/>
  <c r="CE78" i="11"/>
  <c r="CE79" i="11"/>
  <c r="CE86" i="11"/>
  <c r="CE87" i="11"/>
  <c r="CE94" i="11"/>
  <c r="CE95" i="11"/>
  <c r="CE101" i="11"/>
  <c r="B102" i="11"/>
  <c r="CE102" i="11"/>
  <c r="CE109" i="11"/>
  <c r="CE110" i="11"/>
  <c r="CE118" i="11"/>
  <c r="CE121" i="11"/>
  <c r="B122" i="11"/>
  <c r="CE122" i="11"/>
  <c r="CE125" i="11"/>
  <c r="B126" i="11"/>
  <c r="CE126" i="11"/>
  <c r="CE129" i="11"/>
  <c r="B130" i="11"/>
  <c r="CE130" i="11"/>
  <c r="B134" i="11"/>
  <c r="CE134" i="11"/>
  <c r="CE137" i="11"/>
  <c r="B138" i="11"/>
  <c r="CE145" i="11"/>
  <c r="CE146" i="11"/>
  <c r="CE150" i="11"/>
  <c r="CE153" i="11"/>
  <c r="CE161" i="11"/>
  <c r="CE162" i="11"/>
  <c r="CE166" i="11"/>
  <c r="CE169" i="11"/>
  <c r="CE171" i="11"/>
  <c r="CE174" i="11"/>
  <c r="CE175" i="11"/>
  <c r="CE178" i="11"/>
  <c r="CE179" i="11"/>
  <c r="CE182" i="11"/>
  <c r="CE185" i="11"/>
  <c r="CE186" i="11"/>
  <c r="CE189" i="11"/>
  <c r="CE190" i="11"/>
  <c r="CE193" i="11"/>
  <c r="CE194" i="11"/>
  <c r="CE203" i="11"/>
  <c r="CE204" i="11"/>
  <c r="CE208" i="11"/>
  <c r="CE209" i="11"/>
  <c r="CE212" i="11"/>
  <c r="CE213" i="11"/>
  <c r="CE98" i="11"/>
  <c r="CE99" i="11"/>
  <c r="CE107" i="11"/>
  <c r="CE108" i="11"/>
  <c r="CE115" i="11"/>
  <c r="CE116" i="11"/>
  <c r="CE216" i="11"/>
  <c r="CE219" i="11"/>
  <c r="CE220" i="11"/>
  <c r="CE226" i="11"/>
  <c r="CE227" i="11"/>
  <c r="CE231" i="11"/>
  <c r="CE232" i="11"/>
  <c r="CE236" i="11"/>
  <c r="CE237" i="11"/>
  <c r="D241" i="11"/>
  <c r="CE242" i="11"/>
  <c r="D125" i="11"/>
  <c r="B125" i="11"/>
  <c r="B8" i="18"/>
  <c r="B131" i="11"/>
  <c r="D131" i="11"/>
  <c r="B147" i="11"/>
  <c r="D147" i="11"/>
  <c r="B56" i="18"/>
  <c r="B163" i="11"/>
  <c r="D163" i="11"/>
  <c r="B64" i="18"/>
  <c r="D8" i="11"/>
  <c r="B10" i="11"/>
  <c r="D12" i="11"/>
  <c r="B14" i="11"/>
  <c r="D16" i="11"/>
  <c r="D17" i="11"/>
  <c r="B19" i="11"/>
  <c r="D21" i="11"/>
  <c r="B23" i="11"/>
  <c r="D25" i="11"/>
  <c r="B27" i="11"/>
  <c r="D29" i="11"/>
  <c r="B31" i="11"/>
  <c r="D33" i="11"/>
  <c r="B35" i="11"/>
  <c r="D37" i="11"/>
  <c r="B39" i="11"/>
  <c r="D41" i="11"/>
  <c r="B43" i="11"/>
  <c r="D45" i="11"/>
  <c r="B47" i="11"/>
  <c r="D49" i="11"/>
  <c r="B51" i="11"/>
  <c r="D53" i="11"/>
  <c r="B55" i="11"/>
  <c r="D57" i="11"/>
  <c r="B59" i="11"/>
  <c r="D61" i="11"/>
  <c r="B63" i="11"/>
  <c r="D65" i="11"/>
  <c r="D69" i="11"/>
  <c r="B74" i="11"/>
  <c r="CE76" i="11"/>
  <c r="B77" i="11"/>
  <c r="D84" i="11"/>
  <c r="D85" i="11"/>
  <c r="B90" i="11"/>
  <c r="CE92" i="11"/>
  <c r="B93" i="11"/>
  <c r="D100" i="11"/>
  <c r="D101" i="11"/>
  <c r="B78" i="18"/>
  <c r="D105" i="11"/>
  <c r="D106" i="11"/>
  <c r="D107" i="11"/>
  <c r="B80" i="18"/>
  <c r="CE113" i="11"/>
  <c r="B114" i="11"/>
  <c r="CE119" i="11"/>
  <c r="B123" i="11"/>
  <c r="D123" i="11"/>
  <c r="B6" i="18"/>
  <c r="CE127" i="11"/>
  <c r="CE133" i="11"/>
  <c r="B135" i="11"/>
  <c r="D135" i="11"/>
  <c r="CE143" i="11"/>
  <c r="CE149" i="11"/>
  <c r="B151" i="11"/>
  <c r="D151" i="11"/>
  <c r="CE159" i="11"/>
  <c r="CE165" i="11"/>
  <c r="B167" i="11"/>
  <c r="B67" i="18"/>
  <c r="D167" i="11"/>
  <c r="CE80" i="11"/>
  <c r="CE96" i="11"/>
  <c r="B81" i="18"/>
  <c r="D111" i="11"/>
  <c r="B113" i="11"/>
  <c r="B70" i="18"/>
  <c r="CE117" i="11"/>
  <c r="D121" i="11"/>
  <c r="B121" i="11"/>
  <c r="CE138" i="11"/>
  <c r="B139" i="11"/>
  <c r="B15" i="18"/>
  <c r="D139" i="11"/>
  <c r="CE154" i="11"/>
  <c r="B155" i="11"/>
  <c r="D155" i="11"/>
  <c r="B8" i="11"/>
  <c r="D14" i="11"/>
  <c r="B17" i="11"/>
  <c r="D19" i="11"/>
  <c r="B21" i="11"/>
  <c r="CE68" i="11"/>
  <c r="D76" i="11"/>
  <c r="B82" i="11"/>
  <c r="CE84" i="11"/>
  <c r="D92" i="11"/>
  <c r="D93" i="11"/>
  <c r="D94" i="11"/>
  <c r="B26" i="18"/>
  <c r="B77" i="18"/>
  <c r="B96" i="11"/>
  <c r="B98" i="11"/>
  <c r="CE100" i="11"/>
  <c r="CE105" i="11"/>
  <c r="D113" i="11"/>
  <c r="D115" i="11"/>
  <c r="B72" i="18"/>
  <c r="B119" i="11"/>
  <c r="D119" i="11"/>
  <c r="CE123" i="11"/>
  <c r="B127" i="11"/>
  <c r="D127" i="11"/>
  <c r="B10" i="18"/>
  <c r="CE135" i="11"/>
  <c r="CE141" i="11"/>
  <c r="CE142" i="11"/>
  <c r="B143" i="11"/>
  <c r="D143" i="11"/>
  <c r="B52" i="18"/>
  <c r="CE151" i="11"/>
  <c r="CE157" i="11"/>
  <c r="CE158" i="11"/>
  <c r="B159" i="11"/>
  <c r="D159" i="11"/>
  <c r="B60" i="18"/>
  <c r="CE167" i="11"/>
  <c r="B14" i="18"/>
  <c r="B28" i="18"/>
  <c r="B32" i="18"/>
  <c r="B34" i="18"/>
  <c r="B36" i="18"/>
  <c r="B54" i="18"/>
  <c r="B58" i="18"/>
  <c r="B129" i="11"/>
  <c r="B133" i="11"/>
  <c r="B137" i="11"/>
  <c r="B141" i="11"/>
  <c r="B145" i="11"/>
  <c r="B149" i="11"/>
  <c r="B153" i="11"/>
  <c r="B157" i="11"/>
  <c r="B161" i="11"/>
  <c r="B165" i="11"/>
  <c r="B169" i="11"/>
  <c r="D172" i="11"/>
  <c r="B174" i="11"/>
  <c r="D176" i="11"/>
  <c r="B178" i="11"/>
  <c r="D180" i="11"/>
  <c r="D183" i="11"/>
  <c r="B185" i="11"/>
  <c r="D187" i="11"/>
  <c r="B189" i="11"/>
  <c r="D191" i="11"/>
  <c r="B193" i="11"/>
  <c r="D195" i="11"/>
  <c r="D197" i="11"/>
  <c r="B202" i="11"/>
  <c r="D203" i="11"/>
  <c r="B205" i="11"/>
  <c r="D208" i="11"/>
  <c r="B210" i="11"/>
  <c r="D212" i="11"/>
  <c r="B214" i="11"/>
  <c r="D217" i="11"/>
  <c r="B219" i="11"/>
  <c r="D221" i="11"/>
  <c r="B226" i="11"/>
  <c r="D228" i="11"/>
  <c r="B231" i="11"/>
  <c r="D233" i="11"/>
  <c r="B236" i="11"/>
  <c r="D239" i="11"/>
  <c r="B242" i="11"/>
  <c r="B33" i="18"/>
  <c r="B35" i="18"/>
  <c r="B39" i="18"/>
  <c r="B51" i="18"/>
  <c r="B61" i="18"/>
  <c r="B73" i="18"/>
  <c r="B75" i="18"/>
  <c r="B83" i="18"/>
  <c r="L237" i="24" l="1"/>
  <c r="AJ237" i="24" s="1"/>
  <c r="H237" i="24"/>
  <c r="AF237" i="24" s="1"/>
  <c r="K237" i="24"/>
  <c r="AI237" i="24" s="1"/>
  <c r="N237" i="24"/>
  <c r="AL237" i="24" s="1"/>
  <c r="J237" i="24"/>
  <c r="AH237" i="24" s="1"/>
  <c r="F237" i="24"/>
  <c r="AD237" i="24" s="1"/>
  <c r="O237" i="24"/>
  <c r="AM237" i="24" s="1"/>
  <c r="G237" i="24"/>
  <c r="AE237" i="24" s="1"/>
  <c r="M237" i="24"/>
  <c r="AK237" i="24" s="1"/>
  <c r="I237" i="24"/>
  <c r="AG237" i="24" s="1"/>
  <c r="L236" i="24"/>
  <c r="AJ236" i="24" s="1"/>
  <c r="H236" i="24"/>
  <c r="AF236" i="24" s="1"/>
  <c r="O236" i="24"/>
  <c r="AM236" i="24" s="1"/>
  <c r="K236" i="24"/>
  <c r="AI236" i="24" s="1"/>
  <c r="G236" i="24"/>
  <c r="AE236" i="24" s="1"/>
  <c r="N236" i="24"/>
  <c r="AL236" i="24" s="1"/>
  <c r="J236" i="24"/>
  <c r="AH236" i="24" s="1"/>
  <c r="F236" i="24"/>
  <c r="AD236" i="24" s="1"/>
  <c r="M236" i="24"/>
  <c r="AK236" i="24" s="1"/>
  <c r="I236" i="24"/>
  <c r="AG236" i="24" s="1"/>
  <c r="O4" i="24"/>
  <c r="AM4" i="24" s="1"/>
  <c r="O8" i="24"/>
  <c r="AM8" i="24" s="1"/>
  <c r="O12" i="24"/>
  <c r="AM12" i="24" s="1"/>
  <c r="O16" i="24"/>
  <c r="AM16" i="24" s="1"/>
  <c r="O20" i="24"/>
  <c r="AM20" i="24" s="1"/>
  <c r="O24" i="24"/>
  <c r="AM24" i="24" s="1"/>
  <c r="O28" i="24"/>
  <c r="AM28" i="24" s="1"/>
  <c r="O32" i="24"/>
  <c r="AM32" i="24" s="1"/>
  <c r="O36" i="24"/>
  <c r="AM36" i="24" s="1"/>
  <c r="O40" i="24"/>
  <c r="AM40" i="24" s="1"/>
  <c r="O44" i="24"/>
  <c r="AM44" i="24" s="1"/>
  <c r="O48" i="24"/>
  <c r="AM48" i="24" s="1"/>
  <c r="O52" i="24"/>
  <c r="AM52" i="24" s="1"/>
  <c r="O56" i="24"/>
  <c r="AM56" i="24" s="1"/>
  <c r="O60" i="24"/>
  <c r="AM60" i="24" s="1"/>
  <c r="O64" i="24"/>
  <c r="AM64" i="24" s="1"/>
  <c r="O68" i="24"/>
  <c r="AM68" i="24" s="1"/>
  <c r="O72" i="24"/>
  <c r="AM72" i="24" s="1"/>
  <c r="O76" i="24"/>
  <c r="AM76" i="24" s="1"/>
  <c r="O80" i="24"/>
  <c r="AM80" i="24" s="1"/>
  <c r="O84" i="24"/>
  <c r="AM84" i="24" s="1"/>
  <c r="O88" i="24"/>
  <c r="AM88" i="24" s="1"/>
  <c r="O92" i="24"/>
  <c r="AM92" i="24" s="1"/>
  <c r="O96" i="24"/>
  <c r="AM96" i="24" s="1"/>
  <c r="O100" i="24"/>
  <c r="AM100" i="24" s="1"/>
  <c r="O104" i="24"/>
  <c r="AM104" i="24" s="1"/>
  <c r="O108" i="24"/>
  <c r="AM108" i="24" s="1"/>
  <c r="O112" i="24"/>
  <c r="AM112" i="24" s="1"/>
  <c r="O116" i="24"/>
  <c r="AM116" i="24" s="1"/>
  <c r="O120" i="24"/>
  <c r="AM120" i="24" s="1"/>
  <c r="O124" i="24"/>
  <c r="AM124" i="24" s="1"/>
  <c r="O128" i="24"/>
  <c r="AM128" i="24" s="1"/>
  <c r="O132" i="24"/>
  <c r="AM132" i="24" s="1"/>
  <c r="O136" i="24"/>
  <c r="AM136" i="24" s="1"/>
  <c r="O140" i="24"/>
  <c r="AM140" i="24" s="1"/>
  <c r="O144" i="24"/>
  <c r="AM144" i="24" s="1"/>
  <c r="O148" i="24"/>
  <c r="AM148" i="24" s="1"/>
  <c r="O152" i="24"/>
  <c r="AM152" i="24" s="1"/>
  <c r="O156" i="24"/>
  <c r="AM156" i="24" s="1"/>
  <c r="O160" i="24"/>
  <c r="AM160" i="24" s="1"/>
  <c r="O164" i="24"/>
  <c r="AM164" i="24" s="1"/>
  <c r="O168" i="24"/>
  <c r="AM168" i="24" s="1"/>
  <c r="O172" i="24"/>
  <c r="AM172" i="24" s="1"/>
  <c r="O176" i="24"/>
  <c r="AM176" i="24" s="1"/>
  <c r="O180" i="24"/>
  <c r="AM180" i="24" s="1"/>
  <c r="O184" i="24"/>
  <c r="AM184" i="24" s="1"/>
  <c r="O188" i="24"/>
  <c r="AM188" i="24" s="1"/>
  <c r="O192" i="24"/>
  <c r="AM192" i="24" s="1"/>
  <c r="O196" i="24"/>
  <c r="AM196" i="24" s="1"/>
  <c r="O200" i="24"/>
  <c r="AM200" i="24" s="1"/>
  <c r="O204" i="24"/>
  <c r="AM204" i="24" s="1"/>
  <c r="O208" i="24"/>
  <c r="AM208" i="24" s="1"/>
  <c r="O212" i="24"/>
  <c r="AM212" i="24" s="1"/>
  <c r="O216" i="24"/>
  <c r="AM216" i="24" s="1"/>
  <c r="O220" i="24"/>
  <c r="AM220" i="24" s="1"/>
  <c r="O224" i="24"/>
  <c r="AM224" i="24" s="1"/>
  <c r="O228" i="24"/>
  <c r="AM228" i="24" s="1"/>
  <c r="O232" i="24"/>
  <c r="AM232" i="24" s="1"/>
  <c r="O3" i="24"/>
  <c r="N235" i="24"/>
  <c r="AL235" i="24" s="1"/>
  <c r="L235" i="24"/>
  <c r="AJ235" i="24" s="1"/>
  <c r="J235" i="24"/>
  <c r="AH235" i="24" s="1"/>
  <c r="H235" i="24"/>
  <c r="AF235" i="24" s="1"/>
  <c r="F235" i="24"/>
  <c r="AD235" i="24" s="1"/>
  <c r="O5" i="24"/>
  <c r="AM5" i="24" s="1"/>
  <c r="O9" i="24"/>
  <c r="AM9" i="24" s="1"/>
  <c r="O13" i="24"/>
  <c r="AM13" i="24" s="1"/>
  <c r="O17" i="24"/>
  <c r="AM17" i="24" s="1"/>
  <c r="O21" i="24"/>
  <c r="AM21" i="24" s="1"/>
  <c r="O25" i="24"/>
  <c r="AM25" i="24" s="1"/>
  <c r="O29" i="24"/>
  <c r="AM29" i="24" s="1"/>
  <c r="O33" i="24"/>
  <c r="AM33" i="24" s="1"/>
  <c r="O37" i="24"/>
  <c r="AM37" i="24" s="1"/>
  <c r="O41" i="24"/>
  <c r="AM41" i="24" s="1"/>
  <c r="O45" i="24"/>
  <c r="AM45" i="24" s="1"/>
  <c r="O49" i="24"/>
  <c r="AM49" i="24" s="1"/>
  <c r="O53" i="24"/>
  <c r="AM53" i="24" s="1"/>
  <c r="O57" i="24"/>
  <c r="AM57" i="24" s="1"/>
  <c r="O61" i="24"/>
  <c r="AM61" i="24" s="1"/>
  <c r="O65" i="24"/>
  <c r="AM65" i="24" s="1"/>
  <c r="O69" i="24"/>
  <c r="AM69" i="24" s="1"/>
  <c r="O6" i="24"/>
  <c r="AM6" i="24" s="1"/>
  <c r="O10" i="24"/>
  <c r="AM10" i="24" s="1"/>
  <c r="O14" i="24"/>
  <c r="AM14" i="24" s="1"/>
  <c r="O18" i="24"/>
  <c r="AM18" i="24" s="1"/>
  <c r="O22" i="24"/>
  <c r="AM22" i="24" s="1"/>
  <c r="O26" i="24"/>
  <c r="AM26" i="24" s="1"/>
  <c r="O30" i="24"/>
  <c r="AM30" i="24" s="1"/>
  <c r="O34" i="24"/>
  <c r="AM34" i="24" s="1"/>
  <c r="O38" i="24"/>
  <c r="AM38" i="24" s="1"/>
  <c r="O42" i="24"/>
  <c r="AM42" i="24" s="1"/>
  <c r="O46" i="24"/>
  <c r="AM46" i="24" s="1"/>
  <c r="O50" i="24"/>
  <c r="AM50" i="24" s="1"/>
  <c r="O54" i="24"/>
  <c r="AM54" i="24" s="1"/>
  <c r="O58" i="24"/>
  <c r="AM58" i="24" s="1"/>
  <c r="O62" i="24"/>
  <c r="AM62" i="24" s="1"/>
  <c r="O66" i="24"/>
  <c r="AM66" i="24" s="1"/>
  <c r="O70" i="24"/>
  <c r="AM70" i="24" s="1"/>
  <c r="O74" i="24"/>
  <c r="AM74" i="24" s="1"/>
  <c r="O78" i="24"/>
  <c r="AM78" i="24" s="1"/>
  <c r="O82" i="24"/>
  <c r="AM82" i="24" s="1"/>
  <c r="O86" i="24"/>
  <c r="AM86" i="24" s="1"/>
  <c r="O90" i="24"/>
  <c r="AM90" i="24" s="1"/>
  <c r="O94" i="24"/>
  <c r="AM94" i="24" s="1"/>
  <c r="O98" i="24"/>
  <c r="AM98" i="24" s="1"/>
  <c r="O102" i="24"/>
  <c r="AM102" i="24" s="1"/>
  <c r="O106" i="24"/>
  <c r="AM106" i="24" s="1"/>
  <c r="O110" i="24"/>
  <c r="AM110" i="24" s="1"/>
  <c r="O114" i="24"/>
  <c r="AM114" i="24" s="1"/>
  <c r="O118" i="24"/>
  <c r="AM118" i="24" s="1"/>
  <c r="O122" i="24"/>
  <c r="AM122" i="24" s="1"/>
  <c r="O126" i="24"/>
  <c r="AM126" i="24" s="1"/>
  <c r="O130" i="24"/>
  <c r="AM130" i="24" s="1"/>
  <c r="O134" i="24"/>
  <c r="AM134" i="24" s="1"/>
  <c r="O138" i="24"/>
  <c r="AM138" i="24" s="1"/>
  <c r="O142" i="24"/>
  <c r="AM142" i="24" s="1"/>
  <c r="O146" i="24"/>
  <c r="AM146" i="24" s="1"/>
  <c r="O150" i="24"/>
  <c r="AM150" i="24" s="1"/>
  <c r="O154" i="24"/>
  <c r="AM154" i="24" s="1"/>
  <c r="O158" i="24"/>
  <c r="AM158" i="24" s="1"/>
  <c r="O162" i="24"/>
  <c r="AM162" i="24" s="1"/>
  <c r="O166" i="24"/>
  <c r="AM166" i="24" s="1"/>
  <c r="O170" i="24"/>
  <c r="AM170" i="24" s="1"/>
  <c r="O174" i="24"/>
  <c r="AM174" i="24" s="1"/>
  <c r="O178" i="24"/>
  <c r="AM178" i="24" s="1"/>
  <c r="O182" i="24"/>
  <c r="AM182" i="24" s="1"/>
  <c r="O186" i="24"/>
  <c r="AM186" i="24" s="1"/>
  <c r="O190" i="24"/>
  <c r="AM190" i="24" s="1"/>
  <c r="O194" i="24"/>
  <c r="AM194" i="24" s="1"/>
  <c r="O198" i="24"/>
  <c r="AM198" i="24" s="1"/>
  <c r="O202" i="24"/>
  <c r="AM202" i="24" s="1"/>
  <c r="O206" i="24"/>
  <c r="AM206" i="24" s="1"/>
  <c r="O210" i="24"/>
  <c r="AM210" i="24" s="1"/>
  <c r="O214" i="24"/>
  <c r="AM214" i="24" s="1"/>
  <c r="O218" i="24"/>
  <c r="AM218" i="24" s="1"/>
  <c r="O222" i="24"/>
  <c r="AM222" i="24" s="1"/>
  <c r="O226" i="24"/>
  <c r="AM226" i="24" s="1"/>
  <c r="O230" i="24"/>
  <c r="AM230" i="24" s="1"/>
  <c r="O234" i="24"/>
  <c r="AM234" i="24" s="1"/>
  <c r="M235" i="24"/>
  <c r="AK235" i="24" s="1"/>
  <c r="K235" i="24"/>
  <c r="AI235" i="24" s="1"/>
  <c r="I235" i="24"/>
  <c r="AG235" i="24" s="1"/>
  <c r="G235" i="24"/>
  <c r="AE235" i="24" s="1"/>
  <c r="O7" i="24"/>
  <c r="AM7" i="24" s="1"/>
  <c r="O11" i="24"/>
  <c r="AM11" i="24" s="1"/>
  <c r="O15" i="24"/>
  <c r="AM15" i="24" s="1"/>
  <c r="O19" i="24"/>
  <c r="AM19" i="24" s="1"/>
  <c r="O23" i="24"/>
  <c r="AM23" i="24" s="1"/>
  <c r="O27" i="24"/>
  <c r="AM27" i="24" s="1"/>
  <c r="O31" i="24"/>
  <c r="AM31" i="24" s="1"/>
  <c r="O35" i="24"/>
  <c r="AM35" i="24" s="1"/>
  <c r="O39" i="24"/>
  <c r="AM39" i="24" s="1"/>
  <c r="O43" i="24"/>
  <c r="AM43" i="24" s="1"/>
  <c r="O47" i="24"/>
  <c r="AM47" i="24" s="1"/>
  <c r="O51" i="24"/>
  <c r="AM51" i="24" s="1"/>
  <c r="O55" i="24"/>
  <c r="AM55" i="24" s="1"/>
  <c r="O59" i="24"/>
  <c r="AM59" i="24" s="1"/>
  <c r="O63" i="24"/>
  <c r="AM63" i="24" s="1"/>
  <c r="O67" i="24"/>
  <c r="AM67" i="24" s="1"/>
  <c r="O71" i="24"/>
  <c r="AM71" i="24" s="1"/>
  <c r="O75" i="24"/>
  <c r="AM75" i="24" s="1"/>
  <c r="O79" i="24"/>
  <c r="AM79" i="24" s="1"/>
  <c r="O83" i="24"/>
  <c r="AM83" i="24" s="1"/>
  <c r="O87" i="24"/>
  <c r="AM87" i="24" s="1"/>
  <c r="O91" i="24"/>
  <c r="AM91" i="24" s="1"/>
  <c r="O95" i="24"/>
  <c r="AM95" i="24" s="1"/>
  <c r="O99" i="24"/>
  <c r="AM99" i="24" s="1"/>
  <c r="O103" i="24"/>
  <c r="AM103" i="24" s="1"/>
  <c r="O107" i="24"/>
  <c r="AM107" i="24" s="1"/>
  <c r="O111" i="24"/>
  <c r="AM111" i="24" s="1"/>
  <c r="O115" i="24"/>
  <c r="AM115" i="24" s="1"/>
  <c r="O119" i="24"/>
  <c r="AM119" i="24" s="1"/>
  <c r="O123" i="24"/>
  <c r="AM123" i="24" s="1"/>
  <c r="O127" i="24"/>
  <c r="AM127" i="24" s="1"/>
  <c r="O131" i="24"/>
  <c r="AM131" i="24" s="1"/>
  <c r="O135" i="24"/>
  <c r="AM135" i="24" s="1"/>
  <c r="O139" i="24"/>
  <c r="AM139" i="24" s="1"/>
  <c r="O143" i="24"/>
  <c r="AM143" i="24" s="1"/>
  <c r="O147" i="24"/>
  <c r="AM147" i="24" s="1"/>
  <c r="O151" i="24"/>
  <c r="AM151" i="24" s="1"/>
  <c r="O155" i="24"/>
  <c r="AM155" i="24" s="1"/>
  <c r="O159" i="24"/>
  <c r="AM159" i="24" s="1"/>
  <c r="O163" i="24"/>
  <c r="AM163" i="24" s="1"/>
  <c r="O167" i="24"/>
  <c r="AM167" i="24" s="1"/>
  <c r="O171" i="24"/>
  <c r="AM171" i="24" s="1"/>
  <c r="O175" i="24"/>
  <c r="AM175" i="24" s="1"/>
  <c r="O179" i="24"/>
  <c r="AM179" i="24" s="1"/>
  <c r="O183" i="24"/>
  <c r="AM183" i="24" s="1"/>
  <c r="O187" i="24"/>
  <c r="AM187" i="24" s="1"/>
  <c r="O191" i="24"/>
  <c r="AM191" i="24" s="1"/>
  <c r="O195" i="24"/>
  <c r="AM195" i="24" s="1"/>
  <c r="O199" i="24"/>
  <c r="AM199" i="24" s="1"/>
  <c r="O203" i="24"/>
  <c r="AM203" i="24" s="1"/>
  <c r="O207" i="24"/>
  <c r="AM207" i="24" s="1"/>
  <c r="O211" i="24"/>
  <c r="AM211" i="24" s="1"/>
  <c r="O215" i="24"/>
  <c r="AM215" i="24" s="1"/>
  <c r="O219" i="24"/>
  <c r="AM219" i="24" s="1"/>
  <c r="O223" i="24"/>
  <c r="AM223" i="24" s="1"/>
  <c r="O227" i="24"/>
  <c r="AM227" i="24" s="1"/>
  <c r="O231" i="24"/>
  <c r="AM231" i="24" s="1"/>
  <c r="O235" i="24"/>
  <c r="AM235" i="24" s="1"/>
  <c r="N234" i="24"/>
  <c r="AL234" i="24" s="1"/>
  <c r="L234" i="24"/>
  <c r="AJ234" i="24" s="1"/>
  <c r="J234" i="24"/>
  <c r="AH234" i="24" s="1"/>
  <c r="H234" i="24"/>
  <c r="AF234" i="24" s="1"/>
  <c r="F234" i="24"/>
  <c r="AD234" i="24" s="1"/>
  <c r="O73" i="24"/>
  <c r="AM73" i="24" s="1"/>
  <c r="O89" i="24"/>
  <c r="AM89" i="24" s="1"/>
  <c r="O105" i="24"/>
  <c r="AM105" i="24" s="1"/>
  <c r="O121" i="24"/>
  <c r="AM121" i="24" s="1"/>
  <c r="O137" i="24"/>
  <c r="AM137" i="24" s="1"/>
  <c r="O153" i="24"/>
  <c r="AM153" i="24" s="1"/>
  <c r="O169" i="24"/>
  <c r="AM169" i="24" s="1"/>
  <c r="O185" i="24"/>
  <c r="AM185" i="24" s="1"/>
  <c r="O217" i="24"/>
  <c r="AM217" i="24" s="1"/>
  <c r="O77" i="24"/>
  <c r="AM77" i="24" s="1"/>
  <c r="O93" i="24"/>
  <c r="AM93" i="24" s="1"/>
  <c r="O109" i="24"/>
  <c r="AM109" i="24" s="1"/>
  <c r="O125" i="24"/>
  <c r="AM125" i="24" s="1"/>
  <c r="O141" i="24"/>
  <c r="AM141" i="24" s="1"/>
  <c r="O157" i="24"/>
  <c r="AM157" i="24" s="1"/>
  <c r="O173" i="24"/>
  <c r="AM173" i="24" s="1"/>
  <c r="O189" i="24"/>
  <c r="AM189" i="24" s="1"/>
  <c r="O205" i="24"/>
  <c r="AM205" i="24" s="1"/>
  <c r="O221" i="24"/>
  <c r="AM221" i="24" s="1"/>
  <c r="I234" i="24"/>
  <c r="AG234" i="24" s="1"/>
  <c r="O81" i="24"/>
  <c r="AM81" i="24" s="1"/>
  <c r="O97" i="24"/>
  <c r="AM97" i="24" s="1"/>
  <c r="O113" i="24"/>
  <c r="AM113" i="24" s="1"/>
  <c r="O129" i="24"/>
  <c r="AM129" i="24" s="1"/>
  <c r="O145" i="24"/>
  <c r="AM145" i="24" s="1"/>
  <c r="O161" i="24"/>
  <c r="AM161" i="24" s="1"/>
  <c r="O177" i="24"/>
  <c r="AM177" i="24" s="1"/>
  <c r="O193" i="24"/>
  <c r="AM193" i="24" s="1"/>
  <c r="O209" i="24"/>
  <c r="AM209" i="24" s="1"/>
  <c r="O225" i="24"/>
  <c r="AM225" i="24" s="1"/>
  <c r="G234" i="24"/>
  <c r="AE234" i="24" s="1"/>
  <c r="O85" i="24"/>
  <c r="AM85" i="24" s="1"/>
  <c r="O101" i="24"/>
  <c r="AM101" i="24" s="1"/>
  <c r="O117" i="24"/>
  <c r="AM117" i="24" s="1"/>
  <c r="O133" i="24"/>
  <c r="AM133" i="24" s="1"/>
  <c r="O149" i="24"/>
  <c r="AM149" i="24" s="1"/>
  <c r="O165" i="24"/>
  <c r="AM165" i="24" s="1"/>
  <c r="O181" i="24"/>
  <c r="AM181" i="24" s="1"/>
  <c r="O197" i="24"/>
  <c r="AM197" i="24" s="1"/>
  <c r="O213" i="24"/>
  <c r="AM213" i="24" s="1"/>
  <c r="O229" i="24"/>
  <c r="AM229" i="24" s="1"/>
  <c r="M234" i="24"/>
  <c r="AK234" i="24" s="1"/>
  <c r="O201" i="24"/>
  <c r="AM201" i="24" s="1"/>
  <c r="O233" i="24"/>
  <c r="AM233" i="24" s="1"/>
  <c r="K234" i="24"/>
  <c r="AI234" i="24" s="1"/>
  <c r="P54" i="30"/>
  <c r="K233" i="24"/>
  <c r="AI233" i="24" s="1"/>
  <c r="G233" i="24"/>
  <c r="AE233" i="24" s="1"/>
  <c r="F233" i="24"/>
  <c r="AD233" i="24" s="1"/>
  <c r="M233" i="24"/>
  <c r="AK233" i="24" s="1"/>
  <c r="I233" i="24"/>
  <c r="AG233" i="24" s="1"/>
  <c r="J233" i="24"/>
  <c r="AH233" i="24" s="1"/>
  <c r="L233" i="24"/>
  <c r="AJ233" i="24" s="1"/>
  <c r="H233" i="24"/>
  <c r="AF233" i="24" s="1"/>
  <c r="N233" i="24"/>
  <c r="AL233" i="24" s="1"/>
  <c r="K232" i="24"/>
  <c r="AI232" i="24" s="1"/>
  <c r="G232" i="24"/>
  <c r="AE232" i="24" s="1"/>
  <c r="M232" i="24"/>
  <c r="AK232" i="24" s="1"/>
  <c r="I232" i="24"/>
  <c r="AG232" i="24" s="1"/>
  <c r="L232" i="24"/>
  <c r="AJ232" i="24" s="1"/>
  <c r="H232" i="24"/>
  <c r="AF232" i="24" s="1"/>
  <c r="N232" i="24"/>
  <c r="AL232" i="24" s="1"/>
  <c r="J232" i="24"/>
  <c r="AH232" i="24" s="1"/>
  <c r="F232" i="24"/>
  <c r="AD232" i="24" s="1"/>
  <c r="K231" i="24"/>
  <c r="AI231" i="24" s="1"/>
  <c r="G231" i="24"/>
  <c r="AE231" i="24" s="1"/>
  <c r="N231" i="24"/>
  <c r="AL231" i="24" s="1"/>
  <c r="J231" i="24"/>
  <c r="AH231" i="24" s="1"/>
  <c r="M231" i="24"/>
  <c r="AK231" i="24" s="1"/>
  <c r="L231" i="24"/>
  <c r="AJ231" i="24" s="1"/>
  <c r="H231" i="24"/>
  <c r="AF231" i="24" s="1"/>
  <c r="F231" i="24"/>
  <c r="AD231" i="24" s="1"/>
  <c r="I231" i="24"/>
  <c r="AG231" i="24" s="1"/>
  <c r="K230" i="24"/>
  <c r="AI230" i="24" s="1"/>
  <c r="N230" i="24"/>
  <c r="AL230" i="24" s="1"/>
  <c r="L230" i="24"/>
  <c r="AJ230" i="24" s="1"/>
  <c r="H230" i="24"/>
  <c r="AF230" i="24" s="1"/>
  <c r="G230" i="24"/>
  <c r="AE230" i="24" s="1"/>
  <c r="J230" i="24"/>
  <c r="AH230" i="24" s="1"/>
  <c r="F230" i="24"/>
  <c r="AD230" i="24" s="1"/>
  <c r="M230" i="24"/>
  <c r="AK230" i="24" s="1"/>
  <c r="I230" i="24"/>
  <c r="AG230" i="24" s="1"/>
  <c r="D22" i="30"/>
  <c r="D46" i="30"/>
  <c r="D47" i="30" s="1"/>
  <c r="O54" i="30"/>
  <c r="D50" i="30"/>
  <c r="D52" i="30"/>
  <c r="K229" i="24"/>
  <c r="AI229" i="24" s="1"/>
  <c r="G229" i="24"/>
  <c r="AE229" i="24" s="1"/>
  <c r="F229" i="24"/>
  <c r="AD229" i="24" s="1"/>
  <c r="L229" i="24"/>
  <c r="AJ229" i="24" s="1"/>
  <c r="N229" i="24"/>
  <c r="AL229" i="24" s="1"/>
  <c r="J229" i="24"/>
  <c r="AH229" i="24" s="1"/>
  <c r="H229" i="24"/>
  <c r="AF229" i="24" s="1"/>
  <c r="M229" i="24"/>
  <c r="AK229" i="24" s="1"/>
  <c r="I229" i="24"/>
  <c r="AG229" i="24" s="1"/>
  <c r="N227" i="24"/>
  <c r="AL227" i="24" s="1"/>
  <c r="L227" i="24"/>
  <c r="AJ227" i="24" s="1"/>
  <c r="J227" i="24"/>
  <c r="AH227" i="24" s="1"/>
  <c r="H227" i="24"/>
  <c r="AF227" i="24" s="1"/>
  <c r="F227" i="24"/>
  <c r="AD227" i="24" s="1"/>
  <c r="G227" i="24"/>
  <c r="AE227" i="24" s="1"/>
  <c r="M228" i="24"/>
  <c r="AK228" i="24" s="1"/>
  <c r="G228" i="24"/>
  <c r="AE228" i="24" s="1"/>
  <c r="N228" i="24"/>
  <c r="AL228" i="24" s="1"/>
  <c r="L228" i="24"/>
  <c r="AJ228" i="24" s="1"/>
  <c r="J228" i="24"/>
  <c r="AH228" i="24" s="1"/>
  <c r="H228" i="24"/>
  <c r="AF228" i="24" s="1"/>
  <c r="F228" i="24"/>
  <c r="AD228" i="24" s="1"/>
  <c r="M227" i="24"/>
  <c r="AK227" i="24" s="1"/>
  <c r="K227" i="24"/>
  <c r="AI227" i="24" s="1"/>
  <c r="I227" i="24"/>
  <c r="AG227" i="24" s="1"/>
  <c r="K228" i="24"/>
  <c r="AI228" i="24" s="1"/>
  <c r="I228" i="24"/>
  <c r="AG228" i="24" s="1"/>
  <c r="N226" i="24"/>
  <c r="AL226" i="24" s="1"/>
  <c r="J226" i="24"/>
  <c r="AH226" i="24" s="1"/>
  <c r="F226" i="24"/>
  <c r="AD226" i="24" s="1"/>
  <c r="M226" i="24"/>
  <c r="AK226" i="24" s="1"/>
  <c r="I226" i="24"/>
  <c r="AG226" i="24" s="1"/>
  <c r="L226" i="24"/>
  <c r="AJ226" i="24" s="1"/>
  <c r="H226" i="24"/>
  <c r="AF226" i="24" s="1"/>
  <c r="K226" i="24"/>
  <c r="AI226" i="24" s="1"/>
  <c r="G226" i="24"/>
  <c r="AE226" i="24" s="1"/>
  <c r="M225" i="24"/>
  <c r="AK225" i="24" s="1"/>
  <c r="I225" i="24"/>
  <c r="AG225" i="24" s="1"/>
  <c r="L225" i="24"/>
  <c r="AJ225" i="24" s="1"/>
  <c r="N225" i="24"/>
  <c r="AL225" i="24" s="1"/>
  <c r="J225" i="24"/>
  <c r="AH225" i="24" s="1"/>
  <c r="F225" i="24"/>
  <c r="AD225" i="24" s="1"/>
  <c r="H225" i="24"/>
  <c r="AF225" i="24" s="1"/>
  <c r="K225" i="24"/>
  <c r="AI225" i="24" s="1"/>
  <c r="G225" i="24"/>
  <c r="AE225" i="24" s="1"/>
  <c r="O26" i="30"/>
  <c r="D18" i="30"/>
  <c r="D19" i="30" s="1"/>
  <c r="P26" i="30"/>
  <c r="P12" i="10"/>
  <c r="P10" i="10"/>
  <c r="P13" i="10"/>
  <c r="P9" i="10"/>
  <c r="P8" i="10"/>
  <c r="M224" i="24"/>
  <c r="AK224" i="24" s="1"/>
  <c r="I224" i="24"/>
  <c r="AG224" i="24" s="1"/>
  <c r="F224" i="24"/>
  <c r="AD224" i="24" s="1"/>
  <c r="L224" i="24"/>
  <c r="AJ224" i="24" s="1"/>
  <c r="H224" i="24"/>
  <c r="AF224" i="24" s="1"/>
  <c r="K224" i="24"/>
  <c r="AI224" i="24" s="1"/>
  <c r="G224" i="24"/>
  <c r="AE224" i="24" s="1"/>
  <c r="N224" i="24"/>
  <c r="AL224" i="24" s="1"/>
  <c r="J224" i="24"/>
  <c r="AH224" i="24" s="1"/>
  <c r="L223" i="24"/>
  <c r="AJ223" i="24" s="1"/>
  <c r="H223" i="24"/>
  <c r="AF223" i="24" s="1"/>
  <c r="L222" i="24"/>
  <c r="AJ222" i="24" s="1"/>
  <c r="H222" i="24"/>
  <c r="AF222" i="24" s="1"/>
  <c r="L221" i="24"/>
  <c r="AJ221" i="24" s="1"/>
  <c r="H221" i="24"/>
  <c r="AF221" i="24" s="1"/>
  <c r="M220" i="24"/>
  <c r="AK220" i="24" s="1"/>
  <c r="I220" i="24"/>
  <c r="AG220" i="24" s="1"/>
  <c r="N219" i="24"/>
  <c r="AL219" i="24" s="1"/>
  <c r="J219" i="24"/>
  <c r="AH219" i="24" s="1"/>
  <c r="F219" i="24"/>
  <c r="AD219" i="24" s="1"/>
  <c r="N218" i="24"/>
  <c r="AL218" i="24" s="1"/>
  <c r="J218" i="24"/>
  <c r="AH218" i="24" s="1"/>
  <c r="F218" i="24"/>
  <c r="AD218" i="24" s="1"/>
  <c r="N217" i="24"/>
  <c r="AL217" i="24" s="1"/>
  <c r="J217" i="24"/>
  <c r="AH217" i="24" s="1"/>
  <c r="F217" i="24"/>
  <c r="AD217" i="24" s="1"/>
  <c r="N216" i="24"/>
  <c r="AL216" i="24" s="1"/>
  <c r="J216" i="24"/>
  <c r="AH216" i="24" s="1"/>
  <c r="F216" i="24"/>
  <c r="AD216" i="24" s="1"/>
  <c r="K215" i="24"/>
  <c r="AI215" i="24" s="1"/>
  <c r="G215" i="24"/>
  <c r="AE215" i="24" s="1"/>
  <c r="K214" i="24"/>
  <c r="AI214" i="24" s="1"/>
  <c r="G214" i="24"/>
  <c r="AE214" i="24" s="1"/>
  <c r="M213" i="24"/>
  <c r="AK213" i="24" s="1"/>
  <c r="I213" i="24"/>
  <c r="AG213" i="24" s="1"/>
  <c r="N212" i="24"/>
  <c r="AL212" i="24" s="1"/>
  <c r="J212" i="24"/>
  <c r="AH212" i="24" s="1"/>
  <c r="F212" i="24"/>
  <c r="AD212" i="24" s="1"/>
  <c r="N211" i="24"/>
  <c r="AL211" i="24" s="1"/>
  <c r="J211" i="24"/>
  <c r="AH211" i="24" s="1"/>
  <c r="F211" i="24"/>
  <c r="AD211" i="24" s="1"/>
  <c r="K210" i="24"/>
  <c r="AI210" i="24" s="1"/>
  <c r="G210" i="24"/>
  <c r="AE210" i="24" s="1"/>
  <c r="L209" i="24"/>
  <c r="AJ209" i="24" s="1"/>
  <c r="H209" i="24"/>
  <c r="AF209" i="24" s="1"/>
  <c r="M208" i="24"/>
  <c r="AK208" i="24" s="1"/>
  <c r="I208" i="24"/>
  <c r="AG208" i="24" s="1"/>
  <c r="N207" i="24"/>
  <c r="AL207" i="24" s="1"/>
  <c r="J207" i="24"/>
  <c r="AH207" i="24" s="1"/>
  <c r="F207" i="24"/>
  <c r="AD207" i="24" s="1"/>
  <c r="K206" i="24"/>
  <c r="AI206" i="24" s="1"/>
  <c r="G206" i="24"/>
  <c r="AE206" i="24" s="1"/>
  <c r="L205" i="24"/>
  <c r="AJ205" i="24" s="1"/>
  <c r="H205" i="24"/>
  <c r="AF205" i="24" s="1"/>
  <c r="L204" i="24"/>
  <c r="AJ204" i="24" s="1"/>
  <c r="H204" i="24"/>
  <c r="AF204" i="24" s="1"/>
  <c r="M203" i="24"/>
  <c r="AK203" i="24" s="1"/>
  <c r="I203" i="24"/>
  <c r="AG203" i="24" s="1"/>
  <c r="N202" i="24"/>
  <c r="AL202" i="24" s="1"/>
  <c r="J202" i="24"/>
  <c r="AH202" i="24" s="1"/>
  <c r="F202" i="24"/>
  <c r="AD202" i="24" s="1"/>
  <c r="K201" i="24"/>
  <c r="AI201" i="24" s="1"/>
  <c r="G201" i="24"/>
  <c r="AE201" i="24" s="1"/>
  <c r="L200" i="24"/>
  <c r="AJ200" i="24" s="1"/>
  <c r="H200" i="24"/>
  <c r="AF200" i="24" s="1"/>
  <c r="M199" i="24"/>
  <c r="AK199" i="24" s="1"/>
  <c r="I199" i="24"/>
  <c r="AG199" i="24" s="1"/>
  <c r="K198" i="24"/>
  <c r="AI198" i="24" s="1"/>
  <c r="G198" i="24"/>
  <c r="AE198" i="24" s="1"/>
  <c r="L197" i="24"/>
  <c r="AJ197" i="24" s="1"/>
  <c r="H197" i="24"/>
  <c r="AF197" i="24" s="1"/>
  <c r="K223" i="24"/>
  <c r="AI223" i="24" s="1"/>
  <c r="G223" i="24"/>
  <c r="AE223" i="24" s="1"/>
  <c r="K222" i="24"/>
  <c r="AI222" i="24" s="1"/>
  <c r="G222" i="24"/>
  <c r="AE222" i="24" s="1"/>
  <c r="K221" i="24"/>
  <c r="AI221" i="24" s="1"/>
  <c r="G221" i="24"/>
  <c r="AE221" i="24" s="1"/>
  <c r="L220" i="24"/>
  <c r="AJ220" i="24" s="1"/>
  <c r="H220" i="24"/>
  <c r="AF220" i="24" s="1"/>
  <c r="M219" i="24"/>
  <c r="AK219" i="24" s="1"/>
  <c r="I219" i="24"/>
  <c r="AG219" i="24" s="1"/>
  <c r="M218" i="24"/>
  <c r="AK218" i="24" s="1"/>
  <c r="I218" i="24"/>
  <c r="AG218" i="24" s="1"/>
  <c r="M217" i="24"/>
  <c r="AK217" i="24" s="1"/>
  <c r="I217" i="24"/>
  <c r="AG217" i="24" s="1"/>
  <c r="M216" i="24"/>
  <c r="AK216" i="24" s="1"/>
  <c r="I216" i="24"/>
  <c r="AG216" i="24" s="1"/>
  <c r="N215" i="24"/>
  <c r="AL215" i="24" s="1"/>
  <c r="J215" i="24"/>
  <c r="AH215" i="24" s="1"/>
  <c r="F215" i="24"/>
  <c r="AD215" i="24" s="1"/>
  <c r="N214" i="24"/>
  <c r="AL214" i="24" s="1"/>
  <c r="J214" i="24"/>
  <c r="AH214" i="24" s="1"/>
  <c r="F214" i="24"/>
  <c r="AD214" i="24" s="1"/>
  <c r="L213" i="24"/>
  <c r="AJ213" i="24" s="1"/>
  <c r="H213" i="24"/>
  <c r="AF213" i="24" s="1"/>
  <c r="M212" i="24"/>
  <c r="AK212" i="24" s="1"/>
  <c r="I212" i="24"/>
  <c r="AG212" i="24" s="1"/>
  <c r="M211" i="24"/>
  <c r="AK211" i="24" s="1"/>
  <c r="I211" i="24"/>
  <c r="AG211" i="24" s="1"/>
  <c r="N210" i="24"/>
  <c r="AL210" i="24" s="1"/>
  <c r="J210" i="24"/>
  <c r="AH210" i="24" s="1"/>
  <c r="F210" i="24"/>
  <c r="AD210" i="24" s="1"/>
  <c r="K209" i="24"/>
  <c r="AI209" i="24" s="1"/>
  <c r="G209" i="24"/>
  <c r="AE209" i="24" s="1"/>
  <c r="L208" i="24"/>
  <c r="AJ208" i="24" s="1"/>
  <c r="H208" i="24"/>
  <c r="AF208" i="24" s="1"/>
  <c r="M207" i="24"/>
  <c r="AK207" i="24" s="1"/>
  <c r="I207" i="24"/>
  <c r="AG207" i="24" s="1"/>
  <c r="N206" i="24"/>
  <c r="AL206" i="24" s="1"/>
  <c r="J206" i="24"/>
  <c r="AH206" i="24" s="1"/>
  <c r="F206" i="24"/>
  <c r="AD206" i="24" s="1"/>
  <c r="K205" i="24"/>
  <c r="AI205" i="24" s="1"/>
  <c r="G205" i="24"/>
  <c r="AE205" i="24" s="1"/>
  <c r="K204" i="24"/>
  <c r="AI204" i="24" s="1"/>
  <c r="G204" i="24"/>
  <c r="AE204" i="24" s="1"/>
  <c r="L203" i="24"/>
  <c r="AJ203" i="24" s="1"/>
  <c r="H203" i="24"/>
  <c r="AF203" i="24" s="1"/>
  <c r="M202" i="24"/>
  <c r="AK202" i="24" s="1"/>
  <c r="I202" i="24"/>
  <c r="AG202" i="24" s="1"/>
  <c r="N201" i="24"/>
  <c r="AL201" i="24" s="1"/>
  <c r="J201" i="24"/>
  <c r="AH201" i="24" s="1"/>
  <c r="F201" i="24"/>
  <c r="AD201" i="24" s="1"/>
  <c r="K200" i="24"/>
  <c r="AI200" i="24" s="1"/>
  <c r="G200" i="24"/>
  <c r="AE200" i="24" s="1"/>
  <c r="L199" i="24"/>
  <c r="AJ199" i="24" s="1"/>
  <c r="H199" i="24"/>
  <c r="AF199" i="24" s="1"/>
  <c r="N198" i="24"/>
  <c r="AL198" i="24" s="1"/>
  <c r="J198" i="24"/>
  <c r="AH198" i="24" s="1"/>
  <c r="F198" i="24"/>
  <c r="AD198" i="24" s="1"/>
  <c r="K197" i="24"/>
  <c r="AI197" i="24" s="1"/>
  <c r="G197" i="24"/>
  <c r="AE197" i="24" s="1"/>
  <c r="L196" i="24"/>
  <c r="AJ196" i="24" s="1"/>
  <c r="H196" i="24"/>
  <c r="AF196" i="24" s="1"/>
  <c r="M195" i="24"/>
  <c r="AK195" i="24" s="1"/>
  <c r="I195" i="24"/>
  <c r="AG195" i="24" s="1"/>
  <c r="N194" i="24"/>
  <c r="AL194" i="24" s="1"/>
  <c r="J194" i="24"/>
  <c r="AH194" i="24" s="1"/>
  <c r="F194" i="24"/>
  <c r="AD194" i="24" s="1"/>
  <c r="N193" i="24"/>
  <c r="AL193" i="24" s="1"/>
  <c r="J193" i="24"/>
  <c r="AH193" i="24" s="1"/>
  <c r="F193" i="24"/>
  <c r="AD193" i="24" s="1"/>
  <c r="N192" i="24"/>
  <c r="AL192" i="24" s="1"/>
  <c r="J192" i="24"/>
  <c r="AH192" i="24" s="1"/>
  <c r="M223" i="24"/>
  <c r="AK223" i="24" s="1"/>
  <c r="I223" i="24"/>
  <c r="AG223" i="24" s="1"/>
  <c r="M222" i="24"/>
  <c r="AK222" i="24" s="1"/>
  <c r="I222" i="24"/>
  <c r="AG222" i="24" s="1"/>
  <c r="M221" i="24"/>
  <c r="AK221" i="24" s="1"/>
  <c r="I221" i="24"/>
  <c r="AG221" i="24" s="1"/>
  <c r="N220" i="24"/>
  <c r="AL220" i="24" s="1"/>
  <c r="J220" i="24"/>
  <c r="AH220" i="24" s="1"/>
  <c r="F220" i="24"/>
  <c r="AD220" i="24" s="1"/>
  <c r="K219" i="24"/>
  <c r="AI219" i="24" s="1"/>
  <c r="G219" i="24"/>
  <c r="AE219" i="24" s="1"/>
  <c r="K218" i="24"/>
  <c r="AI218" i="24" s="1"/>
  <c r="G218" i="24"/>
  <c r="AE218" i="24" s="1"/>
  <c r="K217" i="24"/>
  <c r="AI217" i="24" s="1"/>
  <c r="G217" i="24"/>
  <c r="AE217" i="24" s="1"/>
  <c r="K216" i="24"/>
  <c r="AI216" i="24" s="1"/>
  <c r="G216" i="24"/>
  <c r="AE216" i="24" s="1"/>
  <c r="L215" i="24"/>
  <c r="AJ215" i="24" s="1"/>
  <c r="H215" i="24"/>
  <c r="AF215" i="24" s="1"/>
  <c r="L214" i="24"/>
  <c r="AJ214" i="24" s="1"/>
  <c r="H214" i="24"/>
  <c r="AF214" i="24" s="1"/>
  <c r="N213" i="24"/>
  <c r="AL213" i="24" s="1"/>
  <c r="J213" i="24"/>
  <c r="AH213" i="24" s="1"/>
  <c r="F213" i="24"/>
  <c r="AD213" i="24" s="1"/>
  <c r="K212" i="24"/>
  <c r="AI212" i="24" s="1"/>
  <c r="G212" i="24"/>
  <c r="AE212" i="24" s="1"/>
  <c r="K211" i="24"/>
  <c r="AI211" i="24" s="1"/>
  <c r="G211" i="24"/>
  <c r="AE211" i="24" s="1"/>
  <c r="L210" i="24"/>
  <c r="AJ210" i="24" s="1"/>
  <c r="H210" i="24"/>
  <c r="AF210" i="24" s="1"/>
  <c r="M209" i="24"/>
  <c r="AK209" i="24" s="1"/>
  <c r="I209" i="24"/>
  <c r="AG209" i="24" s="1"/>
  <c r="N208" i="24"/>
  <c r="AL208" i="24" s="1"/>
  <c r="J208" i="24"/>
  <c r="AH208" i="24" s="1"/>
  <c r="F208" i="24"/>
  <c r="AD208" i="24" s="1"/>
  <c r="K207" i="24"/>
  <c r="AI207" i="24" s="1"/>
  <c r="G207" i="24"/>
  <c r="AE207" i="24" s="1"/>
  <c r="L206" i="24"/>
  <c r="AJ206" i="24" s="1"/>
  <c r="H206" i="24"/>
  <c r="AF206" i="24" s="1"/>
  <c r="M205" i="24"/>
  <c r="AK205" i="24" s="1"/>
  <c r="I205" i="24"/>
  <c r="AG205" i="24" s="1"/>
  <c r="M204" i="24"/>
  <c r="AK204" i="24" s="1"/>
  <c r="I204" i="24"/>
  <c r="AG204" i="24" s="1"/>
  <c r="N203" i="24"/>
  <c r="AL203" i="24" s="1"/>
  <c r="J203" i="24"/>
  <c r="AH203" i="24" s="1"/>
  <c r="F203" i="24"/>
  <c r="AD203" i="24" s="1"/>
  <c r="K202" i="24"/>
  <c r="AI202" i="24" s="1"/>
  <c r="G202" i="24"/>
  <c r="AE202" i="24" s="1"/>
  <c r="L201" i="24"/>
  <c r="AJ201" i="24" s="1"/>
  <c r="H201" i="24"/>
  <c r="AF201" i="24" s="1"/>
  <c r="M200" i="24"/>
  <c r="AK200" i="24" s="1"/>
  <c r="I200" i="24"/>
  <c r="AG200" i="24" s="1"/>
  <c r="N199" i="24"/>
  <c r="AL199" i="24" s="1"/>
  <c r="J199" i="24"/>
  <c r="AH199" i="24" s="1"/>
  <c r="F199" i="24"/>
  <c r="AD199" i="24" s="1"/>
  <c r="L198" i="24"/>
  <c r="AJ198" i="24" s="1"/>
  <c r="H198" i="24"/>
  <c r="AF198" i="24" s="1"/>
  <c r="M197" i="24"/>
  <c r="AK197" i="24" s="1"/>
  <c r="I197" i="24"/>
  <c r="AG197" i="24" s="1"/>
  <c r="N196" i="24"/>
  <c r="AL196" i="24" s="1"/>
  <c r="J196" i="24"/>
  <c r="AH196" i="24" s="1"/>
  <c r="F196" i="24"/>
  <c r="AD196" i="24" s="1"/>
  <c r="K195" i="24"/>
  <c r="AI195" i="24" s="1"/>
  <c r="G195" i="24"/>
  <c r="AE195" i="24" s="1"/>
  <c r="L194" i="24"/>
  <c r="AJ194" i="24" s="1"/>
  <c r="H194" i="24"/>
  <c r="AF194" i="24" s="1"/>
  <c r="L193" i="24"/>
  <c r="AJ193" i="24" s="1"/>
  <c r="H193" i="24"/>
  <c r="AF193" i="24" s="1"/>
  <c r="L192" i="24"/>
  <c r="AJ192" i="24" s="1"/>
  <c r="H192" i="24"/>
  <c r="AF192" i="24" s="1"/>
  <c r="M191" i="24"/>
  <c r="AK191" i="24" s="1"/>
  <c r="I191" i="24"/>
  <c r="AG191" i="24" s="1"/>
  <c r="N190" i="24"/>
  <c r="AL190" i="24" s="1"/>
  <c r="J190" i="24"/>
  <c r="AH190" i="24" s="1"/>
  <c r="F190" i="24"/>
  <c r="AD190" i="24" s="1"/>
  <c r="J222" i="24"/>
  <c r="AH222" i="24" s="1"/>
  <c r="K220" i="24"/>
  <c r="AI220" i="24" s="1"/>
  <c r="H217" i="24"/>
  <c r="AF217" i="24" s="1"/>
  <c r="L216" i="24"/>
  <c r="AJ216" i="24" s="1"/>
  <c r="K213" i="24"/>
  <c r="AI213" i="24" s="1"/>
  <c r="I210" i="24"/>
  <c r="AG210" i="24" s="1"/>
  <c r="N209" i="24"/>
  <c r="AL209" i="24" s="1"/>
  <c r="G208" i="24"/>
  <c r="AE208" i="24" s="1"/>
  <c r="L207" i="24"/>
  <c r="AJ207" i="24" s="1"/>
  <c r="F205" i="24"/>
  <c r="AD205" i="24" s="1"/>
  <c r="N204" i="24"/>
  <c r="AL204" i="24" s="1"/>
  <c r="G203" i="24"/>
  <c r="AE203" i="24" s="1"/>
  <c r="L202" i="24"/>
  <c r="AJ202" i="24" s="1"/>
  <c r="F200" i="24"/>
  <c r="AD200" i="24" s="1"/>
  <c r="J197" i="24"/>
  <c r="AH197" i="24" s="1"/>
  <c r="I196" i="24"/>
  <c r="AG196" i="24" s="1"/>
  <c r="H195" i="24"/>
  <c r="AF195" i="24" s="1"/>
  <c r="I194" i="24"/>
  <c r="AG194" i="24" s="1"/>
  <c r="G193" i="24"/>
  <c r="AE193" i="24" s="1"/>
  <c r="M192" i="24"/>
  <c r="AK192" i="24" s="1"/>
  <c r="F192" i="24"/>
  <c r="AD192" i="24" s="1"/>
  <c r="J191" i="24"/>
  <c r="AH191" i="24" s="1"/>
  <c r="M190" i="24"/>
  <c r="AK190" i="24" s="1"/>
  <c r="H190" i="24"/>
  <c r="AF190" i="24" s="1"/>
  <c r="L189" i="24"/>
  <c r="AJ189" i="24" s="1"/>
  <c r="H189" i="24"/>
  <c r="AF189" i="24" s="1"/>
  <c r="L188" i="24"/>
  <c r="AJ188" i="24" s="1"/>
  <c r="H188" i="24"/>
  <c r="AF188" i="24" s="1"/>
  <c r="M187" i="24"/>
  <c r="AK187" i="24" s="1"/>
  <c r="I187" i="24"/>
  <c r="AG187" i="24" s="1"/>
  <c r="M186" i="24"/>
  <c r="AK186" i="24" s="1"/>
  <c r="I186" i="24"/>
  <c r="AG186" i="24" s="1"/>
  <c r="M185" i="24"/>
  <c r="AK185" i="24" s="1"/>
  <c r="I185" i="24"/>
  <c r="AG185" i="24" s="1"/>
  <c r="M184" i="24"/>
  <c r="AK184" i="24" s="1"/>
  <c r="I184" i="24"/>
  <c r="AG184" i="24" s="1"/>
  <c r="M183" i="24"/>
  <c r="AK183" i="24" s="1"/>
  <c r="I183" i="24"/>
  <c r="AG183" i="24" s="1"/>
  <c r="N182" i="24"/>
  <c r="AL182" i="24" s="1"/>
  <c r="J182" i="24"/>
  <c r="AH182" i="24" s="1"/>
  <c r="F182" i="24"/>
  <c r="AD182" i="24" s="1"/>
  <c r="K181" i="24"/>
  <c r="AI181" i="24" s="1"/>
  <c r="G181" i="24"/>
  <c r="AE181" i="24" s="1"/>
  <c r="K180" i="24"/>
  <c r="AI180" i="24" s="1"/>
  <c r="G180" i="24"/>
  <c r="AE180" i="24" s="1"/>
  <c r="L179" i="24"/>
  <c r="AJ179" i="24" s="1"/>
  <c r="H179" i="24"/>
  <c r="AF179" i="24" s="1"/>
  <c r="L178" i="24"/>
  <c r="AJ178" i="24" s="1"/>
  <c r="H178" i="24"/>
  <c r="AF178" i="24" s="1"/>
  <c r="M177" i="24"/>
  <c r="AK177" i="24" s="1"/>
  <c r="I177" i="24"/>
  <c r="AG177" i="24" s="1"/>
  <c r="M176" i="24"/>
  <c r="AK176" i="24" s="1"/>
  <c r="I176" i="24"/>
  <c r="AG176" i="24" s="1"/>
  <c r="N175" i="24"/>
  <c r="AL175" i="24" s="1"/>
  <c r="J175" i="24"/>
  <c r="AH175" i="24" s="1"/>
  <c r="F175" i="24"/>
  <c r="AD175" i="24" s="1"/>
  <c r="L174" i="24"/>
  <c r="AJ174" i="24" s="1"/>
  <c r="H174" i="24"/>
  <c r="AF174" i="24" s="1"/>
  <c r="L173" i="24"/>
  <c r="AJ173" i="24" s="1"/>
  <c r="H173" i="24"/>
  <c r="AF173" i="24" s="1"/>
  <c r="L172" i="24"/>
  <c r="AJ172" i="24" s="1"/>
  <c r="H172" i="24"/>
  <c r="AF172" i="24" s="1"/>
  <c r="L171" i="24"/>
  <c r="AJ171" i="24" s="1"/>
  <c r="H171" i="24"/>
  <c r="AF171" i="24" s="1"/>
  <c r="N223" i="24"/>
  <c r="AL223" i="24" s="1"/>
  <c r="F222" i="24"/>
  <c r="AD222" i="24" s="1"/>
  <c r="N221" i="24"/>
  <c r="AL221" i="24" s="1"/>
  <c r="G220" i="24"/>
  <c r="AE220" i="24" s="1"/>
  <c r="L219" i="24"/>
  <c r="AJ219" i="24" s="1"/>
  <c r="H216" i="24"/>
  <c r="AF216" i="24" s="1"/>
  <c r="M215" i="24"/>
  <c r="AK215" i="24" s="1"/>
  <c r="G213" i="24"/>
  <c r="AE213" i="24" s="1"/>
  <c r="L212" i="24"/>
  <c r="AJ212" i="24" s="1"/>
  <c r="J209" i="24"/>
  <c r="AH209" i="24" s="1"/>
  <c r="H207" i="24"/>
  <c r="AF207" i="24" s="1"/>
  <c r="M206" i="24"/>
  <c r="AK206" i="24" s="1"/>
  <c r="J204" i="24"/>
  <c r="AH204" i="24" s="1"/>
  <c r="H202" i="24"/>
  <c r="AF202" i="24" s="1"/>
  <c r="M201" i="24"/>
  <c r="AK201" i="24" s="1"/>
  <c r="K199" i="24"/>
  <c r="AI199" i="24" s="1"/>
  <c r="F197" i="24"/>
  <c r="AD197" i="24" s="1"/>
  <c r="G196" i="24"/>
  <c r="AE196" i="24" s="1"/>
  <c r="N195" i="24"/>
  <c r="AL195" i="24" s="1"/>
  <c r="F195" i="24"/>
  <c r="AD195" i="24" s="1"/>
  <c r="G194" i="24"/>
  <c r="AE194" i="24" s="1"/>
  <c r="M193" i="24"/>
  <c r="AK193" i="24" s="1"/>
  <c r="K192" i="24"/>
  <c r="AI192" i="24" s="1"/>
  <c r="N191" i="24"/>
  <c r="AL191" i="24" s="1"/>
  <c r="H191" i="24"/>
  <c r="AF191" i="24" s="1"/>
  <c r="L190" i="24"/>
  <c r="AJ190" i="24" s="1"/>
  <c r="G190" i="24"/>
  <c r="AE190" i="24" s="1"/>
  <c r="K189" i="24"/>
  <c r="AI189" i="24" s="1"/>
  <c r="G189" i="24"/>
  <c r="AE189" i="24" s="1"/>
  <c r="K188" i="24"/>
  <c r="AI188" i="24" s="1"/>
  <c r="G188" i="24"/>
  <c r="AE188" i="24" s="1"/>
  <c r="L187" i="24"/>
  <c r="AJ187" i="24" s="1"/>
  <c r="H187" i="24"/>
  <c r="AF187" i="24" s="1"/>
  <c r="L186" i="24"/>
  <c r="AJ186" i="24" s="1"/>
  <c r="H186" i="24"/>
  <c r="AF186" i="24" s="1"/>
  <c r="L185" i="24"/>
  <c r="AJ185" i="24" s="1"/>
  <c r="H185" i="24"/>
  <c r="AF185" i="24" s="1"/>
  <c r="L184" i="24"/>
  <c r="AJ184" i="24" s="1"/>
  <c r="H184" i="24"/>
  <c r="AF184" i="24" s="1"/>
  <c r="L183" i="24"/>
  <c r="AJ183" i="24" s="1"/>
  <c r="H183" i="24"/>
  <c r="AF183" i="24" s="1"/>
  <c r="M182" i="24"/>
  <c r="AK182" i="24" s="1"/>
  <c r="I182" i="24"/>
  <c r="AG182" i="24" s="1"/>
  <c r="N181" i="24"/>
  <c r="AL181" i="24" s="1"/>
  <c r="J181" i="24"/>
  <c r="AH181" i="24" s="1"/>
  <c r="F181" i="24"/>
  <c r="AD181" i="24" s="1"/>
  <c r="N180" i="24"/>
  <c r="AL180" i="24" s="1"/>
  <c r="J180" i="24"/>
  <c r="AH180" i="24" s="1"/>
  <c r="F180" i="24"/>
  <c r="AD180" i="24" s="1"/>
  <c r="K179" i="24"/>
  <c r="AI179" i="24" s="1"/>
  <c r="G179" i="24"/>
  <c r="AE179" i="24" s="1"/>
  <c r="K178" i="24"/>
  <c r="AI178" i="24" s="1"/>
  <c r="G178" i="24"/>
  <c r="AE178" i="24" s="1"/>
  <c r="L177" i="24"/>
  <c r="AJ177" i="24" s="1"/>
  <c r="H177" i="24"/>
  <c r="AF177" i="24" s="1"/>
  <c r="L176" i="24"/>
  <c r="AJ176" i="24" s="1"/>
  <c r="H176" i="24"/>
  <c r="AF176" i="24" s="1"/>
  <c r="M175" i="24"/>
  <c r="AK175" i="24" s="1"/>
  <c r="I175" i="24"/>
  <c r="AG175" i="24" s="1"/>
  <c r="K174" i="24"/>
  <c r="AI174" i="24" s="1"/>
  <c r="G174" i="24"/>
  <c r="AE174" i="24" s="1"/>
  <c r="K173" i="24"/>
  <c r="AI173" i="24" s="1"/>
  <c r="G173" i="24"/>
  <c r="AE173" i="24" s="1"/>
  <c r="K172" i="24"/>
  <c r="AI172" i="24" s="1"/>
  <c r="G172" i="24"/>
  <c r="AE172" i="24" s="1"/>
  <c r="K171" i="24"/>
  <c r="AI171" i="24" s="1"/>
  <c r="G171" i="24"/>
  <c r="AE171" i="24" s="1"/>
  <c r="L170" i="24"/>
  <c r="AJ170" i="24" s="1"/>
  <c r="H170" i="24"/>
  <c r="AF170" i="24" s="1"/>
  <c r="L169" i="24"/>
  <c r="AJ169" i="24" s="1"/>
  <c r="H169" i="24"/>
  <c r="AF169" i="24" s="1"/>
  <c r="F223" i="24"/>
  <c r="AD223" i="24" s="1"/>
  <c r="N222" i="24"/>
  <c r="AL222" i="24" s="1"/>
  <c r="F221" i="24"/>
  <c r="AD221" i="24" s="1"/>
  <c r="H218" i="24"/>
  <c r="AF218" i="24" s="1"/>
  <c r="L217" i="24"/>
  <c r="AJ217" i="24" s="1"/>
  <c r="I214" i="24"/>
  <c r="AG214" i="24" s="1"/>
  <c r="H211" i="24"/>
  <c r="AF211" i="24" s="1"/>
  <c r="M210" i="24"/>
  <c r="AK210" i="24" s="1"/>
  <c r="K208" i="24"/>
  <c r="AI208" i="24" s="1"/>
  <c r="J205" i="24"/>
  <c r="AH205" i="24" s="1"/>
  <c r="K203" i="24"/>
  <c r="AI203" i="24" s="1"/>
  <c r="J200" i="24"/>
  <c r="AH200" i="24" s="1"/>
  <c r="I198" i="24"/>
  <c r="AG198" i="24" s="1"/>
  <c r="N197" i="24"/>
  <c r="AL197" i="24" s="1"/>
  <c r="K196" i="24"/>
  <c r="AI196" i="24" s="1"/>
  <c r="J195" i="24"/>
  <c r="AH195" i="24" s="1"/>
  <c r="K194" i="24"/>
  <c r="AI194" i="24" s="1"/>
  <c r="I193" i="24"/>
  <c r="AG193" i="24" s="1"/>
  <c r="G192" i="24"/>
  <c r="AE192" i="24" s="1"/>
  <c r="K191" i="24"/>
  <c r="AI191" i="24" s="1"/>
  <c r="F191" i="24"/>
  <c r="AD191" i="24" s="1"/>
  <c r="I190" i="24"/>
  <c r="AG190" i="24" s="1"/>
  <c r="M189" i="24"/>
  <c r="AK189" i="24" s="1"/>
  <c r="I189" i="24"/>
  <c r="AG189" i="24" s="1"/>
  <c r="M188" i="24"/>
  <c r="AK188" i="24" s="1"/>
  <c r="I188" i="24"/>
  <c r="AG188" i="24" s="1"/>
  <c r="N187" i="24"/>
  <c r="AL187" i="24" s="1"/>
  <c r="J187" i="24"/>
  <c r="AH187" i="24" s="1"/>
  <c r="F187" i="24"/>
  <c r="AD187" i="24" s="1"/>
  <c r="N186" i="24"/>
  <c r="AL186" i="24" s="1"/>
  <c r="J186" i="24"/>
  <c r="AH186" i="24" s="1"/>
  <c r="F186" i="24"/>
  <c r="AD186" i="24" s="1"/>
  <c r="N185" i="24"/>
  <c r="AL185" i="24" s="1"/>
  <c r="J185" i="24"/>
  <c r="AH185" i="24" s="1"/>
  <c r="F185" i="24"/>
  <c r="AD185" i="24" s="1"/>
  <c r="N184" i="24"/>
  <c r="AL184" i="24" s="1"/>
  <c r="J184" i="24"/>
  <c r="AH184" i="24" s="1"/>
  <c r="F184" i="24"/>
  <c r="AD184" i="24" s="1"/>
  <c r="N183" i="24"/>
  <c r="AL183" i="24" s="1"/>
  <c r="J183" i="24"/>
  <c r="AH183" i="24" s="1"/>
  <c r="F183" i="24"/>
  <c r="AD183" i="24" s="1"/>
  <c r="K182" i="24"/>
  <c r="AI182" i="24" s="1"/>
  <c r="G182" i="24"/>
  <c r="AE182" i="24" s="1"/>
  <c r="L181" i="24"/>
  <c r="AJ181" i="24" s="1"/>
  <c r="H181" i="24"/>
  <c r="AF181" i="24" s="1"/>
  <c r="L180" i="24"/>
  <c r="AJ180" i="24" s="1"/>
  <c r="H180" i="24"/>
  <c r="AF180" i="24" s="1"/>
  <c r="M179" i="24"/>
  <c r="AK179" i="24" s="1"/>
  <c r="I179" i="24"/>
  <c r="AG179" i="24" s="1"/>
  <c r="M178" i="24"/>
  <c r="AK178" i="24" s="1"/>
  <c r="I178" i="24"/>
  <c r="AG178" i="24" s="1"/>
  <c r="N177" i="24"/>
  <c r="AL177" i="24" s="1"/>
  <c r="J177" i="24"/>
  <c r="AH177" i="24" s="1"/>
  <c r="F177" i="24"/>
  <c r="AD177" i="24" s="1"/>
  <c r="N176" i="24"/>
  <c r="AL176" i="24" s="1"/>
  <c r="J176" i="24"/>
  <c r="AH176" i="24" s="1"/>
  <c r="F176" i="24"/>
  <c r="AD176" i="24" s="1"/>
  <c r="K175" i="24"/>
  <c r="AI175" i="24" s="1"/>
  <c r="G175" i="24"/>
  <c r="AE175" i="24" s="1"/>
  <c r="M174" i="24"/>
  <c r="AK174" i="24" s="1"/>
  <c r="I174" i="24"/>
  <c r="AG174" i="24" s="1"/>
  <c r="M173" i="24"/>
  <c r="AK173" i="24" s="1"/>
  <c r="I173" i="24"/>
  <c r="AG173" i="24" s="1"/>
  <c r="M172" i="24"/>
  <c r="AK172" i="24" s="1"/>
  <c r="I172" i="24"/>
  <c r="AG172" i="24" s="1"/>
  <c r="M171" i="24"/>
  <c r="AK171" i="24" s="1"/>
  <c r="I171" i="24"/>
  <c r="AG171" i="24" s="1"/>
  <c r="N170" i="24"/>
  <c r="AL170" i="24" s="1"/>
  <c r="J170" i="24"/>
  <c r="AH170" i="24" s="1"/>
  <c r="F170" i="24"/>
  <c r="AD170" i="24" s="1"/>
  <c r="N169" i="24"/>
  <c r="AL169" i="24" s="1"/>
  <c r="J169" i="24"/>
  <c r="AH169" i="24" s="1"/>
  <c r="F169" i="24"/>
  <c r="AD169" i="24" s="1"/>
  <c r="K168" i="24"/>
  <c r="AI168" i="24" s="1"/>
  <c r="G168" i="24"/>
  <c r="AE168" i="24" s="1"/>
  <c r="K167" i="24"/>
  <c r="AI167" i="24" s="1"/>
  <c r="G167" i="24"/>
  <c r="AE167" i="24" s="1"/>
  <c r="K166" i="24"/>
  <c r="AI166" i="24" s="1"/>
  <c r="G166" i="24"/>
  <c r="AE166" i="24" s="1"/>
  <c r="L165" i="24"/>
  <c r="AJ165" i="24" s="1"/>
  <c r="H165" i="24"/>
  <c r="AF165" i="24" s="1"/>
  <c r="M164" i="24"/>
  <c r="AK164" i="24" s="1"/>
  <c r="I164" i="24"/>
  <c r="AG164" i="24" s="1"/>
  <c r="M163" i="24"/>
  <c r="AK163" i="24" s="1"/>
  <c r="I163" i="24"/>
  <c r="AG163" i="24" s="1"/>
  <c r="N162" i="24"/>
  <c r="AL162" i="24" s="1"/>
  <c r="J162" i="24"/>
  <c r="AH162" i="24" s="1"/>
  <c r="F162" i="24"/>
  <c r="AD162" i="24" s="1"/>
  <c r="N161" i="24"/>
  <c r="AL161" i="24" s="1"/>
  <c r="J161" i="24"/>
  <c r="AH161" i="24" s="1"/>
  <c r="F161" i="24"/>
  <c r="AD161" i="24" s="1"/>
  <c r="L160" i="24"/>
  <c r="AJ160" i="24" s="1"/>
  <c r="H160" i="24"/>
  <c r="AF160" i="24" s="1"/>
  <c r="M159" i="24"/>
  <c r="AK159" i="24" s="1"/>
  <c r="I159" i="24"/>
  <c r="AG159" i="24" s="1"/>
  <c r="N158" i="24"/>
  <c r="AL158" i="24" s="1"/>
  <c r="J158" i="24"/>
  <c r="AH158" i="24" s="1"/>
  <c r="F158" i="24"/>
  <c r="AD158" i="24" s="1"/>
  <c r="N157" i="24"/>
  <c r="AL157" i="24" s="1"/>
  <c r="J157" i="24"/>
  <c r="AH157" i="24" s="1"/>
  <c r="F157" i="24"/>
  <c r="AD157" i="24" s="1"/>
  <c r="N156" i="24"/>
  <c r="AL156" i="24" s="1"/>
  <c r="J156" i="24"/>
  <c r="AH156" i="24" s="1"/>
  <c r="F156" i="24"/>
  <c r="AD156" i="24" s="1"/>
  <c r="K155" i="24"/>
  <c r="AI155" i="24" s="1"/>
  <c r="G155" i="24"/>
  <c r="AE155" i="24" s="1"/>
  <c r="K154" i="24"/>
  <c r="AI154" i="24" s="1"/>
  <c r="G154" i="24"/>
  <c r="AE154" i="24" s="1"/>
  <c r="K153" i="24"/>
  <c r="AI153" i="24" s="1"/>
  <c r="J221" i="24"/>
  <c r="AH221" i="24" s="1"/>
  <c r="H212" i="24"/>
  <c r="AF212" i="24" s="1"/>
  <c r="L211" i="24"/>
  <c r="AJ211" i="24" s="1"/>
  <c r="M196" i="24"/>
  <c r="AK196" i="24" s="1"/>
  <c r="L195" i="24"/>
  <c r="AJ195" i="24" s="1"/>
  <c r="M194" i="24"/>
  <c r="AK194" i="24" s="1"/>
  <c r="K193" i="24"/>
  <c r="AI193" i="24" s="1"/>
  <c r="I192" i="24"/>
  <c r="AG192" i="24" s="1"/>
  <c r="L191" i="24"/>
  <c r="AJ191" i="24" s="1"/>
  <c r="J188" i="24"/>
  <c r="AH188" i="24" s="1"/>
  <c r="G186" i="24"/>
  <c r="AE186" i="24" s="1"/>
  <c r="K185" i="24"/>
  <c r="AI185" i="24" s="1"/>
  <c r="H182" i="24"/>
  <c r="AF182" i="24" s="1"/>
  <c r="M181" i="24"/>
  <c r="AK181" i="24" s="1"/>
  <c r="F179" i="24"/>
  <c r="AD179" i="24" s="1"/>
  <c r="N178" i="24"/>
  <c r="AL178" i="24" s="1"/>
  <c r="G177" i="24"/>
  <c r="AE177" i="24" s="1"/>
  <c r="K176" i="24"/>
  <c r="AI176" i="24" s="1"/>
  <c r="J174" i="24"/>
  <c r="AH174" i="24" s="1"/>
  <c r="J172" i="24"/>
  <c r="AH172" i="24" s="1"/>
  <c r="M170" i="24"/>
  <c r="AK170" i="24" s="1"/>
  <c r="K169" i="24"/>
  <c r="AI169" i="24" s="1"/>
  <c r="L168" i="24"/>
  <c r="AJ168" i="24" s="1"/>
  <c r="F168" i="24"/>
  <c r="AD168" i="24" s="1"/>
  <c r="N167" i="24"/>
  <c r="AL167" i="24" s="1"/>
  <c r="I167" i="24"/>
  <c r="AG167" i="24" s="1"/>
  <c r="L166" i="24"/>
  <c r="AJ166" i="24" s="1"/>
  <c r="F166" i="24"/>
  <c r="AD166" i="24" s="1"/>
  <c r="J165" i="24"/>
  <c r="AH165" i="24" s="1"/>
  <c r="N164" i="24"/>
  <c r="AL164" i="24" s="1"/>
  <c r="H164" i="24"/>
  <c r="AF164" i="24" s="1"/>
  <c r="K163" i="24"/>
  <c r="AI163" i="24" s="1"/>
  <c r="F163" i="24"/>
  <c r="AD163" i="24" s="1"/>
  <c r="I162" i="24"/>
  <c r="AG162" i="24" s="1"/>
  <c r="K161" i="24"/>
  <c r="AI161" i="24" s="1"/>
  <c r="N160" i="24"/>
  <c r="AL160" i="24" s="1"/>
  <c r="I160" i="24"/>
  <c r="AG160" i="24" s="1"/>
  <c r="L159" i="24"/>
  <c r="AJ159" i="24" s="1"/>
  <c r="G159" i="24"/>
  <c r="AE159" i="24" s="1"/>
  <c r="K158" i="24"/>
  <c r="AI158" i="24" s="1"/>
  <c r="L157" i="24"/>
  <c r="AJ157" i="24" s="1"/>
  <c r="G157" i="24"/>
  <c r="AE157" i="24" s="1"/>
  <c r="M156" i="24"/>
  <c r="AK156" i="24" s="1"/>
  <c r="H156" i="24"/>
  <c r="AF156" i="24" s="1"/>
  <c r="J155" i="24"/>
  <c r="AH155" i="24" s="1"/>
  <c r="M154" i="24"/>
  <c r="AK154" i="24" s="1"/>
  <c r="H154" i="24"/>
  <c r="AF154" i="24" s="1"/>
  <c r="J153" i="24"/>
  <c r="AH153" i="24" s="1"/>
  <c r="F153" i="24"/>
  <c r="AD153" i="24" s="1"/>
  <c r="L152" i="24"/>
  <c r="AJ152" i="24" s="1"/>
  <c r="H152" i="24"/>
  <c r="AF152" i="24" s="1"/>
  <c r="L151" i="24"/>
  <c r="AJ151" i="24" s="1"/>
  <c r="H151" i="24"/>
  <c r="AF151" i="24" s="1"/>
  <c r="L150" i="24"/>
  <c r="AJ150" i="24" s="1"/>
  <c r="H150" i="24"/>
  <c r="AF150" i="24" s="1"/>
  <c r="L149" i="24"/>
  <c r="AJ149" i="24" s="1"/>
  <c r="H149" i="24"/>
  <c r="AF149" i="24" s="1"/>
  <c r="M148" i="24"/>
  <c r="AK148" i="24" s="1"/>
  <c r="I148" i="24"/>
  <c r="AG148" i="24" s="1"/>
  <c r="N147" i="24"/>
  <c r="AL147" i="24" s="1"/>
  <c r="J147" i="24"/>
  <c r="AH147" i="24" s="1"/>
  <c r="F147" i="24"/>
  <c r="AD147" i="24" s="1"/>
  <c r="N146" i="24"/>
  <c r="AL146" i="24" s="1"/>
  <c r="J146" i="24"/>
  <c r="AH146" i="24" s="1"/>
  <c r="F146" i="24"/>
  <c r="AD146" i="24" s="1"/>
  <c r="K145" i="24"/>
  <c r="AI145" i="24" s="1"/>
  <c r="G145" i="24"/>
  <c r="AE145" i="24" s="1"/>
  <c r="K144" i="24"/>
  <c r="AI144" i="24" s="1"/>
  <c r="G144" i="24"/>
  <c r="AE144" i="24" s="1"/>
  <c r="K143" i="24"/>
  <c r="AI143" i="24" s="1"/>
  <c r="G143" i="24"/>
  <c r="AE143" i="24" s="1"/>
  <c r="K142" i="24"/>
  <c r="AI142" i="24" s="1"/>
  <c r="G142" i="24"/>
  <c r="AE142" i="24" s="1"/>
  <c r="K141" i="24"/>
  <c r="AI141" i="24" s="1"/>
  <c r="G141" i="24"/>
  <c r="AE141" i="24" s="1"/>
  <c r="L140" i="24"/>
  <c r="AJ140" i="24" s="1"/>
  <c r="H140" i="24"/>
  <c r="AF140" i="24" s="1"/>
  <c r="M139" i="24"/>
  <c r="AK139" i="24" s="1"/>
  <c r="I139" i="24"/>
  <c r="AG139" i="24" s="1"/>
  <c r="M138" i="24"/>
  <c r="AK138" i="24" s="1"/>
  <c r="J223" i="24"/>
  <c r="AH223" i="24" s="1"/>
  <c r="I215" i="24"/>
  <c r="AG215" i="24" s="1"/>
  <c r="M214" i="24"/>
  <c r="AK214" i="24" s="1"/>
  <c r="I201" i="24"/>
  <c r="AG201" i="24" s="1"/>
  <c r="N200" i="24"/>
  <c r="AL200" i="24" s="1"/>
  <c r="G199" i="24"/>
  <c r="AE199" i="24" s="1"/>
  <c r="M198" i="24"/>
  <c r="AK198" i="24" s="1"/>
  <c r="G191" i="24"/>
  <c r="AE191" i="24" s="1"/>
  <c r="K190" i="24"/>
  <c r="AI190" i="24" s="1"/>
  <c r="N189" i="24"/>
  <c r="AL189" i="24" s="1"/>
  <c r="F188" i="24"/>
  <c r="AD188" i="24" s="1"/>
  <c r="G185" i="24"/>
  <c r="AE185" i="24" s="1"/>
  <c r="K184" i="24"/>
  <c r="AI184" i="24" s="1"/>
  <c r="I181" i="24"/>
  <c r="AG181" i="24" s="1"/>
  <c r="M180" i="24"/>
  <c r="AK180" i="24" s="1"/>
  <c r="J178" i="24"/>
  <c r="AH178" i="24" s="1"/>
  <c r="G176" i="24"/>
  <c r="AE176" i="24" s="1"/>
  <c r="L175" i="24"/>
  <c r="AJ175" i="24" s="1"/>
  <c r="F174" i="24"/>
  <c r="AD174" i="24" s="1"/>
  <c r="N173" i="24"/>
  <c r="AL173" i="24" s="1"/>
  <c r="F172" i="24"/>
  <c r="AD172" i="24" s="1"/>
  <c r="N171" i="24"/>
  <c r="AL171" i="24" s="1"/>
  <c r="K170" i="24"/>
  <c r="AI170" i="24" s="1"/>
  <c r="I169" i="24"/>
  <c r="AG169" i="24" s="1"/>
  <c r="J168" i="24"/>
  <c r="AH168" i="24" s="1"/>
  <c r="M167" i="24"/>
  <c r="AK167" i="24" s="1"/>
  <c r="H167" i="24"/>
  <c r="AF167" i="24" s="1"/>
  <c r="J166" i="24"/>
  <c r="AH166" i="24" s="1"/>
  <c r="N165" i="24"/>
  <c r="AL165" i="24" s="1"/>
  <c r="I165" i="24"/>
  <c r="AG165" i="24" s="1"/>
  <c r="L164" i="24"/>
  <c r="AJ164" i="24" s="1"/>
  <c r="G164" i="24"/>
  <c r="AE164" i="24" s="1"/>
  <c r="J163" i="24"/>
  <c r="AH163" i="24" s="1"/>
  <c r="M162" i="24"/>
  <c r="AK162" i="24" s="1"/>
  <c r="H162" i="24"/>
  <c r="AF162" i="24" s="1"/>
  <c r="I161" i="24"/>
  <c r="AG161" i="24" s="1"/>
  <c r="M160" i="24"/>
  <c r="AK160" i="24" s="1"/>
  <c r="G160" i="24"/>
  <c r="AE160" i="24" s="1"/>
  <c r="K159" i="24"/>
  <c r="AI159" i="24" s="1"/>
  <c r="F159" i="24"/>
  <c r="AD159" i="24" s="1"/>
  <c r="I158" i="24"/>
  <c r="AG158" i="24" s="1"/>
  <c r="K157" i="24"/>
  <c r="AI157" i="24" s="1"/>
  <c r="L156" i="24"/>
  <c r="AJ156" i="24" s="1"/>
  <c r="G156" i="24"/>
  <c r="AE156" i="24" s="1"/>
  <c r="N155" i="24"/>
  <c r="AL155" i="24" s="1"/>
  <c r="I155" i="24"/>
  <c r="AG155" i="24" s="1"/>
  <c r="L154" i="24"/>
  <c r="AJ154" i="24" s="1"/>
  <c r="F154" i="24"/>
  <c r="AD154" i="24" s="1"/>
  <c r="N153" i="24"/>
  <c r="AL153" i="24" s="1"/>
  <c r="I153" i="24"/>
  <c r="AG153" i="24" s="1"/>
  <c r="K152" i="24"/>
  <c r="AI152" i="24" s="1"/>
  <c r="G152" i="24"/>
  <c r="AE152" i="24" s="1"/>
  <c r="K151" i="24"/>
  <c r="AI151" i="24" s="1"/>
  <c r="G151" i="24"/>
  <c r="AE151" i="24" s="1"/>
  <c r="K150" i="24"/>
  <c r="AI150" i="24" s="1"/>
  <c r="G150" i="24"/>
  <c r="AE150" i="24" s="1"/>
  <c r="K149" i="24"/>
  <c r="AI149" i="24" s="1"/>
  <c r="G149" i="24"/>
  <c r="AE149" i="24" s="1"/>
  <c r="L148" i="24"/>
  <c r="AJ148" i="24" s="1"/>
  <c r="H148" i="24"/>
  <c r="AF148" i="24" s="1"/>
  <c r="M147" i="24"/>
  <c r="AK147" i="24" s="1"/>
  <c r="I147" i="24"/>
  <c r="AG147" i="24" s="1"/>
  <c r="M146" i="24"/>
  <c r="AK146" i="24" s="1"/>
  <c r="I146" i="24"/>
  <c r="AG146" i="24" s="1"/>
  <c r="N145" i="24"/>
  <c r="AL145" i="24" s="1"/>
  <c r="J145" i="24"/>
  <c r="AH145" i="24" s="1"/>
  <c r="F145" i="24"/>
  <c r="AD145" i="24" s="1"/>
  <c r="N144" i="24"/>
  <c r="AL144" i="24" s="1"/>
  <c r="J144" i="24"/>
  <c r="AH144" i="24" s="1"/>
  <c r="F144" i="24"/>
  <c r="AD144" i="24" s="1"/>
  <c r="N143" i="24"/>
  <c r="AL143" i="24" s="1"/>
  <c r="J143" i="24"/>
  <c r="AH143" i="24" s="1"/>
  <c r="F143" i="24"/>
  <c r="AD143" i="24" s="1"/>
  <c r="N142" i="24"/>
  <c r="AL142" i="24" s="1"/>
  <c r="J142" i="24"/>
  <c r="AH142" i="24" s="1"/>
  <c r="F142" i="24"/>
  <c r="AD142" i="24" s="1"/>
  <c r="N141" i="24"/>
  <c r="AL141" i="24" s="1"/>
  <c r="J141" i="24"/>
  <c r="AH141" i="24" s="1"/>
  <c r="F141" i="24"/>
  <c r="AD141" i="24" s="1"/>
  <c r="K140" i="24"/>
  <c r="AI140" i="24" s="1"/>
  <c r="G140" i="24"/>
  <c r="AE140" i="24" s="1"/>
  <c r="L139" i="24"/>
  <c r="AJ139" i="24" s="1"/>
  <c r="H219" i="24"/>
  <c r="AF219" i="24" s="1"/>
  <c r="L218" i="24"/>
  <c r="AJ218" i="24" s="1"/>
  <c r="F209" i="24"/>
  <c r="AD209" i="24" s="1"/>
  <c r="F189" i="24"/>
  <c r="AD189" i="24" s="1"/>
  <c r="N188" i="24"/>
  <c r="AL188" i="24" s="1"/>
  <c r="G187" i="24"/>
  <c r="AE187" i="24" s="1"/>
  <c r="K186" i="24"/>
  <c r="AI186" i="24" s="1"/>
  <c r="G183" i="24"/>
  <c r="AE183" i="24" s="1"/>
  <c r="L182" i="24"/>
  <c r="AJ182" i="24" s="1"/>
  <c r="J179" i="24"/>
  <c r="AH179" i="24" s="1"/>
  <c r="K177" i="24"/>
  <c r="AI177" i="24" s="1"/>
  <c r="N174" i="24"/>
  <c r="AL174" i="24" s="1"/>
  <c r="F173" i="24"/>
  <c r="AD173" i="24" s="1"/>
  <c r="N172" i="24"/>
  <c r="AL172" i="24" s="1"/>
  <c r="F171" i="24"/>
  <c r="AD171" i="24" s="1"/>
  <c r="G170" i="24"/>
  <c r="AE170" i="24" s="1"/>
  <c r="M169" i="24"/>
  <c r="AK169" i="24" s="1"/>
  <c r="M168" i="24"/>
  <c r="AK168" i="24" s="1"/>
  <c r="H168" i="24"/>
  <c r="AF168" i="24" s="1"/>
  <c r="J167" i="24"/>
  <c r="AH167" i="24" s="1"/>
  <c r="M166" i="24"/>
  <c r="AK166" i="24" s="1"/>
  <c r="H166" i="24"/>
  <c r="AF166" i="24" s="1"/>
  <c r="K165" i="24"/>
  <c r="AI165" i="24" s="1"/>
  <c r="F165" i="24"/>
  <c r="AD165" i="24" s="1"/>
  <c r="J164" i="24"/>
  <c r="AH164" i="24" s="1"/>
  <c r="L163" i="24"/>
  <c r="AJ163" i="24" s="1"/>
  <c r="G163" i="24"/>
  <c r="AE163" i="24" s="1"/>
  <c r="K162" i="24"/>
  <c r="AI162" i="24" s="1"/>
  <c r="L161" i="24"/>
  <c r="AJ161" i="24" s="1"/>
  <c r="G161" i="24"/>
  <c r="AE161" i="24" s="1"/>
  <c r="J160" i="24"/>
  <c r="AH160" i="24" s="1"/>
  <c r="N159" i="24"/>
  <c r="AL159" i="24" s="1"/>
  <c r="H159" i="24"/>
  <c r="AF159" i="24" s="1"/>
  <c r="L158" i="24"/>
  <c r="AJ158" i="24" s="1"/>
  <c r="G158" i="24"/>
  <c r="AE158" i="24" s="1"/>
  <c r="M157" i="24"/>
  <c r="AK157" i="24" s="1"/>
  <c r="H157" i="24"/>
  <c r="AF157" i="24" s="1"/>
  <c r="I156" i="24"/>
  <c r="AG156" i="24" s="1"/>
  <c r="L155" i="24"/>
  <c r="AJ155" i="24" s="1"/>
  <c r="F155" i="24"/>
  <c r="AD155" i="24" s="1"/>
  <c r="N154" i="24"/>
  <c r="AL154" i="24" s="1"/>
  <c r="I154" i="24"/>
  <c r="AG154" i="24" s="1"/>
  <c r="L153" i="24"/>
  <c r="AJ153" i="24" s="1"/>
  <c r="G153" i="24"/>
  <c r="AE153" i="24" s="1"/>
  <c r="M152" i="24"/>
  <c r="AK152" i="24" s="1"/>
  <c r="I152" i="24"/>
  <c r="AG152" i="24" s="1"/>
  <c r="M151" i="24"/>
  <c r="AK151" i="24" s="1"/>
  <c r="I151" i="24"/>
  <c r="AG151" i="24" s="1"/>
  <c r="M150" i="24"/>
  <c r="AK150" i="24" s="1"/>
  <c r="I150" i="24"/>
  <c r="AG150" i="24" s="1"/>
  <c r="M149" i="24"/>
  <c r="AK149" i="24" s="1"/>
  <c r="I149" i="24"/>
  <c r="AG149" i="24" s="1"/>
  <c r="N148" i="24"/>
  <c r="AL148" i="24" s="1"/>
  <c r="J148" i="24"/>
  <c r="AH148" i="24" s="1"/>
  <c r="F148" i="24"/>
  <c r="AD148" i="24" s="1"/>
  <c r="K147" i="24"/>
  <c r="AI147" i="24" s="1"/>
  <c r="G147" i="24"/>
  <c r="AE147" i="24" s="1"/>
  <c r="K146" i="24"/>
  <c r="AI146" i="24" s="1"/>
  <c r="G146" i="24"/>
  <c r="AE146" i="24" s="1"/>
  <c r="L145" i="24"/>
  <c r="AJ145" i="24" s="1"/>
  <c r="H145" i="24"/>
  <c r="AF145" i="24" s="1"/>
  <c r="L144" i="24"/>
  <c r="AJ144" i="24" s="1"/>
  <c r="H144" i="24"/>
  <c r="AF144" i="24" s="1"/>
  <c r="L143" i="24"/>
  <c r="AJ143" i="24" s="1"/>
  <c r="H143" i="24"/>
  <c r="AF143" i="24" s="1"/>
  <c r="L142" i="24"/>
  <c r="AJ142" i="24" s="1"/>
  <c r="H142" i="24"/>
  <c r="AF142" i="24" s="1"/>
  <c r="L141" i="24"/>
  <c r="AJ141" i="24" s="1"/>
  <c r="H141" i="24"/>
  <c r="AF141" i="24" s="1"/>
  <c r="M140" i="24"/>
  <c r="AK140" i="24" s="1"/>
  <c r="I140" i="24"/>
  <c r="AG140" i="24" s="1"/>
  <c r="N139" i="24"/>
  <c r="AL139" i="24" s="1"/>
  <c r="J139" i="24"/>
  <c r="AH139" i="24" s="1"/>
  <c r="F139" i="24"/>
  <c r="AD139" i="24" s="1"/>
  <c r="N138" i="24"/>
  <c r="AL138" i="24" s="1"/>
  <c r="J138" i="24"/>
  <c r="AH138" i="24" s="1"/>
  <c r="F138" i="24"/>
  <c r="AD138" i="24" s="1"/>
  <c r="K137" i="24"/>
  <c r="AI137" i="24" s="1"/>
  <c r="G137" i="24"/>
  <c r="AE137" i="24" s="1"/>
  <c r="K136" i="24"/>
  <c r="AI136" i="24" s="1"/>
  <c r="G136" i="24"/>
  <c r="AE136" i="24" s="1"/>
  <c r="K135" i="24"/>
  <c r="AI135" i="24" s="1"/>
  <c r="G135" i="24"/>
  <c r="AE135" i="24" s="1"/>
  <c r="I206" i="24"/>
  <c r="AG206" i="24" s="1"/>
  <c r="N205" i="24"/>
  <c r="AL205" i="24" s="1"/>
  <c r="F204" i="24"/>
  <c r="AD204" i="24" s="1"/>
  <c r="G184" i="24"/>
  <c r="AE184" i="24" s="1"/>
  <c r="K183" i="24"/>
  <c r="AI183" i="24" s="1"/>
  <c r="J173" i="24"/>
  <c r="AH173" i="24" s="1"/>
  <c r="I168" i="24"/>
  <c r="AG168" i="24" s="1"/>
  <c r="L167" i="24"/>
  <c r="AJ167" i="24" s="1"/>
  <c r="F164" i="24"/>
  <c r="AD164" i="24" s="1"/>
  <c r="N163" i="24"/>
  <c r="AL163" i="24" s="1"/>
  <c r="F160" i="24"/>
  <c r="AD160" i="24" s="1"/>
  <c r="H153" i="24"/>
  <c r="AF153" i="24" s="1"/>
  <c r="N152" i="24"/>
  <c r="AL152" i="24" s="1"/>
  <c r="F151" i="24"/>
  <c r="AD151" i="24" s="1"/>
  <c r="N150" i="24"/>
  <c r="AL150" i="24" s="1"/>
  <c r="F149" i="24"/>
  <c r="AD149" i="24" s="1"/>
  <c r="H146" i="24"/>
  <c r="AF146" i="24" s="1"/>
  <c r="M145" i="24"/>
  <c r="AK145" i="24" s="1"/>
  <c r="I142" i="24"/>
  <c r="AG142" i="24" s="1"/>
  <c r="M141" i="24"/>
  <c r="AK141" i="24" s="1"/>
  <c r="K139" i="24"/>
  <c r="AI139" i="24" s="1"/>
  <c r="I138" i="24"/>
  <c r="AG138" i="24" s="1"/>
  <c r="L137" i="24"/>
  <c r="AJ137" i="24" s="1"/>
  <c r="F137" i="24"/>
  <c r="AD137" i="24" s="1"/>
  <c r="N136" i="24"/>
  <c r="AL136" i="24" s="1"/>
  <c r="I136" i="24"/>
  <c r="AG136" i="24" s="1"/>
  <c r="L135" i="24"/>
  <c r="AJ135" i="24" s="1"/>
  <c r="F135" i="24"/>
  <c r="AD135" i="24" s="1"/>
  <c r="N134" i="24"/>
  <c r="AL134" i="24" s="1"/>
  <c r="J134" i="24"/>
  <c r="AH134" i="24" s="1"/>
  <c r="F134" i="24"/>
  <c r="AD134" i="24" s="1"/>
  <c r="N133" i="24"/>
  <c r="AL133" i="24" s="1"/>
  <c r="J133" i="24"/>
  <c r="AH133" i="24" s="1"/>
  <c r="F133" i="24"/>
  <c r="AD133" i="24" s="1"/>
  <c r="N132" i="24"/>
  <c r="AL132" i="24" s="1"/>
  <c r="J132" i="24"/>
  <c r="AH132" i="24" s="1"/>
  <c r="F132" i="24"/>
  <c r="AD132" i="24" s="1"/>
  <c r="K131" i="24"/>
  <c r="AI131" i="24" s="1"/>
  <c r="G131" i="24"/>
  <c r="AE131" i="24" s="1"/>
  <c r="K130" i="24"/>
  <c r="AI130" i="24" s="1"/>
  <c r="G130" i="24"/>
  <c r="AE130" i="24" s="1"/>
  <c r="K129" i="24"/>
  <c r="AI129" i="24" s="1"/>
  <c r="G129" i="24"/>
  <c r="AE129" i="24" s="1"/>
  <c r="L128" i="24"/>
  <c r="AJ128" i="24" s="1"/>
  <c r="H128" i="24"/>
  <c r="AF128" i="24" s="1"/>
  <c r="L127" i="24"/>
  <c r="AJ127" i="24" s="1"/>
  <c r="H127" i="24"/>
  <c r="AF127" i="24" s="1"/>
  <c r="L126" i="24"/>
  <c r="AJ126" i="24" s="1"/>
  <c r="H126" i="24"/>
  <c r="AF126" i="24" s="1"/>
  <c r="L125" i="24"/>
  <c r="AJ125" i="24" s="1"/>
  <c r="H125" i="24"/>
  <c r="AF125" i="24" s="1"/>
  <c r="K187" i="24"/>
  <c r="AI187" i="24" s="1"/>
  <c r="I180" i="24"/>
  <c r="AG180" i="24" s="1"/>
  <c r="N179" i="24"/>
  <c r="AL179" i="24" s="1"/>
  <c r="F178" i="24"/>
  <c r="AD178" i="24" s="1"/>
  <c r="I166" i="24"/>
  <c r="AG166" i="24" s="1"/>
  <c r="M165" i="24"/>
  <c r="AK165" i="24" s="1"/>
  <c r="G162" i="24"/>
  <c r="AE162" i="24" s="1"/>
  <c r="M161" i="24"/>
  <c r="AK161" i="24" s="1"/>
  <c r="H158" i="24"/>
  <c r="AF158" i="24" s="1"/>
  <c r="I157" i="24"/>
  <c r="AG157" i="24" s="1"/>
  <c r="K156" i="24"/>
  <c r="AI156" i="24" s="1"/>
  <c r="M155" i="24"/>
  <c r="AK155" i="24" s="1"/>
  <c r="F152" i="24"/>
  <c r="AD152" i="24" s="1"/>
  <c r="N151" i="24"/>
  <c r="AL151" i="24" s="1"/>
  <c r="F150" i="24"/>
  <c r="AD150" i="24" s="1"/>
  <c r="N149" i="24"/>
  <c r="AL149" i="24" s="1"/>
  <c r="G148" i="24"/>
  <c r="AE148" i="24" s="1"/>
  <c r="L147" i="24"/>
  <c r="AJ147" i="24" s="1"/>
  <c r="I144" i="24"/>
  <c r="AG144" i="24" s="1"/>
  <c r="M143" i="24"/>
  <c r="AK143" i="24" s="1"/>
  <c r="J140" i="24"/>
  <c r="AH140" i="24" s="1"/>
  <c r="G139" i="24"/>
  <c r="AE139" i="24" s="1"/>
  <c r="L138" i="24"/>
  <c r="AJ138" i="24" s="1"/>
  <c r="G138" i="24"/>
  <c r="AE138" i="24" s="1"/>
  <c r="N137" i="24"/>
  <c r="AL137" i="24" s="1"/>
  <c r="I137" i="24"/>
  <c r="AG137" i="24" s="1"/>
  <c r="L136" i="24"/>
  <c r="AJ136" i="24" s="1"/>
  <c r="F136" i="24"/>
  <c r="AD136" i="24" s="1"/>
  <c r="N135" i="24"/>
  <c r="AL135" i="24" s="1"/>
  <c r="I135" i="24"/>
  <c r="AG135" i="24" s="1"/>
  <c r="L134" i="24"/>
  <c r="AJ134" i="24" s="1"/>
  <c r="H134" i="24"/>
  <c r="AF134" i="24" s="1"/>
  <c r="L133" i="24"/>
  <c r="AJ133" i="24" s="1"/>
  <c r="H133" i="24"/>
  <c r="AF133" i="24" s="1"/>
  <c r="L132" i="24"/>
  <c r="AJ132" i="24" s="1"/>
  <c r="H132" i="24"/>
  <c r="AF132" i="24" s="1"/>
  <c r="M131" i="24"/>
  <c r="AK131" i="24" s="1"/>
  <c r="I131" i="24"/>
  <c r="AG131" i="24" s="1"/>
  <c r="M130" i="24"/>
  <c r="AK130" i="24" s="1"/>
  <c r="I130" i="24"/>
  <c r="AG130" i="24" s="1"/>
  <c r="M129" i="24"/>
  <c r="AK129" i="24" s="1"/>
  <c r="I129" i="24"/>
  <c r="AG129" i="24" s="1"/>
  <c r="N128" i="24"/>
  <c r="AL128" i="24" s="1"/>
  <c r="J128" i="24"/>
  <c r="AH128" i="24" s="1"/>
  <c r="F128" i="24"/>
  <c r="AD128" i="24" s="1"/>
  <c r="N127" i="24"/>
  <c r="AL127" i="24" s="1"/>
  <c r="J127" i="24"/>
  <c r="AH127" i="24" s="1"/>
  <c r="F127" i="24"/>
  <c r="AD127" i="24" s="1"/>
  <c r="N126" i="24"/>
  <c r="AL126" i="24" s="1"/>
  <c r="J126" i="24"/>
  <c r="AH126" i="24" s="1"/>
  <c r="F126" i="24"/>
  <c r="AD126" i="24" s="1"/>
  <c r="N125" i="24"/>
  <c r="AL125" i="24" s="1"/>
  <c r="J125" i="24"/>
  <c r="AH125" i="24" s="1"/>
  <c r="F125" i="24"/>
  <c r="AD125" i="24" s="1"/>
  <c r="K124" i="24"/>
  <c r="AI124" i="24" s="1"/>
  <c r="G124" i="24"/>
  <c r="AE124" i="24" s="1"/>
  <c r="L123" i="24"/>
  <c r="AJ123" i="24" s="1"/>
  <c r="H123" i="24"/>
  <c r="AF123" i="24" s="1"/>
  <c r="L122" i="24"/>
  <c r="AJ122" i="24" s="1"/>
  <c r="H122" i="24"/>
  <c r="AF122" i="24" s="1"/>
  <c r="L121" i="24"/>
  <c r="AJ121" i="24" s="1"/>
  <c r="H121" i="24"/>
  <c r="AF121" i="24" s="1"/>
  <c r="M120" i="24"/>
  <c r="AK120" i="24" s="1"/>
  <c r="I120" i="24"/>
  <c r="AG120" i="24" s="1"/>
  <c r="M119" i="24"/>
  <c r="AK119" i="24" s="1"/>
  <c r="I119" i="24"/>
  <c r="AG119" i="24" s="1"/>
  <c r="M118" i="24"/>
  <c r="AK118" i="24" s="1"/>
  <c r="I118" i="24"/>
  <c r="AG118" i="24" s="1"/>
  <c r="M117" i="24"/>
  <c r="AK117" i="24" s="1"/>
  <c r="I117" i="24"/>
  <c r="AG117" i="24" s="1"/>
  <c r="M116" i="24"/>
  <c r="AK116" i="24" s="1"/>
  <c r="I116" i="24"/>
  <c r="AG116" i="24" s="1"/>
  <c r="N115" i="24"/>
  <c r="AL115" i="24" s="1"/>
  <c r="J115" i="24"/>
  <c r="AH115" i="24" s="1"/>
  <c r="F115" i="24"/>
  <c r="AD115" i="24" s="1"/>
  <c r="N114" i="24"/>
  <c r="AL114" i="24" s="1"/>
  <c r="J114" i="24"/>
  <c r="AH114" i="24" s="1"/>
  <c r="F114" i="24"/>
  <c r="AD114" i="24" s="1"/>
  <c r="H138" i="24"/>
  <c r="AF138" i="24" s="1"/>
  <c r="M137" i="24"/>
  <c r="AK137" i="24" s="1"/>
  <c r="H136" i="24"/>
  <c r="AF136" i="24" s="1"/>
  <c r="M135" i="24"/>
  <c r="AK135" i="24" s="1"/>
  <c r="I134" i="24"/>
  <c r="AG134" i="24" s="1"/>
  <c r="G133" i="24"/>
  <c r="AE133" i="24" s="1"/>
  <c r="M132" i="24"/>
  <c r="AK132" i="24" s="1"/>
  <c r="L131" i="24"/>
  <c r="AJ131" i="24" s="1"/>
  <c r="L130" i="24"/>
  <c r="AJ130" i="24" s="1"/>
  <c r="L129" i="24"/>
  <c r="AJ129" i="24" s="1"/>
  <c r="M128" i="24"/>
  <c r="AK128" i="24" s="1"/>
  <c r="K127" i="24"/>
  <c r="AI127" i="24" s="1"/>
  <c r="I126" i="24"/>
  <c r="AG126" i="24" s="1"/>
  <c r="G125" i="24"/>
  <c r="AE125" i="24" s="1"/>
  <c r="N124" i="24"/>
  <c r="AL124" i="24" s="1"/>
  <c r="I124" i="24"/>
  <c r="AG124" i="24" s="1"/>
  <c r="M123" i="24"/>
  <c r="AK123" i="24" s="1"/>
  <c r="G123" i="24"/>
  <c r="AE123" i="24" s="1"/>
  <c r="J122" i="24"/>
  <c r="AH122" i="24" s="1"/>
  <c r="M121" i="24"/>
  <c r="AK121" i="24" s="1"/>
  <c r="G121" i="24"/>
  <c r="AE121" i="24" s="1"/>
  <c r="K120" i="24"/>
  <c r="AI120" i="24" s="1"/>
  <c r="F120" i="24"/>
  <c r="AD120" i="24" s="1"/>
  <c r="N119" i="24"/>
  <c r="AL119" i="24" s="1"/>
  <c r="H119" i="24"/>
  <c r="AF119" i="24" s="1"/>
  <c r="K118" i="24"/>
  <c r="AI118" i="24" s="1"/>
  <c r="F118" i="24"/>
  <c r="AD118" i="24" s="1"/>
  <c r="N117" i="24"/>
  <c r="AL117" i="24" s="1"/>
  <c r="H117" i="24"/>
  <c r="AF117" i="24" s="1"/>
  <c r="K116" i="24"/>
  <c r="AI116" i="24" s="1"/>
  <c r="F116" i="24"/>
  <c r="AD116" i="24" s="1"/>
  <c r="I115" i="24"/>
  <c r="AG115" i="24" s="1"/>
  <c r="K114" i="24"/>
  <c r="AI114" i="24" s="1"/>
  <c r="N113" i="24"/>
  <c r="AL113" i="24" s="1"/>
  <c r="J113" i="24"/>
  <c r="AH113" i="24" s="1"/>
  <c r="F113" i="24"/>
  <c r="AD113" i="24" s="1"/>
  <c r="L112" i="24"/>
  <c r="AJ112" i="24" s="1"/>
  <c r="H112" i="24"/>
  <c r="AF112" i="24" s="1"/>
  <c r="L111" i="24"/>
  <c r="AJ111" i="24" s="1"/>
  <c r="H111" i="24"/>
  <c r="AF111" i="24" s="1"/>
  <c r="L110" i="24"/>
  <c r="AJ110" i="24" s="1"/>
  <c r="H110" i="24"/>
  <c r="AF110" i="24" s="1"/>
  <c r="L109" i="24"/>
  <c r="AJ109" i="24" s="1"/>
  <c r="H109" i="24"/>
  <c r="AF109" i="24" s="1"/>
  <c r="M108" i="24"/>
  <c r="AK108" i="24" s="1"/>
  <c r="I108" i="24"/>
  <c r="AG108" i="24" s="1"/>
  <c r="N107" i="24"/>
  <c r="AL107" i="24" s="1"/>
  <c r="J107" i="24"/>
  <c r="AH107" i="24" s="1"/>
  <c r="F107" i="24"/>
  <c r="AD107" i="24" s="1"/>
  <c r="K106" i="24"/>
  <c r="AI106" i="24" s="1"/>
  <c r="G106" i="24"/>
  <c r="AE106" i="24" s="1"/>
  <c r="L105" i="24"/>
  <c r="AJ105" i="24" s="1"/>
  <c r="H105" i="24"/>
  <c r="AF105" i="24" s="1"/>
  <c r="M104" i="24"/>
  <c r="AK104" i="24" s="1"/>
  <c r="I104" i="24"/>
  <c r="AG104" i="24" s="1"/>
  <c r="K103" i="24"/>
  <c r="AI103" i="24" s="1"/>
  <c r="G103" i="24"/>
  <c r="AE103" i="24" s="1"/>
  <c r="K102" i="24"/>
  <c r="AI102" i="24" s="1"/>
  <c r="G102" i="24"/>
  <c r="AE102" i="24" s="1"/>
  <c r="L101" i="24"/>
  <c r="AJ101" i="24" s="1"/>
  <c r="H101" i="24"/>
  <c r="AF101" i="24" s="1"/>
  <c r="M100" i="24"/>
  <c r="AK100" i="24" s="1"/>
  <c r="I100" i="24"/>
  <c r="AG100" i="24" s="1"/>
  <c r="N99" i="24"/>
  <c r="AL99" i="24" s="1"/>
  <c r="J99" i="24"/>
  <c r="AH99" i="24" s="1"/>
  <c r="F99" i="24"/>
  <c r="AD99" i="24" s="1"/>
  <c r="K98" i="24"/>
  <c r="AI98" i="24" s="1"/>
  <c r="G98" i="24"/>
  <c r="AE98" i="24" s="1"/>
  <c r="L97" i="24"/>
  <c r="AJ97" i="24" s="1"/>
  <c r="H97" i="24"/>
  <c r="AF97" i="24" s="1"/>
  <c r="M96" i="24"/>
  <c r="AK96" i="24" s="1"/>
  <c r="I96" i="24"/>
  <c r="AG96" i="24" s="1"/>
  <c r="N95" i="24"/>
  <c r="AL95" i="24" s="1"/>
  <c r="J95" i="24"/>
  <c r="AH95" i="24" s="1"/>
  <c r="F95" i="24"/>
  <c r="AD95" i="24" s="1"/>
  <c r="K94" i="24"/>
  <c r="AI94" i="24" s="1"/>
  <c r="G94" i="24"/>
  <c r="AE94" i="24" s="1"/>
  <c r="L93" i="24"/>
  <c r="AJ93" i="24" s="1"/>
  <c r="H93" i="24"/>
  <c r="AF93" i="24" s="1"/>
  <c r="M92" i="24"/>
  <c r="AK92" i="24" s="1"/>
  <c r="I92" i="24"/>
  <c r="AG92" i="24" s="1"/>
  <c r="N91" i="24"/>
  <c r="AL91" i="24" s="1"/>
  <c r="J91" i="24"/>
  <c r="AH91" i="24" s="1"/>
  <c r="F91" i="24"/>
  <c r="AD91" i="24" s="1"/>
  <c r="K90" i="24"/>
  <c r="AI90" i="24" s="1"/>
  <c r="G90" i="24"/>
  <c r="AE90" i="24" s="1"/>
  <c r="L89" i="24"/>
  <c r="AJ89" i="24" s="1"/>
  <c r="H89" i="24"/>
  <c r="AF89" i="24" s="1"/>
  <c r="M88" i="24"/>
  <c r="AK88" i="24" s="1"/>
  <c r="I88" i="24"/>
  <c r="AG88" i="24" s="1"/>
  <c r="M87" i="24"/>
  <c r="AK87" i="24" s="1"/>
  <c r="I87" i="24"/>
  <c r="AG87" i="24" s="1"/>
  <c r="N86" i="24"/>
  <c r="AL86" i="24" s="1"/>
  <c r="J86" i="24"/>
  <c r="AH86" i="24" s="1"/>
  <c r="F86" i="24"/>
  <c r="AD86" i="24" s="1"/>
  <c r="N85" i="24"/>
  <c r="AL85" i="24" s="1"/>
  <c r="J85" i="24"/>
  <c r="AH85" i="24" s="1"/>
  <c r="F85" i="24"/>
  <c r="AD85" i="24" s="1"/>
  <c r="N84" i="24"/>
  <c r="AL84" i="24" s="1"/>
  <c r="J84" i="24"/>
  <c r="AH84" i="24" s="1"/>
  <c r="F84" i="24"/>
  <c r="AD84" i="24" s="1"/>
  <c r="N83" i="24"/>
  <c r="AL83" i="24" s="1"/>
  <c r="J83" i="24"/>
  <c r="AH83" i="24" s="1"/>
  <c r="F83" i="24"/>
  <c r="AD83" i="24" s="1"/>
  <c r="K82" i="24"/>
  <c r="AI82" i="24" s="1"/>
  <c r="G82" i="24"/>
  <c r="AE82" i="24" s="1"/>
  <c r="K81" i="24"/>
  <c r="AI81" i="24" s="1"/>
  <c r="G81" i="24"/>
  <c r="AE81" i="24" s="1"/>
  <c r="K80" i="24"/>
  <c r="AI80" i="24" s="1"/>
  <c r="G80" i="24"/>
  <c r="AE80" i="24" s="1"/>
  <c r="K79" i="24"/>
  <c r="AI79" i="24" s="1"/>
  <c r="G79" i="24"/>
  <c r="AE79" i="24" s="1"/>
  <c r="K78" i="24"/>
  <c r="AI78" i="24" s="1"/>
  <c r="G78" i="24"/>
  <c r="AE78" i="24" s="1"/>
  <c r="K77" i="24"/>
  <c r="AI77" i="24" s="1"/>
  <c r="G77" i="24"/>
  <c r="AE77" i="24" s="1"/>
  <c r="L76" i="24"/>
  <c r="AJ76" i="24" s="1"/>
  <c r="H76" i="24"/>
  <c r="AF76" i="24" s="1"/>
  <c r="L75" i="24"/>
  <c r="AJ75" i="24" s="1"/>
  <c r="H75" i="24"/>
  <c r="AF75" i="24" s="1"/>
  <c r="M74" i="24"/>
  <c r="AK74" i="24" s="1"/>
  <c r="H155" i="24"/>
  <c r="AF155" i="24" s="1"/>
  <c r="J154" i="24"/>
  <c r="AH154" i="24" s="1"/>
  <c r="M153" i="24"/>
  <c r="AK153" i="24" s="1"/>
  <c r="J152" i="24"/>
  <c r="AH152" i="24" s="1"/>
  <c r="J151" i="24"/>
  <c r="AH151" i="24" s="1"/>
  <c r="J150" i="24"/>
  <c r="AH150" i="24" s="1"/>
  <c r="J149" i="24"/>
  <c r="AH149" i="24" s="1"/>
  <c r="K148" i="24"/>
  <c r="AI148" i="24" s="1"/>
  <c r="H147" i="24"/>
  <c r="AF147" i="24" s="1"/>
  <c r="L146" i="24"/>
  <c r="AJ146" i="24" s="1"/>
  <c r="I145" i="24"/>
  <c r="AG145" i="24" s="1"/>
  <c r="M144" i="24"/>
  <c r="AK144" i="24" s="1"/>
  <c r="I143" i="24"/>
  <c r="AG143" i="24" s="1"/>
  <c r="M142" i="24"/>
  <c r="AK142" i="24" s="1"/>
  <c r="I141" i="24"/>
  <c r="AG141" i="24" s="1"/>
  <c r="N140" i="24"/>
  <c r="AL140" i="24" s="1"/>
  <c r="J137" i="24"/>
  <c r="AH137" i="24" s="1"/>
  <c r="J135" i="24"/>
  <c r="AH135" i="24" s="1"/>
  <c r="G134" i="24"/>
  <c r="AE134" i="24" s="1"/>
  <c r="M133" i="24"/>
  <c r="AK133" i="24" s="1"/>
  <c r="K132" i="24"/>
  <c r="AI132" i="24" s="1"/>
  <c r="J131" i="24"/>
  <c r="AH131" i="24" s="1"/>
  <c r="J130" i="24"/>
  <c r="AH130" i="24" s="1"/>
  <c r="J129" i="24"/>
  <c r="AH129" i="24" s="1"/>
  <c r="K128" i="24"/>
  <c r="AI128" i="24" s="1"/>
  <c r="I127" i="24"/>
  <c r="AG127" i="24" s="1"/>
  <c r="G126" i="24"/>
  <c r="AE126" i="24" s="1"/>
  <c r="M125" i="24"/>
  <c r="AK125" i="24" s="1"/>
  <c r="M124" i="24"/>
  <c r="AK124" i="24" s="1"/>
  <c r="H124" i="24"/>
  <c r="AF124" i="24" s="1"/>
  <c r="K123" i="24"/>
  <c r="AI123" i="24" s="1"/>
  <c r="F123" i="24"/>
  <c r="AD123" i="24" s="1"/>
  <c r="N122" i="24"/>
  <c r="AL122" i="24" s="1"/>
  <c r="I122" i="24"/>
  <c r="AG122" i="24" s="1"/>
  <c r="K121" i="24"/>
  <c r="AI121" i="24" s="1"/>
  <c r="F121" i="24"/>
  <c r="AD121" i="24" s="1"/>
  <c r="J120" i="24"/>
  <c r="AH120" i="24" s="1"/>
  <c r="L119" i="24"/>
  <c r="AJ119" i="24" s="1"/>
  <c r="G119" i="24"/>
  <c r="AE119" i="24" s="1"/>
  <c r="J118" i="24"/>
  <c r="AH118" i="24" s="1"/>
  <c r="L117" i="24"/>
  <c r="AJ117" i="24" s="1"/>
  <c r="G117" i="24"/>
  <c r="AE117" i="24" s="1"/>
  <c r="J116" i="24"/>
  <c r="AH116" i="24" s="1"/>
  <c r="M115" i="24"/>
  <c r="AK115" i="24" s="1"/>
  <c r="H115" i="24"/>
  <c r="AF115" i="24" s="1"/>
  <c r="I114" i="24"/>
  <c r="AG114" i="24" s="1"/>
  <c r="M113" i="24"/>
  <c r="AK113" i="24" s="1"/>
  <c r="I113" i="24"/>
  <c r="AG113" i="24" s="1"/>
  <c r="K112" i="24"/>
  <c r="AI112" i="24" s="1"/>
  <c r="G112" i="24"/>
  <c r="AE112" i="24" s="1"/>
  <c r="K111" i="24"/>
  <c r="AI111" i="24" s="1"/>
  <c r="G111" i="24"/>
  <c r="AE111" i="24" s="1"/>
  <c r="K110" i="24"/>
  <c r="AI110" i="24" s="1"/>
  <c r="G110" i="24"/>
  <c r="AE110" i="24" s="1"/>
  <c r="K109" i="24"/>
  <c r="AI109" i="24" s="1"/>
  <c r="G109" i="24"/>
  <c r="AE109" i="24" s="1"/>
  <c r="L108" i="24"/>
  <c r="AJ108" i="24" s="1"/>
  <c r="H108" i="24"/>
  <c r="AF108" i="24" s="1"/>
  <c r="M107" i="24"/>
  <c r="AK107" i="24" s="1"/>
  <c r="I107" i="24"/>
  <c r="AG107" i="24" s="1"/>
  <c r="N106" i="24"/>
  <c r="AL106" i="24" s="1"/>
  <c r="J106" i="24"/>
  <c r="AH106" i="24" s="1"/>
  <c r="F106" i="24"/>
  <c r="AD106" i="24" s="1"/>
  <c r="K105" i="24"/>
  <c r="AI105" i="24" s="1"/>
  <c r="G105" i="24"/>
  <c r="AE105" i="24" s="1"/>
  <c r="L104" i="24"/>
  <c r="AJ104" i="24" s="1"/>
  <c r="H104" i="24"/>
  <c r="AF104" i="24" s="1"/>
  <c r="N103" i="24"/>
  <c r="AL103" i="24" s="1"/>
  <c r="J103" i="24"/>
  <c r="AH103" i="24" s="1"/>
  <c r="F103" i="24"/>
  <c r="AD103" i="24" s="1"/>
  <c r="N102" i="24"/>
  <c r="AL102" i="24" s="1"/>
  <c r="J102" i="24"/>
  <c r="AH102" i="24" s="1"/>
  <c r="H175" i="24"/>
  <c r="AF175" i="24" s="1"/>
  <c r="F140" i="24"/>
  <c r="AD140" i="24" s="1"/>
  <c r="H137" i="24"/>
  <c r="AF137" i="24" s="1"/>
  <c r="M136" i="24"/>
  <c r="AK136" i="24" s="1"/>
  <c r="H135" i="24"/>
  <c r="AF135" i="24" s="1"/>
  <c r="M134" i="24"/>
  <c r="AK134" i="24" s="1"/>
  <c r="K133" i="24"/>
  <c r="AI133" i="24" s="1"/>
  <c r="I132" i="24"/>
  <c r="AG132" i="24" s="1"/>
  <c r="H131" i="24"/>
  <c r="AF131" i="24" s="1"/>
  <c r="H130" i="24"/>
  <c r="AF130" i="24" s="1"/>
  <c r="H129" i="24"/>
  <c r="AF129" i="24" s="1"/>
  <c r="I128" i="24"/>
  <c r="AG128" i="24" s="1"/>
  <c r="G127" i="24"/>
  <c r="AE127" i="24" s="1"/>
  <c r="M126" i="24"/>
  <c r="AK126" i="24" s="1"/>
  <c r="K125" i="24"/>
  <c r="AI125" i="24" s="1"/>
  <c r="L124" i="24"/>
  <c r="AJ124" i="24" s="1"/>
  <c r="F124" i="24"/>
  <c r="AD124" i="24" s="1"/>
  <c r="J123" i="24"/>
  <c r="AH123" i="24" s="1"/>
  <c r="M122" i="24"/>
  <c r="AK122" i="24" s="1"/>
  <c r="G122" i="24"/>
  <c r="AE122" i="24" s="1"/>
  <c r="J121" i="24"/>
  <c r="AH121" i="24" s="1"/>
  <c r="N120" i="24"/>
  <c r="AL120" i="24" s="1"/>
  <c r="H120" i="24"/>
  <c r="AF120" i="24" s="1"/>
  <c r="K119" i="24"/>
  <c r="AI119" i="24" s="1"/>
  <c r="F119" i="24"/>
  <c r="AD119" i="24" s="1"/>
  <c r="N118" i="24"/>
  <c r="AL118" i="24" s="1"/>
  <c r="H118" i="24"/>
  <c r="AF118" i="24" s="1"/>
  <c r="K117" i="24"/>
  <c r="AI117" i="24" s="1"/>
  <c r="F117" i="24"/>
  <c r="AD117" i="24" s="1"/>
  <c r="N116" i="24"/>
  <c r="AL116" i="24" s="1"/>
  <c r="H116" i="24"/>
  <c r="AF116" i="24" s="1"/>
  <c r="L115" i="24"/>
  <c r="AJ115" i="24" s="1"/>
  <c r="G115" i="24"/>
  <c r="AE115" i="24" s="1"/>
  <c r="M114" i="24"/>
  <c r="AK114" i="24" s="1"/>
  <c r="H114" i="24"/>
  <c r="AF114" i="24" s="1"/>
  <c r="L113" i="24"/>
  <c r="AJ113" i="24" s="1"/>
  <c r="H113" i="24"/>
  <c r="AF113" i="24" s="1"/>
  <c r="N112" i="24"/>
  <c r="AL112" i="24" s="1"/>
  <c r="J112" i="24"/>
  <c r="AH112" i="24" s="1"/>
  <c r="F112" i="24"/>
  <c r="AD112" i="24" s="1"/>
  <c r="N111" i="24"/>
  <c r="AL111" i="24" s="1"/>
  <c r="J111" i="24"/>
  <c r="AH111" i="24" s="1"/>
  <c r="F111" i="24"/>
  <c r="AD111" i="24" s="1"/>
  <c r="N110" i="24"/>
  <c r="AL110" i="24" s="1"/>
  <c r="J110" i="24"/>
  <c r="AH110" i="24" s="1"/>
  <c r="F110" i="24"/>
  <c r="AD110" i="24" s="1"/>
  <c r="N109" i="24"/>
  <c r="AL109" i="24" s="1"/>
  <c r="J109" i="24"/>
  <c r="AH109" i="24" s="1"/>
  <c r="F109" i="24"/>
  <c r="AD109" i="24" s="1"/>
  <c r="K108" i="24"/>
  <c r="AI108" i="24" s="1"/>
  <c r="G108" i="24"/>
  <c r="AE108" i="24" s="1"/>
  <c r="L107" i="24"/>
  <c r="AJ107" i="24" s="1"/>
  <c r="H107" i="24"/>
  <c r="AF107" i="24" s="1"/>
  <c r="M106" i="24"/>
  <c r="AK106" i="24" s="1"/>
  <c r="I106" i="24"/>
  <c r="AG106" i="24" s="1"/>
  <c r="N105" i="24"/>
  <c r="AL105" i="24" s="1"/>
  <c r="J105" i="24"/>
  <c r="AH105" i="24" s="1"/>
  <c r="F105" i="24"/>
  <c r="AD105" i="24" s="1"/>
  <c r="K104" i="24"/>
  <c r="AI104" i="24" s="1"/>
  <c r="G104" i="24"/>
  <c r="AE104" i="24" s="1"/>
  <c r="M103" i="24"/>
  <c r="AK103" i="24" s="1"/>
  <c r="I103" i="24"/>
  <c r="AG103" i="24" s="1"/>
  <c r="M102" i="24"/>
  <c r="AK102" i="24" s="1"/>
  <c r="I102" i="24"/>
  <c r="AG102" i="24" s="1"/>
  <c r="N101" i="24"/>
  <c r="AL101" i="24" s="1"/>
  <c r="J101" i="24"/>
  <c r="AH101" i="24" s="1"/>
  <c r="F101" i="24"/>
  <c r="AD101" i="24" s="1"/>
  <c r="K100" i="24"/>
  <c r="AI100" i="24" s="1"/>
  <c r="G100" i="24"/>
  <c r="AE100" i="24" s="1"/>
  <c r="L99" i="24"/>
  <c r="AJ99" i="24" s="1"/>
  <c r="H99" i="24"/>
  <c r="AF99" i="24" s="1"/>
  <c r="M98" i="24"/>
  <c r="AK98" i="24" s="1"/>
  <c r="I98" i="24"/>
  <c r="AG98" i="24" s="1"/>
  <c r="N97" i="24"/>
  <c r="AL97" i="24" s="1"/>
  <c r="J97" i="24"/>
  <c r="AH97" i="24" s="1"/>
  <c r="F97" i="24"/>
  <c r="AD97" i="24" s="1"/>
  <c r="K96" i="24"/>
  <c r="AI96" i="24" s="1"/>
  <c r="G96" i="24"/>
  <c r="AE96" i="24" s="1"/>
  <c r="L95" i="24"/>
  <c r="AJ95" i="24" s="1"/>
  <c r="H95" i="24"/>
  <c r="AF95" i="24" s="1"/>
  <c r="M94" i="24"/>
  <c r="AK94" i="24" s="1"/>
  <c r="I94" i="24"/>
  <c r="AG94" i="24" s="1"/>
  <c r="N93" i="24"/>
  <c r="AL93" i="24" s="1"/>
  <c r="J93" i="24"/>
  <c r="AH93" i="24" s="1"/>
  <c r="F93" i="24"/>
  <c r="AD93" i="24" s="1"/>
  <c r="K92" i="24"/>
  <c r="AI92" i="24" s="1"/>
  <c r="G92" i="24"/>
  <c r="AE92" i="24" s="1"/>
  <c r="L91" i="24"/>
  <c r="AJ91" i="24" s="1"/>
  <c r="H91" i="24"/>
  <c r="AF91" i="24" s="1"/>
  <c r="M90" i="24"/>
  <c r="AK90" i="24" s="1"/>
  <c r="I90" i="24"/>
  <c r="AG90" i="24" s="1"/>
  <c r="N89" i="24"/>
  <c r="AL89" i="24" s="1"/>
  <c r="J89" i="24"/>
  <c r="AH89" i="24" s="1"/>
  <c r="F89" i="24"/>
  <c r="AD89" i="24" s="1"/>
  <c r="K88" i="24"/>
  <c r="AI88" i="24" s="1"/>
  <c r="G88" i="24"/>
  <c r="AE88" i="24" s="1"/>
  <c r="K87" i="24"/>
  <c r="AI87" i="24" s="1"/>
  <c r="G87" i="24"/>
  <c r="AE87" i="24" s="1"/>
  <c r="L86" i="24"/>
  <c r="AJ86" i="24" s="1"/>
  <c r="H86" i="24"/>
  <c r="AF86" i="24" s="1"/>
  <c r="L85" i="24"/>
  <c r="AJ85" i="24" s="1"/>
  <c r="H85" i="24"/>
  <c r="AF85" i="24" s="1"/>
  <c r="L84" i="24"/>
  <c r="AJ84" i="24" s="1"/>
  <c r="H84" i="24"/>
  <c r="AF84" i="24" s="1"/>
  <c r="L83" i="24"/>
  <c r="AJ83" i="24" s="1"/>
  <c r="H83" i="24"/>
  <c r="AF83" i="24" s="1"/>
  <c r="M82" i="24"/>
  <c r="AK82" i="24" s="1"/>
  <c r="I82" i="24"/>
  <c r="AG82" i="24" s="1"/>
  <c r="M81" i="24"/>
  <c r="AK81" i="24" s="1"/>
  <c r="I81" i="24"/>
  <c r="AG81" i="24" s="1"/>
  <c r="M80" i="24"/>
  <c r="AK80" i="24" s="1"/>
  <c r="I80" i="24"/>
  <c r="AG80" i="24" s="1"/>
  <c r="M79" i="24"/>
  <c r="AK79" i="24" s="1"/>
  <c r="I79" i="24"/>
  <c r="AG79" i="24" s="1"/>
  <c r="M78" i="24"/>
  <c r="AK78" i="24" s="1"/>
  <c r="I78" i="24"/>
  <c r="AG78" i="24" s="1"/>
  <c r="M77" i="24"/>
  <c r="AK77" i="24" s="1"/>
  <c r="I77" i="24"/>
  <c r="AG77" i="24" s="1"/>
  <c r="N76" i="24"/>
  <c r="AL76" i="24" s="1"/>
  <c r="J76" i="24"/>
  <c r="AH76" i="24" s="1"/>
  <c r="F76" i="24"/>
  <c r="AD76" i="24" s="1"/>
  <c r="N75" i="24"/>
  <c r="AL75" i="24" s="1"/>
  <c r="J75" i="24"/>
  <c r="AH75" i="24" s="1"/>
  <c r="F75" i="24"/>
  <c r="AD75" i="24" s="1"/>
  <c r="K74" i="24"/>
  <c r="AI74" i="24" s="1"/>
  <c r="G74" i="24"/>
  <c r="AE74" i="24" s="1"/>
  <c r="L73" i="24"/>
  <c r="AJ73" i="24" s="1"/>
  <c r="H73" i="24"/>
  <c r="AF73" i="24" s="1"/>
  <c r="M72" i="24"/>
  <c r="AK72" i="24" s="1"/>
  <c r="I72" i="24"/>
  <c r="AG72" i="24" s="1"/>
  <c r="N71" i="24"/>
  <c r="AL71" i="24" s="1"/>
  <c r="J71" i="24"/>
  <c r="AH71" i="24" s="1"/>
  <c r="F71" i="24"/>
  <c r="AD71" i="24" s="1"/>
  <c r="K70" i="24"/>
  <c r="AI70" i="24" s="1"/>
  <c r="G70" i="24"/>
  <c r="AE70" i="24" s="1"/>
  <c r="K69" i="24"/>
  <c r="AI69" i="24" s="1"/>
  <c r="G69" i="24"/>
  <c r="AE69" i="24" s="1"/>
  <c r="L68" i="24"/>
  <c r="AJ68" i="24" s="1"/>
  <c r="H68" i="24"/>
  <c r="AF68" i="24" s="1"/>
  <c r="L67" i="24"/>
  <c r="AJ67" i="24" s="1"/>
  <c r="H67" i="24"/>
  <c r="AF67" i="24" s="1"/>
  <c r="M66" i="24"/>
  <c r="AK66" i="24" s="1"/>
  <c r="I66" i="24"/>
  <c r="AG66" i="24" s="1"/>
  <c r="N65" i="24"/>
  <c r="AL65" i="24" s="1"/>
  <c r="J65" i="24"/>
  <c r="AH65" i="24" s="1"/>
  <c r="F65" i="24"/>
  <c r="AD65" i="24" s="1"/>
  <c r="K64" i="24"/>
  <c r="AI64" i="24" s="1"/>
  <c r="G64" i="24"/>
  <c r="AE64" i="24" s="1"/>
  <c r="J189" i="24"/>
  <c r="AH189" i="24" s="1"/>
  <c r="J171" i="24"/>
  <c r="AH171" i="24" s="1"/>
  <c r="I170" i="24"/>
  <c r="AG170" i="24" s="1"/>
  <c r="G169" i="24"/>
  <c r="AE169" i="24" s="1"/>
  <c r="N168" i="24"/>
  <c r="AL168" i="24" s="1"/>
  <c r="F167" i="24"/>
  <c r="AD167" i="24" s="1"/>
  <c r="N166" i="24"/>
  <c r="AL166" i="24" s="1"/>
  <c r="G165" i="24"/>
  <c r="AE165" i="24" s="1"/>
  <c r="K164" i="24"/>
  <c r="AI164" i="24" s="1"/>
  <c r="H163" i="24"/>
  <c r="AF163" i="24" s="1"/>
  <c r="L162" i="24"/>
  <c r="AJ162" i="24" s="1"/>
  <c r="H161" i="24"/>
  <c r="AF161" i="24" s="1"/>
  <c r="K160" i="24"/>
  <c r="AI160" i="24" s="1"/>
  <c r="J159" i="24"/>
  <c r="AH159" i="24" s="1"/>
  <c r="M158" i="24"/>
  <c r="AK158" i="24" s="1"/>
  <c r="H139" i="24"/>
  <c r="AF139" i="24" s="1"/>
  <c r="K138" i="24"/>
  <c r="AI138" i="24" s="1"/>
  <c r="J136" i="24"/>
  <c r="AH136" i="24" s="1"/>
  <c r="K134" i="24"/>
  <c r="AI134" i="24" s="1"/>
  <c r="I133" i="24"/>
  <c r="AG133" i="24" s="1"/>
  <c r="G132" i="24"/>
  <c r="AE132" i="24" s="1"/>
  <c r="N131" i="24"/>
  <c r="AL131" i="24" s="1"/>
  <c r="F131" i="24"/>
  <c r="AD131" i="24" s="1"/>
  <c r="N130" i="24"/>
  <c r="AL130" i="24" s="1"/>
  <c r="F130" i="24"/>
  <c r="AD130" i="24" s="1"/>
  <c r="N129" i="24"/>
  <c r="AL129" i="24" s="1"/>
  <c r="F129" i="24"/>
  <c r="AD129" i="24" s="1"/>
  <c r="G128" i="24"/>
  <c r="AE128" i="24" s="1"/>
  <c r="M127" i="24"/>
  <c r="AK127" i="24" s="1"/>
  <c r="K126" i="24"/>
  <c r="AI126" i="24" s="1"/>
  <c r="I125" i="24"/>
  <c r="AG125" i="24" s="1"/>
  <c r="J124" i="24"/>
  <c r="AH124" i="24" s="1"/>
  <c r="N123" i="24"/>
  <c r="AL123" i="24" s="1"/>
  <c r="I123" i="24"/>
  <c r="AG123" i="24" s="1"/>
  <c r="K122" i="24"/>
  <c r="AI122" i="24" s="1"/>
  <c r="F122" i="24"/>
  <c r="AD122" i="24" s="1"/>
  <c r="N121" i="24"/>
  <c r="AL121" i="24" s="1"/>
  <c r="I121" i="24"/>
  <c r="AG121" i="24" s="1"/>
  <c r="L120" i="24"/>
  <c r="AJ120" i="24" s="1"/>
  <c r="G120" i="24"/>
  <c r="AE120" i="24" s="1"/>
  <c r="J119" i="24"/>
  <c r="AH119" i="24" s="1"/>
  <c r="L118" i="24"/>
  <c r="AJ118" i="24" s="1"/>
  <c r="G118" i="24"/>
  <c r="AE118" i="24" s="1"/>
  <c r="J117" i="24"/>
  <c r="AH117" i="24" s="1"/>
  <c r="L116" i="24"/>
  <c r="AJ116" i="24" s="1"/>
  <c r="G116" i="24"/>
  <c r="AE116" i="24" s="1"/>
  <c r="K115" i="24"/>
  <c r="AI115" i="24" s="1"/>
  <c r="L114" i="24"/>
  <c r="AJ114" i="24" s="1"/>
  <c r="G114" i="24"/>
  <c r="AE114" i="24" s="1"/>
  <c r="K113" i="24"/>
  <c r="AI113" i="24" s="1"/>
  <c r="G113" i="24"/>
  <c r="AE113" i="24" s="1"/>
  <c r="M112" i="24"/>
  <c r="AK112" i="24" s="1"/>
  <c r="I112" i="24"/>
  <c r="AG112" i="24" s="1"/>
  <c r="M111" i="24"/>
  <c r="AK111" i="24" s="1"/>
  <c r="I111" i="24"/>
  <c r="AG111" i="24" s="1"/>
  <c r="M110" i="24"/>
  <c r="AK110" i="24" s="1"/>
  <c r="I110" i="24"/>
  <c r="AG110" i="24" s="1"/>
  <c r="M109" i="24"/>
  <c r="AK109" i="24" s="1"/>
  <c r="I109" i="24"/>
  <c r="AG109" i="24" s="1"/>
  <c r="N108" i="24"/>
  <c r="AL108" i="24" s="1"/>
  <c r="J108" i="24"/>
  <c r="AH108" i="24" s="1"/>
  <c r="F108" i="24"/>
  <c r="AD108" i="24" s="1"/>
  <c r="K107" i="24"/>
  <c r="AI107" i="24" s="1"/>
  <c r="G107" i="24"/>
  <c r="AE107" i="24" s="1"/>
  <c r="L106" i="24"/>
  <c r="AJ106" i="24" s="1"/>
  <c r="H106" i="24"/>
  <c r="AF106" i="24" s="1"/>
  <c r="M105" i="24"/>
  <c r="AK105" i="24" s="1"/>
  <c r="I105" i="24"/>
  <c r="AG105" i="24" s="1"/>
  <c r="N104" i="24"/>
  <c r="AL104" i="24" s="1"/>
  <c r="J104" i="24"/>
  <c r="AH104" i="24" s="1"/>
  <c r="F104" i="24"/>
  <c r="AD104" i="24" s="1"/>
  <c r="L103" i="24"/>
  <c r="AJ103" i="24" s="1"/>
  <c r="H103" i="24"/>
  <c r="AF103" i="24" s="1"/>
  <c r="L102" i="24"/>
  <c r="AJ102" i="24" s="1"/>
  <c r="H102" i="24"/>
  <c r="AF102" i="24" s="1"/>
  <c r="M101" i="24"/>
  <c r="AK101" i="24" s="1"/>
  <c r="I101" i="24"/>
  <c r="AG101" i="24" s="1"/>
  <c r="N100" i="24"/>
  <c r="AL100" i="24" s="1"/>
  <c r="J100" i="24"/>
  <c r="AH100" i="24" s="1"/>
  <c r="F100" i="24"/>
  <c r="AD100" i="24" s="1"/>
  <c r="K99" i="24"/>
  <c r="AI99" i="24" s="1"/>
  <c r="G99" i="24"/>
  <c r="AE99" i="24" s="1"/>
  <c r="L98" i="24"/>
  <c r="AJ98" i="24" s="1"/>
  <c r="H98" i="24"/>
  <c r="AF98" i="24" s="1"/>
  <c r="M97" i="24"/>
  <c r="AK97" i="24" s="1"/>
  <c r="I97" i="24"/>
  <c r="AG97" i="24" s="1"/>
  <c r="N96" i="24"/>
  <c r="AL96" i="24" s="1"/>
  <c r="J96" i="24"/>
  <c r="AH96" i="24" s="1"/>
  <c r="F96" i="24"/>
  <c r="AD96" i="24" s="1"/>
  <c r="K95" i="24"/>
  <c r="AI95" i="24" s="1"/>
  <c r="G95" i="24"/>
  <c r="AE95" i="24" s="1"/>
  <c r="L94" i="24"/>
  <c r="AJ94" i="24" s="1"/>
  <c r="H94" i="24"/>
  <c r="AF94" i="24" s="1"/>
  <c r="M93" i="24"/>
  <c r="AK93" i="24" s="1"/>
  <c r="I93" i="24"/>
  <c r="AG93" i="24" s="1"/>
  <c r="N92" i="24"/>
  <c r="AL92" i="24" s="1"/>
  <c r="J92" i="24"/>
  <c r="AH92" i="24" s="1"/>
  <c r="F92" i="24"/>
  <c r="AD92" i="24" s="1"/>
  <c r="K91" i="24"/>
  <c r="AI91" i="24" s="1"/>
  <c r="G91" i="24"/>
  <c r="AE91" i="24" s="1"/>
  <c r="L90" i="24"/>
  <c r="AJ90" i="24" s="1"/>
  <c r="H90" i="24"/>
  <c r="AF90" i="24" s="1"/>
  <c r="M89" i="24"/>
  <c r="AK89" i="24" s="1"/>
  <c r="K101" i="24"/>
  <c r="AI101" i="24" s="1"/>
  <c r="J98" i="24"/>
  <c r="AH98" i="24" s="1"/>
  <c r="H96" i="24"/>
  <c r="AF96" i="24" s="1"/>
  <c r="F94" i="24"/>
  <c r="AD94" i="24" s="1"/>
  <c r="I91" i="24"/>
  <c r="AG91" i="24" s="1"/>
  <c r="N90" i="24"/>
  <c r="AL90" i="24" s="1"/>
  <c r="I89" i="24"/>
  <c r="AG89" i="24" s="1"/>
  <c r="H88" i="24"/>
  <c r="AF88" i="24" s="1"/>
  <c r="H87" i="24"/>
  <c r="AF87" i="24" s="1"/>
  <c r="I86" i="24"/>
  <c r="AG86" i="24" s="1"/>
  <c r="G85" i="24"/>
  <c r="AE85" i="24" s="1"/>
  <c r="M84" i="24"/>
  <c r="AK84" i="24" s="1"/>
  <c r="K83" i="24"/>
  <c r="AI83" i="24" s="1"/>
  <c r="J82" i="24"/>
  <c r="AH82" i="24" s="1"/>
  <c r="J81" i="24"/>
  <c r="AH81" i="24" s="1"/>
  <c r="J80" i="24"/>
  <c r="AH80" i="24" s="1"/>
  <c r="J79" i="24"/>
  <c r="AH79" i="24" s="1"/>
  <c r="J78" i="24"/>
  <c r="AH78" i="24" s="1"/>
  <c r="J77" i="24"/>
  <c r="AH77" i="24" s="1"/>
  <c r="K76" i="24"/>
  <c r="AI76" i="24" s="1"/>
  <c r="I75" i="24"/>
  <c r="AG75" i="24" s="1"/>
  <c r="I74" i="24"/>
  <c r="AG74" i="24" s="1"/>
  <c r="M73" i="24"/>
  <c r="AK73" i="24" s="1"/>
  <c r="G73" i="24"/>
  <c r="AE73" i="24" s="1"/>
  <c r="K72" i="24"/>
  <c r="AI72" i="24" s="1"/>
  <c r="F72" i="24"/>
  <c r="AD72" i="24" s="1"/>
  <c r="I71" i="24"/>
  <c r="AG71" i="24" s="1"/>
  <c r="L70" i="24"/>
  <c r="AJ70" i="24" s="1"/>
  <c r="F70" i="24"/>
  <c r="AD70" i="24" s="1"/>
  <c r="N69" i="24"/>
  <c r="AL69" i="24" s="1"/>
  <c r="I69" i="24"/>
  <c r="AG69" i="24" s="1"/>
  <c r="M68" i="24"/>
  <c r="AK68" i="24" s="1"/>
  <c r="G68" i="24"/>
  <c r="AE68" i="24" s="1"/>
  <c r="J67" i="24"/>
  <c r="AH67" i="24" s="1"/>
  <c r="N66" i="24"/>
  <c r="AL66" i="24" s="1"/>
  <c r="H66" i="24"/>
  <c r="AF66" i="24" s="1"/>
  <c r="L65" i="24"/>
  <c r="AJ65" i="24" s="1"/>
  <c r="G65" i="24"/>
  <c r="AE65" i="24" s="1"/>
  <c r="N64" i="24"/>
  <c r="AL64" i="24" s="1"/>
  <c r="I64" i="24"/>
  <c r="AG64" i="24" s="1"/>
  <c r="M63" i="24"/>
  <c r="AK63" i="24" s="1"/>
  <c r="I63" i="24"/>
  <c r="AG63" i="24" s="1"/>
  <c r="N62" i="24"/>
  <c r="AL62" i="24" s="1"/>
  <c r="J62" i="24"/>
  <c r="AH62" i="24" s="1"/>
  <c r="F62" i="24"/>
  <c r="AD62" i="24" s="1"/>
  <c r="N61" i="24"/>
  <c r="AL61" i="24" s="1"/>
  <c r="J61" i="24"/>
  <c r="AH61" i="24" s="1"/>
  <c r="F61" i="24"/>
  <c r="AD61" i="24" s="1"/>
  <c r="K60" i="24"/>
  <c r="AI60" i="24" s="1"/>
  <c r="G60" i="24"/>
  <c r="AE60" i="24" s="1"/>
  <c r="K59" i="24"/>
  <c r="AI59" i="24" s="1"/>
  <c r="G59" i="24"/>
  <c r="AE59" i="24" s="1"/>
  <c r="L58" i="24"/>
  <c r="AJ58" i="24" s="1"/>
  <c r="H58" i="24"/>
  <c r="AF58" i="24" s="1"/>
  <c r="M57" i="24"/>
  <c r="AK57" i="24" s="1"/>
  <c r="I57" i="24"/>
  <c r="AG57" i="24" s="1"/>
  <c r="N56" i="24"/>
  <c r="AL56" i="24" s="1"/>
  <c r="J56" i="24"/>
  <c r="AH56" i="24" s="1"/>
  <c r="F56" i="24"/>
  <c r="AD56" i="24" s="1"/>
  <c r="K55" i="24"/>
  <c r="AI55" i="24" s="1"/>
  <c r="G55" i="24"/>
  <c r="AE55" i="24" s="1"/>
  <c r="L54" i="24"/>
  <c r="AJ54" i="24" s="1"/>
  <c r="H54" i="24"/>
  <c r="AF54" i="24" s="1"/>
  <c r="N53" i="24"/>
  <c r="AL53" i="24" s="1"/>
  <c r="J53" i="24"/>
  <c r="AH53" i="24" s="1"/>
  <c r="F53" i="24"/>
  <c r="AD53" i="24" s="1"/>
  <c r="K52" i="24"/>
  <c r="AI52" i="24" s="1"/>
  <c r="G52" i="24"/>
  <c r="AE52" i="24" s="1"/>
  <c r="K51" i="24"/>
  <c r="AI51" i="24" s="1"/>
  <c r="G51" i="24"/>
  <c r="AE51" i="24" s="1"/>
  <c r="L50" i="24"/>
  <c r="AJ50" i="24" s="1"/>
  <c r="H50" i="24"/>
  <c r="AF50" i="24" s="1"/>
  <c r="M49" i="24"/>
  <c r="AK49" i="24" s="1"/>
  <c r="I49" i="24"/>
  <c r="AG49" i="24" s="1"/>
  <c r="N48" i="24"/>
  <c r="AL48" i="24" s="1"/>
  <c r="J48" i="24"/>
  <c r="AH48" i="24" s="1"/>
  <c r="F48" i="24"/>
  <c r="AD48" i="24" s="1"/>
  <c r="K47" i="24"/>
  <c r="AI47" i="24" s="1"/>
  <c r="G47" i="24"/>
  <c r="AE47" i="24" s="1"/>
  <c r="L46" i="24"/>
  <c r="AJ46" i="24" s="1"/>
  <c r="H46" i="24"/>
  <c r="AF46" i="24" s="1"/>
  <c r="M45" i="24"/>
  <c r="AK45" i="24" s="1"/>
  <c r="I45" i="24"/>
  <c r="AG45" i="24" s="1"/>
  <c r="M44" i="24"/>
  <c r="AK44" i="24" s="1"/>
  <c r="I44" i="24"/>
  <c r="AG44" i="24" s="1"/>
  <c r="M43" i="24"/>
  <c r="AK43" i="24" s="1"/>
  <c r="I43" i="24"/>
  <c r="AG43" i="24" s="1"/>
  <c r="M42" i="24"/>
  <c r="AK42" i="24" s="1"/>
  <c r="I42" i="24"/>
  <c r="AG42" i="24" s="1"/>
  <c r="M41" i="24"/>
  <c r="AK41" i="24" s="1"/>
  <c r="I41" i="24"/>
  <c r="AG41" i="24" s="1"/>
  <c r="N40" i="24"/>
  <c r="AL40" i="24" s="1"/>
  <c r="J40" i="24"/>
  <c r="AH40" i="24" s="1"/>
  <c r="F40" i="24"/>
  <c r="AD40" i="24" s="1"/>
  <c r="N39" i="24"/>
  <c r="AL39" i="24" s="1"/>
  <c r="J39" i="24"/>
  <c r="AH39" i="24" s="1"/>
  <c r="F39" i="24"/>
  <c r="AD39" i="24" s="1"/>
  <c r="L38" i="24"/>
  <c r="AJ38" i="24" s="1"/>
  <c r="H38" i="24"/>
  <c r="AF38" i="24" s="1"/>
  <c r="M37" i="24"/>
  <c r="AK37" i="24" s="1"/>
  <c r="I37" i="24"/>
  <c r="AG37" i="24" s="1"/>
  <c r="M36" i="24"/>
  <c r="AK36" i="24" s="1"/>
  <c r="I36" i="24"/>
  <c r="AG36" i="24" s="1"/>
  <c r="M35" i="24"/>
  <c r="AK35" i="24" s="1"/>
  <c r="I35" i="24"/>
  <c r="AG35" i="24" s="1"/>
  <c r="M34" i="24"/>
  <c r="AK34" i="24" s="1"/>
  <c r="I34" i="24"/>
  <c r="AG34" i="24" s="1"/>
  <c r="N33" i="24"/>
  <c r="AL33" i="24" s="1"/>
  <c r="J33" i="24"/>
  <c r="AH33" i="24" s="1"/>
  <c r="F33" i="24"/>
  <c r="AD33" i="24" s="1"/>
  <c r="K32" i="24"/>
  <c r="AI32" i="24" s="1"/>
  <c r="G32" i="24"/>
  <c r="AE32" i="24" s="1"/>
  <c r="L31" i="24"/>
  <c r="AJ31" i="24" s="1"/>
  <c r="H31" i="24"/>
  <c r="AF31" i="24" s="1"/>
  <c r="L30" i="24"/>
  <c r="AJ30" i="24" s="1"/>
  <c r="H30" i="24"/>
  <c r="AF30" i="24" s="1"/>
  <c r="L29" i="24"/>
  <c r="AJ29" i="24" s="1"/>
  <c r="H29" i="24"/>
  <c r="AF29" i="24" s="1"/>
  <c r="L28" i="24"/>
  <c r="AJ28" i="24" s="1"/>
  <c r="H28" i="24"/>
  <c r="AF28" i="24" s="1"/>
  <c r="M27" i="24"/>
  <c r="AK27" i="24" s="1"/>
  <c r="I27" i="24"/>
  <c r="AG27" i="24" s="1"/>
  <c r="M26" i="24"/>
  <c r="AK26" i="24" s="1"/>
  <c r="I26" i="24"/>
  <c r="AG26" i="24" s="1"/>
  <c r="M25" i="24"/>
  <c r="AK25" i="24" s="1"/>
  <c r="I25" i="24"/>
  <c r="AG25" i="24" s="1"/>
  <c r="N24" i="24"/>
  <c r="AL24" i="24" s="1"/>
  <c r="J24" i="24"/>
  <c r="AH24" i="24" s="1"/>
  <c r="F24" i="24"/>
  <c r="AD24" i="24" s="1"/>
  <c r="N23" i="24"/>
  <c r="AL23" i="24" s="1"/>
  <c r="J23" i="24"/>
  <c r="AH23" i="24" s="1"/>
  <c r="F23" i="24"/>
  <c r="AD23" i="24" s="1"/>
  <c r="N22" i="24"/>
  <c r="AL22" i="24" s="1"/>
  <c r="J22" i="24"/>
  <c r="AH22" i="24" s="1"/>
  <c r="F22" i="24"/>
  <c r="AD22" i="24" s="1"/>
  <c r="N21" i="24"/>
  <c r="AL21" i="24" s="1"/>
  <c r="J21" i="24"/>
  <c r="AH21" i="24" s="1"/>
  <c r="F21" i="24"/>
  <c r="AD21" i="24" s="1"/>
  <c r="K20" i="24"/>
  <c r="AI20" i="24" s="1"/>
  <c r="G20" i="24"/>
  <c r="AE20" i="24" s="1"/>
  <c r="L19" i="24"/>
  <c r="AJ19" i="24" s="1"/>
  <c r="H19" i="24"/>
  <c r="AF19" i="24" s="1"/>
  <c r="M18" i="24"/>
  <c r="AK18" i="24" s="1"/>
  <c r="I18" i="24"/>
  <c r="AG18" i="24" s="1"/>
  <c r="N17" i="24"/>
  <c r="AL17" i="24" s="1"/>
  <c r="J17" i="24"/>
  <c r="AH17" i="24" s="1"/>
  <c r="F17" i="24"/>
  <c r="AD17" i="24" s="1"/>
  <c r="L16" i="24"/>
  <c r="AJ16" i="24" s="1"/>
  <c r="H16" i="24"/>
  <c r="AF16" i="24" s="1"/>
  <c r="M15" i="24"/>
  <c r="AK15" i="24" s="1"/>
  <c r="H100" i="24"/>
  <c r="AF100" i="24" s="1"/>
  <c r="M99" i="24"/>
  <c r="AK99" i="24" s="1"/>
  <c r="K97" i="24"/>
  <c r="AI97" i="24" s="1"/>
  <c r="I95" i="24"/>
  <c r="AG95" i="24" s="1"/>
  <c r="N94" i="24"/>
  <c r="AL94" i="24" s="1"/>
  <c r="G93" i="24"/>
  <c r="AE93" i="24" s="1"/>
  <c r="L92" i="24"/>
  <c r="AJ92" i="24" s="1"/>
  <c r="F90" i="24"/>
  <c r="AD90" i="24" s="1"/>
  <c r="L88" i="24"/>
  <c r="AJ88" i="24" s="1"/>
  <c r="L87" i="24"/>
  <c r="AJ87" i="24" s="1"/>
  <c r="M86" i="24"/>
  <c r="AK86" i="24" s="1"/>
  <c r="K85" i="24"/>
  <c r="AI85" i="24" s="1"/>
  <c r="I84" i="24"/>
  <c r="AG84" i="24" s="1"/>
  <c r="G83" i="24"/>
  <c r="AE83" i="24" s="1"/>
  <c r="N82" i="24"/>
  <c r="AL82" i="24" s="1"/>
  <c r="F82" i="24"/>
  <c r="AD82" i="24" s="1"/>
  <c r="N81" i="24"/>
  <c r="AL81" i="24" s="1"/>
  <c r="F81" i="24"/>
  <c r="AD81" i="24" s="1"/>
  <c r="N80" i="24"/>
  <c r="AL80" i="24" s="1"/>
  <c r="F80" i="24"/>
  <c r="AD80" i="24" s="1"/>
  <c r="N79" i="24"/>
  <c r="AL79" i="24" s="1"/>
  <c r="F79" i="24"/>
  <c r="AD79" i="24" s="1"/>
  <c r="N78" i="24"/>
  <c r="AL78" i="24" s="1"/>
  <c r="F78" i="24"/>
  <c r="AD78" i="24" s="1"/>
  <c r="N77" i="24"/>
  <c r="AL77" i="24" s="1"/>
  <c r="F77" i="24"/>
  <c r="AD77" i="24" s="1"/>
  <c r="G76" i="24"/>
  <c r="AE76" i="24" s="1"/>
  <c r="M75" i="24"/>
  <c r="AK75" i="24" s="1"/>
  <c r="L74" i="24"/>
  <c r="AJ74" i="24" s="1"/>
  <c r="F74" i="24"/>
  <c r="AD74" i="24" s="1"/>
  <c r="J73" i="24"/>
  <c r="AH73" i="24" s="1"/>
  <c r="N72" i="24"/>
  <c r="AL72" i="24" s="1"/>
  <c r="H72" i="24"/>
  <c r="AF72" i="24" s="1"/>
  <c r="L71" i="24"/>
  <c r="AJ71" i="24" s="1"/>
  <c r="G71" i="24"/>
  <c r="AE71" i="24" s="1"/>
  <c r="N70" i="24"/>
  <c r="AL70" i="24" s="1"/>
  <c r="I70" i="24"/>
  <c r="AG70" i="24" s="1"/>
  <c r="L69" i="24"/>
  <c r="AJ69" i="24" s="1"/>
  <c r="F69" i="24"/>
  <c r="AD69" i="24" s="1"/>
  <c r="J68" i="24"/>
  <c r="AH68" i="24" s="1"/>
  <c r="M67" i="24"/>
  <c r="AK67" i="24" s="1"/>
  <c r="G67" i="24"/>
  <c r="AE67" i="24" s="1"/>
  <c r="K66" i="24"/>
  <c r="AI66" i="24" s="1"/>
  <c r="F66" i="24"/>
  <c r="AD66" i="24" s="1"/>
  <c r="I65" i="24"/>
  <c r="AG65" i="24" s="1"/>
  <c r="L64" i="24"/>
  <c r="AJ64" i="24" s="1"/>
  <c r="F64" i="24"/>
  <c r="AD64" i="24" s="1"/>
  <c r="K63" i="24"/>
  <c r="AI63" i="24" s="1"/>
  <c r="G63" i="24"/>
  <c r="AE63" i="24" s="1"/>
  <c r="L62" i="24"/>
  <c r="AJ62" i="24" s="1"/>
  <c r="H62" i="24"/>
  <c r="AF62" i="24" s="1"/>
  <c r="L61" i="24"/>
  <c r="AJ61" i="24" s="1"/>
  <c r="H61" i="24"/>
  <c r="AF61" i="24" s="1"/>
  <c r="M60" i="24"/>
  <c r="AK60" i="24" s="1"/>
  <c r="I60" i="24"/>
  <c r="AG60" i="24" s="1"/>
  <c r="M59" i="24"/>
  <c r="AK59" i="24" s="1"/>
  <c r="I59" i="24"/>
  <c r="AG59" i="24" s="1"/>
  <c r="N58" i="24"/>
  <c r="AL58" i="24" s="1"/>
  <c r="J58" i="24"/>
  <c r="AH58" i="24" s="1"/>
  <c r="F58" i="24"/>
  <c r="AD58" i="24" s="1"/>
  <c r="K57" i="24"/>
  <c r="AI57" i="24" s="1"/>
  <c r="G57" i="24"/>
  <c r="AE57" i="24" s="1"/>
  <c r="L56" i="24"/>
  <c r="AJ56" i="24" s="1"/>
  <c r="H56" i="24"/>
  <c r="AF56" i="24" s="1"/>
  <c r="M55" i="24"/>
  <c r="AK55" i="24" s="1"/>
  <c r="I55" i="24"/>
  <c r="AG55" i="24" s="1"/>
  <c r="N54" i="24"/>
  <c r="AL54" i="24" s="1"/>
  <c r="J54" i="24"/>
  <c r="AH54" i="24" s="1"/>
  <c r="F54" i="24"/>
  <c r="AD54" i="24" s="1"/>
  <c r="L53" i="24"/>
  <c r="AJ53" i="24" s="1"/>
  <c r="H53" i="24"/>
  <c r="AF53" i="24" s="1"/>
  <c r="M52" i="24"/>
  <c r="AK52" i="24" s="1"/>
  <c r="I52" i="24"/>
  <c r="AG52" i="24" s="1"/>
  <c r="M51" i="24"/>
  <c r="AK51" i="24" s="1"/>
  <c r="I51" i="24"/>
  <c r="AG51" i="24" s="1"/>
  <c r="N50" i="24"/>
  <c r="AL50" i="24" s="1"/>
  <c r="J50" i="24"/>
  <c r="AH50" i="24" s="1"/>
  <c r="F50" i="24"/>
  <c r="AD50" i="24" s="1"/>
  <c r="K49" i="24"/>
  <c r="AI49" i="24" s="1"/>
  <c r="G49" i="24"/>
  <c r="AE49" i="24" s="1"/>
  <c r="L48" i="24"/>
  <c r="AJ48" i="24" s="1"/>
  <c r="H48" i="24"/>
  <c r="AF48" i="24" s="1"/>
  <c r="M47" i="24"/>
  <c r="AK47" i="24" s="1"/>
  <c r="I47" i="24"/>
  <c r="AG47" i="24" s="1"/>
  <c r="N46" i="24"/>
  <c r="AL46" i="24" s="1"/>
  <c r="J46" i="24"/>
  <c r="AH46" i="24" s="1"/>
  <c r="F46" i="24"/>
  <c r="AD46" i="24" s="1"/>
  <c r="K45" i="24"/>
  <c r="AI45" i="24" s="1"/>
  <c r="G45" i="24"/>
  <c r="AE45" i="24" s="1"/>
  <c r="K44" i="24"/>
  <c r="AI44" i="24" s="1"/>
  <c r="G44" i="24"/>
  <c r="AE44" i="24" s="1"/>
  <c r="K43" i="24"/>
  <c r="AI43" i="24" s="1"/>
  <c r="G43" i="24"/>
  <c r="AE43" i="24" s="1"/>
  <c r="K42" i="24"/>
  <c r="AI42" i="24" s="1"/>
  <c r="G42" i="24"/>
  <c r="AE42" i="24" s="1"/>
  <c r="K41" i="24"/>
  <c r="AI41" i="24" s="1"/>
  <c r="G41" i="24"/>
  <c r="AE41" i="24" s="1"/>
  <c r="L40" i="24"/>
  <c r="AJ40" i="24" s="1"/>
  <c r="H40" i="24"/>
  <c r="AF40" i="24" s="1"/>
  <c r="L39" i="24"/>
  <c r="AJ39" i="24" s="1"/>
  <c r="H39" i="24"/>
  <c r="AF39" i="24" s="1"/>
  <c r="N38" i="24"/>
  <c r="AL38" i="24" s="1"/>
  <c r="J38" i="24"/>
  <c r="AH38" i="24" s="1"/>
  <c r="F38" i="24"/>
  <c r="AD38" i="24" s="1"/>
  <c r="K37" i="24"/>
  <c r="AI37" i="24" s="1"/>
  <c r="G37" i="24"/>
  <c r="AE37" i="24" s="1"/>
  <c r="K36" i="24"/>
  <c r="AI36" i="24" s="1"/>
  <c r="G36" i="24"/>
  <c r="AE36" i="24" s="1"/>
  <c r="K35" i="24"/>
  <c r="AI35" i="24" s="1"/>
  <c r="G35" i="24"/>
  <c r="AE35" i="24" s="1"/>
  <c r="K34" i="24"/>
  <c r="AI34" i="24" s="1"/>
  <c r="G34" i="24"/>
  <c r="AE34" i="24" s="1"/>
  <c r="L33" i="24"/>
  <c r="AJ33" i="24" s="1"/>
  <c r="H33" i="24"/>
  <c r="AF33" i="24" s="1"/>
  <c r="M32" i="24"/>
  <c r="AK32" i="24" s="1"/>
  <c r="I32" i="24"/>
  <c r="AG32" i="24" s="1"/>
  <c r="N31" i="24"/>
  <c r="AL31" i="24" s="1"/>
  <c r="J31" i="24"/>
  <c r="AH31" i="24" s="1"/>
  <c r="F31" i="24"/>
  <c r="AD31" i="24" s="1"/>
  <c r="N30" i="24"/>
  <c r="AL30" i="24" s="1"/>
  <c r="J30" i="24"/>
  <c r="AH30" i="24" s="1"/>
  <c r="F30" i="24"/>
  <c r="AD30" i="24" s="1"/>
  <c r="N29" i="24"/>
  <c r="AL29" i="24" s="1"/>
  <c r="J29" i="24"/>
  <c r="AH29" i="24" s="1"/>
  <c r="F29" i="24"/>
  <c r="AD29" i="24" s="1"/>
  <c r="N28" i="24"/>
  <c r="AL28" i="24" s="1"/>
  <c r="J28" i="24"/>
  <c r="AH28" i="24" s="1"/>
  <c r="F28" i="24"/>
  <c r="AD28" i="24" s="1"/>
  <c r="K27" i="24"/>
  <c r="AI27" i="24" s="1"/>
  <c r="G27" i="24"/>
  <c r="AE27" i="24" s="1"/>
  <c r="K26" i="24"/>
  <c r="AI26" i="24" s="1"/>
  <c r="G26" i="24"/>
  <c r="AE26" i="24" s="1"/>
  <c r="K25" i="24"/>
  <c r="AI25" i="24" s="1"/>
  <c r="G25" i="24"/>
  <c r="AE25" i="24" s="1"/>
  <c r="L24" i="24"/>
  <c r="AJ24" i="24" s="1"/>
  <c r="H24" i="24"/>
  <c r="AF24" i="24" s="1"/>
  <c r="L23" i="24"/>
  <c r="AJ23" i="24" s="1"/>
  <c r="H23" i="24"/>
  <c r="AF23" i="24" s="1"/>
  <c r="L22" i="24"/>
  <c r="AJ22" i="24" s="1"/>
  <c r="H22" i="24"/>
  <c r="AF22" i="24" s="1"/>
  <c r="L21" i="24"/>
  <c r="AJ21" i="24" s="1"/>
  <c r="H21" i="24"/>
  <c r="AF21" i="24" s="1"/>
  <c r="M20" i="24"/>
  <c r="AK20" i="24" s="1"/>
  <c r="I20" i="24"/>
  <c r="AG20" i="24" s="1"/>
  <c r="N19" i="24"/>
  <c r="AL19" i="24" s="1"/>
  <c r="J19" i="24"/>
  <c r="AH19" i="24" s="1"/>
  <c r="F19" i="24"/>
  <c r="AD19" i="24" s="1"/>
  <c r="K18" i="24"/>
  <c r="AI18" i="24" s="1"/>
  <c r="G18" i="24"/>
  <c r="AE18" i="24" s="1"/>
  <c r="L17" i="24"/>
  <c r="AJ17" i="24" s="1"/>
  <c r="H17" i="24"/>
  <c r="AF17" i="24" s="1"/>
  <c r="N16" i="24"/>
  <c r="AL16" i="24" s="1"/>
  <c r="J16" i="24"/>
  <c r="AH16" i="24" s="1"/>
  <c r="F16" i="24"/>
  <c r="AD16" i="24" s="1"/>
  <c r="K15" i="24"/>
  <c r="AI15" i="24" s="1"/>
  <c r="G15" i="24"/>
  <c r="AE15" i="24" s="1"/>
  <c r="F102" i="24"/>
  <c r="AD102" i="24" s="1"/>
  <c r="I99" i="24"/>
  <c r="AG99" i="24" s="1"/>
  <c r="N98" i="24"/>
  <c r="AL98" i="24" s="1"/>
  <c r="G97" i="24"/>
  <c r="AE97" i="24" s="1"/>
  <c r="L96" i="24"/>
  <c r="AJ96" i="24" s="1"/>
  <c r="J94" i="24"/>
  <c r="AH94" i="24" s="1"/>
  <c r="H92" i="24"/>
  <c r="AF92" i="24" s="1"/>
  <c r="M91" i="24"/>
  <c r="AK91" i="24" s="1"/>
  <c r="K89" i="24"/>
  <c r="AI89" i="24" s="1"/>
  <c r="J88" i="24"/>
  <c r="AH88" i="24" s="1"/>
  <c r="J87" i="24"/>
  <c r="AH87" i="24" s="1"/>
  <c r="K86" i="24"/>
  <c r="AI86" i="24" s="1"/>
  <c r="I85" i="24"/>
  <c r="AG85" i="24" s="1"/>
  <c r="G84" i="24"/>
  <c r="AE84" i="24" s="1"/>
  <c r="M83" i="24"/>
  <c r="AK83" i="24" s="1"/>
  <c r="L82" i="24"/>
  <c r="AJ82" i="24" s="1"/>
  <c r="L81" i="24"/>
  <c r="AJ81" i="24" s="1"/>
  <c r="L80" i="24"/>
  <c r="AJ80" i="24" s="1"/>
  <c r="L79" i="24"/>
  <c r="AJ79" i="24" s="1"/>
  <c r="L78" i="24"/>
  <c r="AJ78" i="24" s="1"/>
  <c r="L77" i="24"/>
  <c r="AJ77" i="24" s="1"/>
  <c r="M76" i="24"/>
  <c r="AK76" i="24" s="1"/>
  <c r="K75" i="24"/>
  <c r="AI75" i="24" s="1"/>
  <c r="J74" i="24"/>
  <c r="AH74" i="24" s="1"/>
  <c r="N73" i="24"/>
  <c r="AL73" i="24" s="1"/>
  <c r="I73" i="24"/>
  <c r="AG73" i="24" s="1"/>
  <c r="L72" i="24"/>
  <c r="AJ72" i="24" s="1"/>
  <c r="G72" i="24"/>
  <c r="AE72" i="24" s="1"/>
  <c r="K71" i="24"/>
  <c r="AI71" i="24" s="1"/>
  <c r="M70" i="24"/>
  <c r="AK70" i="24" s="1"/>
  <c r="H70" i="24"/>
  <c r="AF70" i="24" s="1"/>
  <c r="J69" i="24"/>
  <c r="AH69" i="24" s="1"/>
  <c r="N68" i="24"/>
  <c r="AL68" i="24" s="1"/>
  <c r="I68" i="24"/>
  <c r="AG68" i="24" s="1"/>
  <c r="K67" i="24"/>
  <c r="AI67" i="24" s="1"/>
  <c r="F67" i="24"/>
  <c r="AD67" i="24" s="1"/>
  <c r="J66" i="24"/>
  <c r="AH66" i="24" s="1"/>
  <c r="M65" i="24"/>
  <c r="AK65" i="24" s="1"/>
  <c r="H65" i="24"/>
  <c r="AF65" i="24" s="1"/>
  <c r="J64" i="24"/>
  <c r="AH64" i="24" s="1"/>
  <c r="N63" i="24"/>
  <c r="AL63" i="24" s="1"/>
  <c r="J63" i="24"/>
  <c r="AH63" i="24" s="1"/>
  <c r="F63" i="24"/>
  <c r="AD63" i="24" s="1"/>
  <c r="K62" i="24"/>
  <c r="AI62" i="24" s="1"/>
  <c r="G62" i="24"/>
  <c r="AE62" i="24" s="1"/>
  <c r="K61" i="24"/>
  <c r="AI61" i="24" s="1"/>
  <c r="G61" i="24"/>
  <c r="AE61" i="24" s="1"/>
  <c r="L60" i="24"/>
  <c r="AJ60" i="24" s="1"/>
  <c r="H60" i="24"/>
  <c r="AF60" i="24" s="1"/>
  <c r="L59" i="24"/>
  <c r="AJ59" i="24" s="1"/>
  <c r="H59" i="24"/>
  <c r="AF59" i="24" s="1"/>
  <c r="M58" i="24"/>
  <c r="AK58" i="24" s="1"/>
  <c r="I58" i="24"/>
  <c r="AG58" i="24" s="1"/>
  <c r="N57" i="24"/>
  <c r="AL57" i="24" s="1"/>
  <c r="J57" i="24"/>
  <c r="AH57" i="24" s="1"/>
  <c r="F57" i="24"/>
  <c r="AD57" i="24" s="1"/>
  <c r="K56" i="24"/>
  <c r="AI56" i="24" s="1"/>
  <c r="G56" i="24"/>
  <c r="AE56" i="24" s="1"/>
  <c r="L55" i="24"/>
  <c r="AJ55" i="24" s="1"/>
  <c r="H55" i="24"/>
  <c r="AF55" i="24" s="1"/>
  <c r="M54" i="24"/>
  <c r="AK54" i="24" s="1"/>
  <c r="I54" i="24"/>
  <c r="AG54" i="24" s="1"/>
  <c r="K53" i="24"/>
  <c r="AI53" i="24" s="1"/>
  <c r="G53" i="24"/>
  <c r="AE53" i="24" s="1"/>
  <c r="L52" i="24"/>
  <c r="AJ52" i="24" s="1"/>
  <c r="H52" i="24"/>
  <c r="AF52" i="24" s="1"/>
  <c r="L51" i="24"/>
  <c r="AJ51" i="24" s="1"/>
  <c r="H51" i="24"/>
  <c r="AF51" i="24" s="1"/>
  <c r="M50" i="24"/>
  <c r="AK50" i="24" s="1"/>
  <c r="I50" i="24"/>
  <c r="AG50" i="24" s="1"/>
  <c r="N49" i="24"/>
  <c r="AL49" i="24" s="1"/>
  <c r="J49" i="24"/>
  <c r="AH49" i="24" s="1"/>
  <c r="F49" i="24"/>
  <c r="AD49" i="24" s="1"/>
  <c r="K48" i="24"/>
  <c r="AI48" i="24" s="1"/>
  <c r="G48" i="24"/>
  <c r="AE48" i="24" s="1"/>
  <c r="L47" i="24"/>
  <c r="AJ47" i="24" s="1"/>
  <c r="H47" i="24"/>
  <c r="AF47" i="24" s="1"/>
  <c r="M46" i="24"/>
  <c r="AK46" i="24" s="1"/>
  <c r="I46" i="24"/>
  <c r="AG46" i="24" s="1"/>
  <c r="N45" i="24"/>
  <c r="AL45" i="24" s="1"/>
  <c r="J45" i="24"/>
  <c r="AH45" i="24" s="1"/>
  <c r="F45" i="24"/>
  <c r="AD45" i="24" s="1"/>
  <c r="N44" i="24"/>
  <c r="AL44" i="24" s="1"/>
  <c r="J44" i="24"/>
  <c r="AH44" i="24" s="1"/>
  <c r="F44" i="24"/>
  <c r="AD44" i="24" s="1"/>
  <c r="N43" i="24"/>
  <c r="AL43" i="24" s="1"/>
  <c r="J43" i="24"/>
  <c r="AH43" i="24" s="1"/>
  <c r="F43" i="24"/>
  <c r="AD43" i="24" s="1"/>
  <c r="N42" i="24"/>
  <c r="AL42" i="24" s="1"/>
  <c r="J42" i="24"/>
  <c r="AH42" i="24" s="1"/>
  <c r="F42" i="24"/>
  <c r="AD42" i="24" s="1"/>
  <c r="N41" i="24"/>
  <c r="AL41" i="24" s="1"/>
  <c r="J41" i="24"/>
  <c r="AH41" i="24" s="1"/>
  <c r="F41" i="24"/>
  <c r="AD41" i="24" s="1"/>
  <c r="K40" i="24"/>
  <c r="AI40" i="24" s="1"/>
  <c r="G40" i="24"/>
  <c r="AE40" i="24" s="1"/>
  <c r="K39" i="24"/>
  <c r="AI39" i="24" s="1"/>
  <c r="G39" i="24"/>
  <c r="AE39" i="24" s="1"/>
  <c r="M38" i="24"/>
  <c r="AK38" i="24" s="1"/>
  <c r="I38" i="24"/>
  <c r="AG38" i="24" s="1"/>
  <c r="N37" i="24"/>
  <c r="AL37" i="24" s="1"/>
  <c r="J37" i="24"/>
  <c r="AH37" i="24" s="1"/>
  <c r="F37" i="24"/>
  <c r="AD37" i="24" s="1"/>
  <c r="N36" i="24"/>
  <c r="AL36" i="24" s="1"/>
  <c r="J36" i="24"/>
  <c r="AH36" i="24" s="1"/>
  <c r="F36" i="24"/>
  <c r="AD36" i="24" s="1"/>
  <c r="N35" i="24"/>
  <c r="AL35" i="24" s="1"/>
  <c r="J35" i="24"/>
  <c r="AH35" i="24" s="1"/>
  <c r="F35" i="24"/>
  <c r="AD35" i="24" s="1"/>
  <c r="N34" i="24"/>
  <c r="AL34" i="24" s="1"/>
  <c r="J34" i="24"/>
  <c r="AH34" i="24" s="1"/>
  <c r="F34" i="24"/>
  <c r="AD34" i="24" s="1"/>
  <c r="K33" i="24"/>
  <c r="AI33" i="24" s="1"/>
  <c r="G33" i="24"/>
  <c r="AE33" i="24" s="1"/>
  <c r="L32" i="24"/>
  <c r="AJ32" i="24" s="1"/>
  <c r="H32" i="24"/>
  <c r="AF32" i="24" s="1"/>
  <c r="M31" i="24"/>
  <c r="AK31" i="24" s="1"/>
  <c r="I31" i="24"/>
  <c r="AG31" i="24" s="1"/>
  <c r="M30" i="24"/>
  <c r="AK30" i="24" s="1"/>
  <c r="I30" i="24"/>
  <c r="AG30" i="24" s="1"/>
  <c r="M29" i="24"/>
  <c r="AK29" i="24" s="1"/>
  <c r="I29" i="24"/>
  <c r="AG29" i="24" s="1"/>
  <c r="M28" i="24"/>
  <c r="AK28" i="24" s="1"/>
  <c r="I28" i="24"/>
  <c r="AG28" i="24" s="1"/>
  <c r="N27" i="24"/>
  <c r="AL27" i="24" s="1"/>
  <c r="J27" i="24"/>
  <c r="AH27" i="24" s="1"/>
  <c r="F27" i="24"/>
  <c r="AD27" i="24" s="1"/>
  <c r="N26" i="24"/>
  <c r="AL26" i="24" s="1"/>
  <c r="J26" i="24"/>
  <c r="AH26" i="24" s="1"/>
  <c r="F26" i="24"/>
  <c r="AD26" i="24" s="1"/>
  <c r="N25" i="24"/>
  <c r="AL25" i="24" s="1"/>
  <c r="J25" i="24"/>
  <c r="AH25" i="24" s="1"/>
  <c r="F25" i="24"/>
  <c r="AD25" i="24" s="1"/>
  <c r="K24" i="24"/>
  <c r="AI24" i="24" s="1"/>
  <c r="G24" i="24"/>
  <c r="AE24" i="24" s="1"/>
  <c r="K23" i="24"/>
  <c r="AI23" i="24" s="1"/>
  <c r="G23" i="24"/>
  <c r="AE23" i="24" s="1"/>
  <c r="K22" i="24"/>
  <c r="AI22" i="24" s="1"/>
  <c r="G22" i="24"/>
  <c r="AE22" i="24" s="1"/>
  <c r="K21" i="24"/>
  <c r="AI21" i="24" s="1"/>
  <c r="G21" i="24"/>
  <c r="AE21" i="24" s="1"/>
  <c r="L20" i="24"/>
  <c r="AJ20" i="24" s="1"/>
  <c r="H20" i="24"/>
  <c r="AF20" i="24" s="1"/>
  <c r="M19" i="24"/>
  <c r="AK19" i="24" s="1"/>
  <c r="I19" i="24"/>
  <c r="AG19" i="24" s="1"/>
  <c r="N18" i="24"/>
  <c r="AL18" i="24" s="1"/>
  <c r="J18" i="24"/>
  <c r="AH18" i="24" s="1"/>
  <c r="F18" i="24"/>
  <c r="AD18" i="24" s="1"/>
  <c r="K17" i="24"/>
  <c r="AI17" i="24" s="1"/>
  <c r="G17" i="24"/>
  <c r="AE17" i="24" s="1"/>
  <c r="M16" i="24"/>
  <c r="AK16" i="24" s="1"/>
  <c r="I16" i="24"/>
  <c r="AG16" i="24" s="1"/>
  <c r="N15" i="24"/>
  <c r="AL15" i="24" s="1"/>
  <c r="J15" i="24"/>
  <c r="AH15" i="24" s="1"/>
  <c r="F15" i="24"/>
  <c r="AD15" i="24" s="1"/>
  <c r="N14" i="24"/>
  <c r="AL14" i="24" s="1"/>
  <c r="M95" i="24"/>
  <c r="AK95" i="24" s="1"/>
  <c r="G86" i="24"/>
  <c r="AE86" i="24" s="1"/>
  <c r="M85" i="24"/>
  <c r="AK85" i="24" s="1"/>
  <c r="K84" i="24"/>
  <c r="AI84" i="24" s="1"/>
  <c r="I83" i="24"/>
  <c r="AG83" i="24" s="1"/>
  <c r="H82" i="24"/>
  <c r="AF82" i="24" s="1"/>
  <c r="H81" i="24"/>
  <c r="AF81" i="24" s="1"/>
  <c r="H80" i="24"/>
  <c r="AF80" i="24" s="1"/>
  <c r="H79" i="24"/>
  <c r="AF79" i="24" s="1"/>
  <c r="H78" i="24"/>
  <c r="AF78" i="24" s="1"/>
  <c r="H77" i="24"/>
  <c r="AF77" i="24" s="1"/>
  <c r="I76" i="24"/>
  <c r="AG76" i="24" s="1"/>
  <c r="G75" i="24"/>
  <c r="AE75" i="24" s="1"/>
  <c r="N74" i="24"/>
  <c r="AL74" i="24" s="1"/>
  <c r="H71" i="24"/>
  <c r="AF71" i="24" s="1"/>
  <c r="J70" i="24"/>
  <c r="AH70" i="24" s="1"/>
  <c r="M69" i="24"/>
  <c r="AK69" i="24" s="1"/>
  <c r="G66" i="24"/>
  <c r="AE66" i="24" s="1"/>
  <c r="K65" i="24"/>
  <c r="AI65" i="24" s="1"/>
  <c r="M64" i="24"/>
  <c r="AK64" i="24" s="1"/>
  <c r="I61" i="24"/>
  <c r="AG61" i="24" s="1"/>
  <c r="N60" i="24"/>
  <c r="AL60" i="24" s="1"/>
  <c r="F59" i="24"/>
  <c r="AD59" i="24" s="1"/>
  <c r="I56" i="24"/>
  <c r="AG56" i="24" s="1"/>
  <c r="N55" i="24"/>
  <c r="AL55" i="24" s="1"/>
  <c r="G54" i="24"/>
  <c r="AE54" i="24" s="1"/>
  <c r="M53" i="24"/>
  <c r="AK53" i="24" s="1"/>
  <c r="J51" i="24"/>
  <c r="AH51" i="24" s="1"/>
  <c r="H49" i="24"/>
  <c r="AF49" i="24" s="1"/>
  <c r="M48" i="24"/>
  <c r="AK48" i="24" s="1"/>
  <c r="K46" i="24"/>
  <c r="AI46" i="24" s="1"/>
  <c r="H43" i="24"/>
  <c r="AF43" i="24" s="1"/>
  <c r="L42" i="24"/>
  <c r="AJ42" i="24" s="1"/>
  <c r="I39" i="24"/>
  <c r="AG39" i="24" s="1"/>
  <c r="H36" i="24"/>
  <c r="AF36" i="24" s="1"/>
  <c r="L35" i="24"/>
  <c r="AJ35" i="24" s="1"/>
  <c r="J32" i="24"/>
  <c r="AH32" i="24" s="1"/>
  <c r="G30" i="24"/>
  <c r="AE30" i="24" s="1"/>
  <c r="K29" i="24"/>
  <c r="AI29" i="24" s="1"/>
  <c r="H26" i="24"/>
  <c r="AF26" i="24" s="1"/>
  <c r="L25" i="24"/>
  <c r="AJ25" i="24" s="1"/>
  <c r="I22" i="24"/>
  <c r="AG22" i="24" s="1"/>
  <c r="M21" i="24"/>
  <c r="AK21" i="24" s="1"/>
  <c r="K19" i="24"/>
  <c r="AI19" i="24" s="1"/>
  <c r="K16" i="24"/>
  <c r="AI16" i="24" s="1"/>
  <c r="L14" i="24"/>
  <c r="AJ14" i="24" s="1"/>
  <c r="H14" i="24"/>
  <c r="AF14" i="24" s="1"/>
  <c r="L13" i="24"/>
  <c r="AJ13" i="24" s="1"/>
  <c r="H13" i="24"/>
  <c r="AF13" i="24" s="1"/>
  <c r="M12" i="24"/>
  <c r="AK12" i="24" s="1"/>
  <c r="I12" i="24"/>
  <c r="AG12" i="24" s="1"/>
  <c r="M11" i="24"/>
  <c r="AK11" i="24" s="1"/>
  <c r="I11" i="24"/>
  <c r="AG11" i="24" s="1"/>
  <c r="M10" i="24"/>
  <c r="AK10" i="24" s="1"/>
  <c r="I10" i="24"/>
  <c r="AG10" i="24" s="1"/>
  <c r="N9" i="24"/>
  <c r="AL9" i="24" s="1"/>
  <c r="J9" i="24"/>
  <c r="AH9" i="24" s="1"/>
  <c r="F9" i="24"/>
  <c r="AD9" i="24" s="1"/>
  <c r="K8" i="24"/>
  <c r="AI8" i="24" s="1"/>
  <c r="G8" i="24"/>
  <c r="AE8" i="24" s="1"/>
  <c r="L7" i="24"/>
  <c r="AJ7" i="24" s="1"/>
  <c r="H7" i="24"/>
  <c r="AF7" i="24" s="1"/>
  <c r="L6" i="24"/>
  <c r="AJ6" i="24" s="1"/>
  <c r="H6" i="24"/>
  <c r="AF6" i="24" s="1"/>
  <c r="M5" i="24"/>
  <c r="AK5" i="24" s="1"/>
  <c r="I5" i="24"/>
  <c r="AG5" i="24" s="1"/>
  <c r="N4" i="24"/>
  <c r="AL4" i="24" s="1"/>
  <c r="J4" i="24"/>
  <c r="AH4" i="24" s="1"/>
  <c r="F4" i="24"/>
  <c r="AD4" i="24" s="1"/>
  <c r="K3" i="24"/>
  <c r="G3" i="24"/>
  <c r="F98" i="24"/>
  <c r="AD98" i="24" s="1"/>
  <c r="J90" i="24"/>
  <c r="AH90" i="24" s="1"/>
  <c r="G89" i="24"/>
  <c r="AE89" i="24" s="1"/>
  <c r="N88" i="24"/>
  <c r="AL88" i="24" s="1"/>
  <c r="H74" i="24"/>
  <c r="AF74" i="24" s="1"/>
  <c r="K73" i="24"/>
  <c r="AI73" i="24" s="1"/>
  <c r="H69" i="24"/>
  <c r="AF69" i="24" s="1"/>
  <c r="K68" i="24"/>
  <c r="AI68" i="24" s="1"/>
  <c r="H64" i="24"/>
  <c r="AF64" i="24" s="1"/>
  <c r="L63" i="24"/>
  <c r="AJ63" i="24" s="1"/>
  <c r="J60" i="24"/>
  <c r="AH60" i="24" s="1"/>
  <c r="K58" i="24"/>
  <c r="AI58" i="24" s="1"/>
  <c r="J55" i="24"/>
  <c r="AH55" i="24" s="1"/>
  <c r="I53" i="24"/>
  <c r="AG53" i="24" s="1"/>
  <c r="N52" i="24"/>
  <c r="AL52" i="24" s="1"/>
  <c r="F51" i="24"/>
  <c r="AD51" i="24" s="1"/>
  <c r="I48" i="24"/>
  <c r="AG48" i="24" s="1"/>
  <c r="N47" i="24"/>
  <c r="AL47" i="24" s="1"/>
  <c r="G46" i="24"/>
  <c r="AE46" i="24" s="1"/>
  <c r="L45" i="24"/>
  <c r="AJ45" i="24" s="1"/>
  <c r="H42" i="24"/>
  <c r="AF42" i="24" s="1"/>
  <c r="L41" i="24"/>
  <c r="AJ41" i="24" s="1"/>
  <c r="K38" i="24"/>
  <c r="AI38" i="24" s="1"/>
  <c r="H35" i="24"/>
  <c r="AF35" i="24" s="1"/>
  <c r="L34" i="24"/>
  <c r="AJ34" i="24" s="1"/>
  <c r="F32" i="24"/>
  <c r="AD32" i="24" s="1"/>
  <c r="G29" i="24"/>
  <c r="AE29" i="24" s="1"/>
  <c r="K28" i="24"/>
  <c r="AI28" i="24" s="1"/>
  <c r="H25" i="24"/>
  <c r="AF25" i="24" s="1"/>
  <c r="M24" i="24"/>
  <c r="AK24" i="24" s="1"/>
  <c r="I21" i="24"/>
  <c r="AG21" i="24" s="1"/>
  <c r="N20" i="24"/>
  <c r="AL20" i="24" s="1"/>
  <c r="G19" i="24"/>
  <c r="AE19" i="24" s="1"/>
  <c r="L18" i="24"/>
  <c r="AJ18" i="24" s="1"/>
  <c r="G16" i="24"/>
  <c r="AE16" i="24" s="1"/>
  <c r="L15" i="24"/>
  <c r="AJ15" i="24" s="1"/>
  <c r="K14" i="24"/>
  <c r="AI14" i="24" s="1"/>
  <c r="G14" i="24"/>
  <c r="AE14" i="24" s="1"/>
  <c r="K13" i="24"/>
  <c r="AI13" i="24" s="1"/>
  <c r="G13" i="24"/>
  <c r="AE13" i="24" s="1"/>
  <c r="L12" i="24"/>
  <c r="AJ12" i="24" s="1"/>
  <c r="H12" i="24"/>
  <c r="AF12" i="24" s="1"/>
  <c r="L11" i="24"/>
  <c r="AJ11" i="24" s="1"/>
  <c r="H11" i="24"/>
  <c r="AF11" i="24" s="1"/>
  <c r="L10" i="24"/>
  <c r="AJ10" i="24" s="1"/>
  <c r="H10" i="24"/>
  <c r="AF10" i="24" s="1"/>
  <c r="M9" i="24"/>
  <c r="AK9" i="24" s="1"/>
  <c r="I9" i="24"/>
  <c r="AG9" i="24" s="1"/>
  <c r="N8" i="24"/>
  <c r="AL8" i="24" s="1"/>
  <c r="J8" i="24"/>
  <c r="AH8" i="24" s="1"/>
  <c r="F8" i="24"/>
  <c r="AD8" i="24" s="1"/>
  <c r="K7" i="24"/>
  <c r="AI7" i="24" s="1"/>
  <c r="G7" i="24"/>
  <c r="AE7" i="24" s="1"/>
  <c r="K6" i="24"/>
  <c r="AI6" i="24" s="1"/>
  <c r="G6" i="24"/>
  <c r="AE6" i="24" s="1"/>
  <c r="L5" i="24"/>
  <c r="AJ5" i="24" s="1"/>
  <c r="H5" i="24"/>
  <c r="AF5" i="24" s="1"/>
  <c r="M4" i="24"/>
  <c r="AK4" i="24" s="1"/>
  <c r="I4" i="24"/>
  <c r="AG4" i="24" s="1"/>
  <c r="N3" i="24"/>
  <c r="J3" i="24"/>
  <c r="F3" i="24"/>
  <c r="G101" i="24"/>
  <c r="AE101" i="24" s="1"/>
  <c r="L100" i="24"/>
  <c r="AJ100" i="24" s="1"/>
  <c r="F88" i="24"/>
  <c r="AD88" i="24" s="1"/>
  <c r="N87" i="24"/>
  <c r="AL87" i="24" s="1"/>
  <c r="F73" i="24"/>
  <c r="AD73" i="24" s="1"/>
  <c r="F68" i="24"/>
  <c r="AD68" i="24" s="1"/>
  <c r="N67" i="24"/>
  <c r="AL67" i="24" s="1"/>
  <c r="H63" i="24"/>
  <c r="AF63" i="24" s="1"/>
  <c r="M62" i="24"/>
  <c r="AK62" i="24" s="1"/>
  <c r="F60" i="24"/>
  <c r="AD60" i="24" s="1"/>
  <c r="N59" i="24"/>
  <c r="AL59" i="24" s="1"/>
  <c r="G58" i="24"/>
  <c r="AE58" i="24" s="1"/>
  <c r="L57" i="24"/>
  <c r="AJ57" i="24" s="1"/>
  <c r="F55" i="24"/>
  <c r="AD55" i="24" s="1"/>
  <c r="J52" i="24"/>
  <c r="AH52" i="24" s="1"/>
  <c r="K50" i="24"/>
  <c r="AI50" i="24" s="1"/>
  <c r="J47" i="24"/>
  <c r="AH47" i="24" s="1"/>
  <c r="H45" i="24"/>
  <c r="AF45" i="24" s="1"/>
  <c r="L44" i="24"/>
  <c r="AJ44" i="24" s="1"/>
  <c r="H41" i="24"/>
  <c r="AF41" i="24" s="1"/>
  <c r="M40" i="24"/>
  <c r="AK40" i="24" s="1"/>
  <c r="G38" i="24"/>
  <c r="AE38" i="24" s="1"/>
  <c r="L37" i="24"/>
  <c r="AJ37" i="24" s="1"/>
  <c r="H34" i="24"/>
  <c r="AF34" i="24" s="1"/>
  <c r="M33" i="24"/>
  <c r="AK33" i="24" s="1"/>
  <c r="K31" i="24"/>
  <c r="AI31" i="24" s="1"/>
  <c r="G28" i="24"/>
  <c r="AE28" i="24" s="1"/>
  <c r="L27" i="24"/>
  <c r="AJ27" i="24" s="1"/>
  <c r="I24" i="24"/>
  <c r="AG24" i="24" s="1"/>
  <c r="M23" i="24"/>
  <c r="AK23" i="24" s="1"/>
  <c r="J20" i="24"/>
  <c r="AH20" i="24" s="1"/>
  <c r="H18" i="24"/>
  <c r="AF18" i="24" s="1"/>
  <c r="M17" i="24"/>
  <c r="AK17" i="24" s="1"/>
  <c r="I15" i="24"/>
  <c r="AG15" i="24" s="1"/>
  <c r="J14" i="24"/>
  <c r="AH14" i="24" s="1"/>
  <c r="F14" i="24"/>
  <c r="AD14" i="24" s="1"/>
  <c r="N13" i="24"/>
  <c r="AL13" i="24" s="1"/>
  <c r="J13" i="24"/>
  <c r="AH13" i="24" s="1"/>
  <c r="F13" i="24"/>
  <c r="AD13" i="24" s="1"/>
  <c r="K12" i="24"/>
  <c r="AI12" i="24" s="1"/>
  <c r="G12" i="24"/>
  <c r="AE12" i="24" s="1"/>
  <c r="K11" i="24"/>
  <c r="AI11" i="24" s="1"/>
  <c r="G11" i="24"/>
  <c r="AE11" i="24" s="1"/>
  <c r="K10" i="24"/>
  <c r="AI10" i="24" s="1"/>
  <c r="G10" i="24"/>
  <c r="AE10" i="24" s="1"/>
  <c r="L9" i="24"/>
  <c r="AJ9" i="24" s="1"/>
  <c r="H9" i="24"/>
  <c r="AF9" i="24" s="1"/>
  <c r="M8" i="24"/>
  <c r="AK8" i="24" s="1"/>
  <c r="I8" i="24"/>
  <c r="AG8" i="24" s="1"/>
  <c r="N7" i="24"/>
  <c r="AL7" i="24" s="1"/>
  <c r="J7" i="24"/>
  <c r="AH7" i="24" s="1"/>
  <c r="F7" i="24"/>
  <c r="AD7" i="24" s="1"/>
  <c r="N6" i="24"/>
  <c r="AL6" i="24" s="1"/>
  <c r="J6" i="24"/>
  <c r="AH6" i="24" s="1"/>
  <c r="F6" i="24"/>
  <c r="AD6" i="24" s="1"/>
  <c r="K5" i="24"/>
  <c r="AI5" i="24" s="1"/>
  <c r="G5" i="24"/>
  <c r="AE5" i="24" s="1"/>
  <c r="L4" i="24"/>
  <c r="AJ4" i="24" s="1"/>
  <c r="H4" i="24"/>
  <c r="AF4" i="24" s="1"/>
  <c r="M3" i="24"/>
  <c r="I3" i="24"/>
  <c r="K93" i="24"/>
  <c r="AI93" i="24" s="1"/>
  <c r="F87" i="24"/>
  <c r="AD87" i="24" s="1"/>
  <c r="J72" i="24"/>
  <c r="AH72" i="24" s="1"/>
  <c r="M71" i="24"/>
  <c r="AK71" i="24" s="1"/>
  <c r="I67" i="24"/>
  <c r="AG67" i="24" s="1"/>
  <c r="L66" i="24"/>
  <c r="AJ66" i="24" s="1"/>
  <c r="I62" i="24"/>
  <c r="AG62" i="24" s="1"/>
  <c r="M61" i="24"/>
  <c r="AK61" i="24" s="1"/>
  <c r="J59" i="24"/>
  <c r="AH59" i="24" s="1"/>
  <c r="H57" i="24"/>
  <c r="AF57" i="24" s="1"/>
  <c r="M56" i="24"/>
  <c r="AK56" i="24" s="1"/>
  <c r="K54" i="24"/>
  <c r="AI54" i="24" s="1"/>
  <c r="F52" i="24"/>
  <c r="AD52" i="24" s="1"/>
  <c r="N51" i="24"/>
  <c r="AL51" i="24" s="1"/>
  <c r="G50" i="24"/>
  <c r="AE50" i="24" s="1"/>
  <c r="L49" i="24"/>
  <c r="AJ49" i="24" s="1"/>
  <c r="F47" i="24"/>
  <c r="AD47" i="24" s="1"/>
  <c r="H44" i="24"/>
  <c r="AF44" i="24" s="1"/>
  <c r="L43" i="24"/>
  <c r="AJ43" i="24" s="1"/>
  <c r="I40" i="24"/>
  <c r="AG40" i="24" s="1"/>
  <c r="M39" i="24"/>
  <c r="AK39" i="24" s="1"/>
  <c r="H37" i="24"/>
  <c r="AF37" i="24" s="1"/>
  <c r="L36" i="24"/>
  <c r="AJ36" i="24" s="1"/>
  <c r="I33" i="24"/>
  <c r="AG33" i="24" s="1"/>
  <c r="N32" i="24"/>
  <c r="AL32" i="24" s="1"/>
  <c r="G31" i="24"/>
  <c r="AE31" i="24" s="1"/>
  <c r="K30" i="24"/>
  <c r="AI30" i="24" s="1"/>
  <c r="H27" i="24"/>
  <c r="AF27" i="24" s="1"/>
  <c r="L26" i="24"/>
  <c r="AJ26" i="24" s="1"/>
  <c r="I23" i="24"/>
  <c r="AG23" i="24" s="1"/>
  <c r="M22" i="24"/>
  <c r="AK22" i="24" s="1"/>
  <c r="F20" i="24"/>
  <c r="AD20" i="24" s="1"/>
  <c r="I17" i="24"/>
  <c r="AG17" i="24" s="1"/>
  <c r="H15" i="24"/>
  <c r="AF15" i="24" s="1"/>
  <c r="M14" i="24"/>
  <c r="AK14" i="24" s="1"/>
  <c r="I14" i="24"/>
  <c r="AG14" i="24" s="1"/>
  <c r="M13" i="24"/>
  <c r="AK13" i="24" s="1"/>
  <c r="I13" i="24"/>
  <c r="AG13" i="24" s="1"/>
  <c r="N12" i="24"/>
  <c r="AL12" i="24" s="1"/>
  <c r="J12" i="24"/>
  <c r="AH12" i="24" s="1"/>
  <c r="F12" i="24"/>
  <c r="AD12" i="24" s="1"/>
  <c r="N11" i="24"/>
  <c r="AL11" i="24" s="1"/>
  <c r="J11" i="24"/>
  <c r="AH11" i="24" s="1"/>
  <c r="F11" i="24"/>
  <c r="AD11" i="24" s="1"/>
  <c r="N10" i="24"/>
  <c r="AL10" i="24" s="1"/>
  <c r="J10" i="24"/>
  <c r="AH10" i="24" s="1"/>
  <c r="F10" i="24"/>
  <c r="AD10" i="24" s="1"/>
  <c r="K9" i="24"/>
  <c r="AI9" i="24" s="1"/>
  <c r="G9" i="24"/>
  <c r="AE9" i="24" s="1"/>
  <c r="L8" i="24"/>
  <c r="AJ8" i="24" s="1"/>
  <c r="H8" i="24"/>
  <c r="AF8" i="24" s="1"/>
  <c r="M7" i="24"/>
  <c r="AK7" i="24" s="1"/>
  <c r="I7" i="24"/>
  <c r="AG7" i="24" s="1"/>
  <c r="M6" i="24"/>
  <c r="AK6" i="24" s="1"/>
  <c r="I6" i="24"/>
  <c r="AG6" i="24" s="1"/>
  <c r="N5" i="24"/>
  <c r="AL5" i="24" s="1"/>
  <c r="J5" i="24"/>
  <c r="AH5" i="24" s="1"/>
  <c r="F5" i="24"/>
  <c r="AD5" i="24" s="1"/>
  <c r="K4" i="24"/>
  <c r="AI4" i="24" s="1"/>
  <c r="G4" i="24"/>
  <c r="AE4" i="24" s="1"/>
  <c r="L3" i="24"/>
  <c r="H3" i="24"/>
  <c r="N239" i="24" l="1"/>
  <c r="AM3" i="24"/>
  <c r="N51" i="30"/>
  <c r="N54" i="30" s="1"/>
  <c r="N23" i="30"/>
  <c r="N24" i="30"/>
  <c r="D24" i="30" s="1"/>
  <c r="L23" i="30"/>
  <c r="L26" i="30" s="1"/>
  <c r="L28" i="30" s="1"/>
  <c r="H23" i="30"/>
  <c r="H26" i="30" s="1"/>
  <c r="I23" i="30"/>
  <c r="I26" i="30" s="1"/>
  <c r="I28" i="30" s="1"/>
  <c r="E23" i="30"/>
  <c r="E26" i="30" s="1"/>
  <c r="E28" i="30" s="1"/>
  <c r="F23" i="30"/>
  <c r="F26" i="30" s="1"/>
  <c r="G23" i="30"/>
  <c r="G26" i="30" s="1"/>
  <c r="J23" i="30"/>
  <c r="J26" i="30" s="1"/>
  <c r="J28" i="30" s="1"/>
  <c r="K23" i="30"/>
  <c r="K26" i="30" s="1"/>
  <c r="K28" i="30" s="1"/>
  <c r="M23" i="30"/>
  <c r="M26" i="30" s="1"/>
  <c r="M28" i="30" s="1"/>
  <c r="J51" i="30"/>
  <c r="J54" i="30" s="1"/>
  <c r="I51" i="30"/>
  <c r="I54" i="30" s="1"/>
  <c r="L51" i="30"/>
  <c r="L54" i="30" s="1"/>
  <c r="H51" i="30"/>
  <c r="H54" i="30" s="1"/>
  <c r="G51" i="30"/>
  <c r="G54" i="30" s="1"/>
  <c r="K51" i="30"/>
  <c r="K54" i="30" s="1"/>
  <c r="F51" i="30"/>
  <c r="F54" i="30" s="1"/>
  <c r="M51" i="30"/>
  <c r="M54" i="30" s="1"/>
  <c r="G39" i="31"/>
  <c r="J39" i="31" s="1"/>
  <c r="L39" i="31" s="1"/>
  <c r="G18" i="31"/>
  <c r="J18" i="31" s="1"/>
  <c r="L18" i="31" s="1"/>
  <c r="G38" i="31"/>
  <c r="J38" i="31" s="1"/>
  <c r="L38" i="31" s="1"/>
  <c r="G7" i="31"/>
  <c r="J7" i="31" s="1"/>
  <c r="L7" i="31" s="1"/>
  <c r="G6" i="31"/>
  <c r="J6" i="31" s="1"/>
  <c r="L6" i="31" s="1"/>
  <c r="G34" i="31"/>
  <c r="J34" i="31" s="1"/>
  <c r="L34" i="31" s="1"/>
  <c r="G29" i="31"/>
  <c r="J29" i="31" s="1"/>
  <c r="L29" i="31" s="1"/>
  <c r="G37" i="31"/>
  <c r="J37" i="31" s="1"/>
  <c r="L37" i="31" s="1"/>
  <c r="G15" i="31"/>
  <c r="J15" i="31" s="1"/>
  <c r="G5" i="31"/>
  <c r="J5" i="31" s="1"/>
  <c r="L5" i="31" s="1"/>
  <c r="G11" i="31"/>
  <c r="J11" i="31" s="1"/>
  <c r="L11" i="31" s="1"/>
  <c r="G12" i="31"/>
  <c r="J12" i="31" s="1"/>
  <c r="L12" i="31" s="1"/>
  <c r="G31" i="31"/>
  <c r="J31" i="31" s="1"/>
  <c r="L31" i="31" s="1"/>
  <c r="G27" i="31"/>
  <c r="J27" i="31" s="1"/>
  <c r="L27" i="31" s="1"/>
  <c r="P15" i="10"/>
  <c r="G26" i="31"/>
  <c r="J26" i="31" s="1"/>
  <c r="L26" i="31" s="1"/>
  <c r="G14" i="31"/>
  <c r="J14" i="31" s="1"/>
  <c r="L14" i="31" s="1"/>
  <c r="G9" i="31"/>
  <c r="J9" i="31" s="1"/>
  <c r="L9" i="31" s="1"/>
  <c r="G13" i="31"/>
  <c r="J13" i="31" s="1"/>
  <c r="L13" i="31" s="1"/>
  <c r="G21" i="31"/>
  <c r="J21" i="31" s="1"/>
  <c r="L21" i="31" s="1"/>
  <c r="G40" i="31"/>
  <c r="J40" i="31" s="1"/>
  <c r="L40" i="31" s="1"/>
  <c r="G28" i="31"/>
  <c r="J28" i="31" s="1"/>
  <c r="L28" i="31" s="1"/>
  <c r="G20" i="31"/>
  <c r="J20" i="31" s="1"/>
  <c r="L20" i="31" s="1"/>
  <c r="H239" i="24"/>
  <c r="AF3" i="24"/>
  <c r="AF240" i="24" s="1"/>
  <c r="G19" i="31"/>
  <c r="J19" i="31" s="1"/>
  <c r="L19" i="31" s="1"/>
  <c r="G30" i="31"/>
  <c r="J30" i="31" s="1"/>
  <c r="G33" i="31"/>
  <c r="J33" i="31" s="1"/>
  <c r="L33" i="31" s="1"/>
  <c r="G32" i="31"/>
  <c r="J32" i="31" s="1"/>
  <c r="L32" i="31" s="1"/>
  <c r="AH3" i="24"/>
  <c r="AH240" i="24" s="1"/>
  <c r="J239" i="24"/>
  <c r="L239" i="24"/>
  <c r="AJ3" i="24"/>
  <c r="AJ240" i="24" s="1"/>
  <c r="AL3" i="24"/>
  <c r="AL240" i="24" s="1"/>
  <c r="AE3" i="24"/>
  <c r="AE240" i="24" s="1"/>
  <c r="G239" i="24"/>
  <c r="G22" i="31"/>
  <c r="J22" i="31" s="1"/>
  <c r="L22" i="31" s="1"/>
  <c r="AG3" i="24"/>
  <c r="AG240" i="24" s="1"/>
  <c r="I239" i="24"/>
  <c r="AI3" i="24"/>
  <c r="AI240" i="24" s="1"/>
  <c r="K239" i="24"/>
  <c r="G16" i="31"/>
  <c r="J16" i="31" s="1"/>
  <c r="L16" i="31" s="1"/>
  <c r="G36" i="31"/>
  <c r="J36" i="31" s="1"/>
  <c r="L36" i="31" s="1"/>
  <c r="G17" i="31"/>
  <c r="J17" i="31" s="1"/>
  <c r="L17" i="31" s="1"/>
  <c r="G23" i="31"/>
  <c r="J23" i="31" s="1"/>
  <c r="L23" i="31" s="1"/>
  <c r="AK3" i="24"/>
  <c r="AK240" i="24" s="1"/>
  <c r="M239" i="24"/>
  <c r="AD3" i="24"/>
  <c r="AD240" i="24" s="1"/>
  <c r="F239" i="24"/>
  <c r="G25" i="31"/>
  <c r="J25" i="31" s="1"/>
  <c r="L25" i="31" s="1"/>
  <c r="E51" i="30"/>
  <c r="E56" i="30" s="1"/>
  <c r="G8" i="31"/>
  <c r="J8" i="31" s="1"/>
  <c r="L8" i="31" s="1"/>
  <c r="G4" i="31"/>
  <c r="J4" i="31" s="1"/>
  <c r="L4" i="31" s="1"/>
  <c r="J56" i="30" l="1"/>
  <c r="N26" i="30"/>
  <c r="I56" i="30"/>
  <c r="D23" i="30"/>
  <c r="D26" i="30" s="1"/>
  <c r="D28" i="30" s="1"/>
  <c r="L56" i="30"/>
  <c r="K56" i="30"/>
  <c r="H56" i="30"/>
  <c r="G56" i="30"/>
  <c r="F56" i="30"/>
  <c r="M56" i="30"/>
  <c r="G10" i="31"/>
  <c r="J10" i="31" s="1"/>
  <c r="J42" i="31" s="1"/>
  <c r="L42" i="31" s="1"/>
  <c r="E54" i="30"/>
  <c r="D51" i="30"/>
  <c r="D54" i="30" s="1"/>
  <c r="D56" i="30" s="1"/>
  <c r="J41" i="31" l="1"/>
  <c r="L41" i="31" s="1"/>
  <c r="L10" i="31"/>
  <c r="G42" i="31"/>
  <c r="G41" i="31"/>
</calcChain>
</file>

<file path=xl/connections.xml><?xml version="1.0" encoding="utf-8"?>
<connections xmlns="http://schemas.openxmlformats.org/spreadsheetml/2006/main">
  <connection id="1" keepAlive="1" name="ThisWorkbookDataModel" description="Modelo de datos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tareo!$C$7:$V$84" type="102" refreshedVersion="5" minRefreshableVersion="5">
    <extLst>
      <ext xmlns:x15="http://schemas.microsoft.com/office/spreadsheetml/2010/11/main" uri="{DE250136-89BD-433C-8126-D09CA5730AF9}">
        <x15:connection id="Rango-05647858-b041-404a-8d69-734e98ab46a7" autoDelete="1">
          <x15:rangePr sourceName="_xlcn.WorksheetConnection_tareoC7V841"/>
        </x15:connection>
      </ext>
    </extLst>
  </connection>
  <connection id="3" name="WorksheetConnection_Tareo_Proyectos_2°trimestre.xlsm!Tabla1" type="102" refreshedVersion="5" minRefreshableVersion="5">
    <extLst>
      <ext xmlns:x15="http://schemas.microsoft.com/office/spreadsheetml/2010/11/main" uri="{DE250136-89BD-433C-8126-D09CA5730AF9}">
        <x15:connection id="Tabla1-2c382aff-26bd-4b5b-a5b5-432ab731b999">
          <x15:rangePr sourceName="_xlcn.WorksheetConnection_Tareo_Proyectos_2°trimestre.xlsmTabla11"/>
        </x15:connection>
      </ext>
    </extLst>
  </connection>
</connections>
</file>

<file path=xl/sharedStrings.xml><?xml version="1.0" encoding="utf-8"?>
<sst xmlns="http://schemas.openxmlformats.org/spreadsheetml/2006/main" count="6683" uniqueCount="998">
  <si>
    <t>Arce Portocarrero Alejandro Miguel</t>
  </si>
  <si>
    <t>Aricochea Marcelo Anthony Dante</t>
  </si>
  <si>
    <t>Arrascue Acosta Leslye</t>
  </si>
  <si>
    <t>Atanacio Gonzales Demetrio Jesus</t>
  </si>
  <si>
    <t>Ayala chira Juan Carlos</t>
  </si>
  <si>
    <t>Becerra Robles Daniel</t>
  </si>
  <si>
    <t>Chavez Guillen Miguel Angel</t>
  </si>
  <si>
    <t>Chuquisana Mendoza Jhonatan Alexander</t>
  </si>
  <si>
    <t>Chura Ingalla Percy William</t>
  </si>
  <si>
    <t>Cordova Lozano Renzo Abel</t>
  </si>
  <si>
    <t>De la Cruz Hurtado Dany</t>
  </si>
  <si>
    <t>Escobedo Martinez Ángel</t>
  </si>
  <si>
    <t>Fernandez Esquen Miguel Angel</t>
  </si>
  <si>
    <t>Gallegos Flores Pool Jhonatan</t>
  </si>
  <si>
    <t>Garay Vilchez Mario Martin</t>
  </si>
  <si>
    <t>Girano Corbera Cristiam Alberto</t>
  </si>
  <si>
    <t>Guzman Arteaga Joseph</t>
  </si>
  <si>
    <t>Huaman Ramos Moises</t>
  </si>
  <si>
    <t>Laurencio Ambrosio Luis</t>
  </si>
  <si>
    <t>Lopez Borja Amadeo Felix</t>
  </si>
  <si>
    <t>Mendoza Ballona Erick Wilfredo</t>
  </si>
  <si>
    <t>Meneses Sanchez Jesus Daniel</t>
  </si>
  <si>
    <t>Padilla Vega Cindy Victoria</t>
  </si>
  <si>
    <t>Peralta Boza Julio Freddy</t>
  </si>
  <si>
    <t>Pérez Cristobal Angel Marcel</t>
  </si>
  <si>
    <t>Torres Gonzales Rogger Adrián</t>
  </si>
  <si>
    <t>Velasquez Quispe Lizbet Nataly</t>
  </si>
  <si>
    <t>07033887</t>
  </si>
  <si>
    <t>Alejos Yamamoto Arturo Ricardo</t>
  </si>
  <si>
    <t>Barbaran Broncales Emanuel</t>
  </si>
  <si>
    <t>Benito Bendezú Marco Antonio</t>
  </si>
  <si>
    <t>Capactinta Bonifacio Luis Reynaldo</t>
  </si>
  <si>
    <t>Fernandez Sanchez Walter Jose</t>
  </si>
  <si>
    <t>Garcia Gutierrez Alan David</t>
  </si>
  <si>
    <t>Hernani Lau Patricia Rosa</t>
  </si>
  <si>
    <t>Pérez Montemayor Jose Javier</t>
  </si>
  <si>
    <t>Pizarro Saldaña Jorge Gabriel</t>
  </si>
  <si>
    <t>Revilla Casalino Pablo</t>
  </si>
  <si>
    <t>Salazar Rojas Javier Fernando</t>
  </si>
  <si>
    <t>Torres Brousset Pacheco, Gutenberg Alexis</t>
  </si>
  <si>
    <t>Personal</t>
  </si>
  <si>
    <t>DNI</t>
  </si>
  <si>
    <t>MP004</t>
  </si>
  <si>
    <t>P0001</t>
  </si>
  <si>
    <t>LA POSITIVA</t>
  </si>
  <si>
    <t>CARDIF</t>
  </si>
  <si>
    <t>PROPUESTA</t>
  </si>
  <si>
    <t>P0011</t>
  </si>
  <si>
    <t>CRECER</t>
  </si>
  <si>
    <t>MP005-1</t>
  </si>
  <si>
    <t>ABB</t>
  </si>
  <si>
    <t>P0013</t>
  </si>
  <si>
    <t>02 - 06</t>
  </si>
  <si>
    <t>09 - 13</t>
  </si>
  <si>
    <t>16 - 20</t>
  </si>
  <si>
    <t>23 - 27</t>
  </si>
  <si>
    <t>30 - 31</t>
  </si>
  <si>
    <t>01 - 03</t>
  </si>
  <si>
    <t>06 - 10</t>
  </si>
  <si>
    <t>13 - 17</t>
  </si>
  <si>
    <t>20 - 24</t>
  </si>
  <si>
    <t>27 - 28</t>
  </si>
  <si>
    <t>27 - 31</t>
  </si>
  <si>
    <t>03 - 07</t>
  </si>
  <si>
    <t>10 - 12</t>
  </si>
  <si>
    <t>17 - 21</t>
  </si>
  <si>
    <t>24 - 28</t>
  </si>
  <si>
    <t>02 - 05</t>
  </si>
  <si>
    <t>08 - 12</t>
  </si>
  <si>
    <t>15 - 19</t>
  </si>
  <si>
    <t>22 - 26</t>
  </si>
  <si>
    <t>29 - 31</t>
  </si>
  <si>
    <t>RESPONSABLE</t>
  </si>
  <si>
    <t>CLIENTES</t>
  </si>
  <si>
    <t>PROYECTOS</t>
  </si>
  <si>
    <t>NO FACT.</t>
  </si>
  <si>
    <t>COSMOS</t>
  </si>
  <si>
    <t>P0005</t>
  </si>
  <si>
    <t>SUSALUD</t>
  </si>
  <si>
    <t>P0008</t>
  </si>
  <si>
    <t>CLARIANT</t>
  </si>
  <si>
    <t>MP002</t>
  </si>
  <si>
    <t>MOLY-COP</t>
  </si>
  <si>
    <t>MP003</t>
  </si>
  <si>
    <t>UPC</t>
  </si>
  <si>
    <t>P0010</t>
  </si>
  <si>
    <t>AMERICATEL</t>
  </si>
  <si>
    <t>MP001</t>
  </si>
  <si>
    <t>P0012</t>
  </si>
  <si>
    <t>HYTERA</t>
  </si>
  <si>
    <t>P0002</t>
  </si>
  <si>
    <t>CALIDDA</t>
  </si>
  <si>
    <t>P0007</t>
  </si>
  <si>
    <t>CAJA AREQ.</t>
  </si>
  <si>
    <t>P0006</t>
  </si>
  <si>
    <t>P0003</t>
  </si>
  <si>
    <t>PALABRITAS</t>
  </si>
  <si>
    <t>PL001</t>
  </si>
  <si>
    <t>P0009</t>
  </si>
  <si>
    <t>VICTOR P.</t>
  </si>
  <si>
    <t>JOSE Z.</t>
  </si>
  <si>
    <t>MANUEL C.</t>
  </si>
  <si>
    <t>SCARLEN G.</t>
  </si>
  <si>
    <t>PROTECTA</t>
  </si>
  <si>
    <t>P0015</t>
  </si>
  <si>
    <t>X</t>
  </si>
  <si>
    <t>Villanueva Melgarejo Andres Angel</t>
  </si>
  <si>
    <t>Galvez Aguilar Arturo Jesus</t>
  </si>
  <si>
    <t>Huanes Bautista César</t>
  </si>
  <si>
    <t>Uceda Cristian</t>
  </si>
  <si>
    <t>Tarazona Jesus</t>
  </si>
  <si>
    <t>Marin Olga</t>
  </si>
  <si>
    <t>Carrillo Rafael</t>
  </si>
  <si>
    <t>Implementación del Módulo Básico de Interconexión Radios - Tetra Server - BD PNP</t>
  </si>
  <si>
    <t>Implementación de los Módulos definidos en la presente propuesta para la interconexión de los Radios - Tetra Server - BD PNP</t>
  </si>
  <si>
    <t>Implementación del Sistema de Certificados de Retenciones</t>
  </si>
  <si>
    <t>Implementación y despliegue de Pagos Masivos para Caja Arequipa</t>
  </si>
  <si>
    <t>Up Grade Web de Licitaciones Calidda</t>
  </si>
  <si>
    <t>Desarrollo e Implementación de un aplicativo para la consulta de expedientes de SAREFIS y SADERECHOS con DNI electrónico</t>
  </si>
  <si>
    <t>Sistema Operativo IOS</t>
  </si>
  <si>
    <t>outsourcing  de configuración de productos BBVA</t>
  </si>
  <si>
    <t>Configuración de productos PIMS</t>
  </si>
  <si>
    <t>Reportes SBS</t>
  </si>
  <si>
    <t>Soporte de Analista de Calidad</t>
  </si>
  <si>
    <t>Analisis Funcional de mejoras funcionales SOAT Operaciones y Requermientos de automatización cierre contable</t>
  </si>
  <si>
    <t>Analista Programador Java Python</t>
  </si>
  <si>
    <t>Soporte Tecnico</t>
  </si>
  <si>
    <t>Fabrica de Software</t>
  </si>
  <si>
    <t>Evaluacion Sistema Integrado de Polizas - SDP</t>
  </si>
  <si>
    <t>Sin Codigo</t>
  </si>
  <si>
    <t>Sin nombre</t>
  </si>
  <si>
    <t>No facturable</t>
  </si>
  <si>
    <t>Propuesta</t>
  </si>
  <si>
    <t>DESCRIPCION</t>
  </si>
  <si>
    <t>Chamorro Rojas Pierre Nestor</t>
  </si>
  <si>
    <t>Aplicativo SUSALUD contigo IOS</t>
  </si>
  <si>
    <t>Distribución de horas</t>
  </si>
  <si>
    <t>Seguimiento Mensual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</si>
  <si>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</si>
  <si>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</si>
  <si>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</si>
  <si>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</si>
  <si>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</si>
  <si>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</si>
  <si>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</si>
  <si>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</si>
  <si>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Setiembre</t>
  </si>
  <si>
    <t>Octubre</t>
  </si>
  <si>
    <t>Noviembre</t>
  </si>
  <si>
    <t>Diciembre</t>
  </si>
  <si>
    <t>Cod Motivo</t>
  </si>
  <si>
    <t>Total</t>
  </si>
  <si>
    <t>PROYECTO</t>
  </si>
  <si>
    <t>Total general</t>
  </si>
  <si>
    <t>MOTIVO</t>
  </si>
  <si>
    <t>TOTAL HRS MES</t>
  </si>
  <si>
    <t>Palabritas</t>
  </si>
  <si>
    <t>Distribución</t>
  </si>
  <si>
    <t>EFITEC</t>
  </si>
  <si>
    <t>FABRICA-MDP</t>
  </si>
  <si>
    <t>FABRICA-EFITEC</t>
  </si>
  <si>
    <t>FABRICA-LP</t>
  </si>
  <si>
    <t>FABRICA-LP II</t>
  </si>
  <si>
    <t>x</t>
  </si>
  <si>
    <t>Aplicativo para la consulta de expedientes de SAREFIS y SADERECHOS con DNI electrónico</t>
  </si>
  <si>
    <t>Implementación de los Módulos para la interconexión de los Radios - Tetra Server - BD PNP</t>
  </si>
  <si>
    <t>Mejoras funcionales SOAT Operaciones y RQ de automatización cierre contable</t>
  </si>
  <si>
    <t>.Abril  03 - 07</t>
  </si>
  <si>
    <t>.Abril  10 - 12</t>
  </si>
  <si>
    <t>.Abril  17 - 21</t>
  </si>
  <si>
    <t>.Abril  24 - 28</t>
  </si>
  <si>
    <t>.Mayo  02 - 05</t>
  </si>
  <si>
    <t>.Mayo  08 - 12</t>
  </si>
  <si>
    <t>.Mayo  15 - 19</t>
  </si>
  <si>
    <t>.Mayo  22 - 26</t>
  </si>
  <si>
    <t>.Mayo  29 - 31</t>
  </si>
  <si>
    <t>Ver detalle por recurso</t>
  </si>
  <si>
    <t>Ver detalle por proyecto</t>
  </si>
  <si>
    <t>Volver a General</t>
  </si>
  <si>
    <t>Responsable</t>
  </si>
  <si>
    <t>01-02</t>
  </si>
  <si>
    <t>05-09</t>
  </si>
  <si>
    <t>12-16</t>
  </si>
  <si>
    <t>19-23</t>
  </si>
  <si>
    <t>26-30</t>
  </si>
  <si>
    <t>.Junio  01-02</t>
  </si>
  <si>
    <t>Total Mayo</t>
  </si>
  <si>
    <t>TOTAL</t>
  </si>
  <si>
    <t>Observaciones</t>
  </si>
  <si>
    <t>Solo laboro hasta el 05/05</t>
  </si>
  <si>
    <t>Registro en tareo a partir del 03/05</t>
  </si>
  <si>
    <t>Solo registro horas hasta el 19/05 - luego paso a LP reemplazo Angel Perez</t>
  </si>
  <si>
    <t>Inicio labores el 08/05</t>
  </si>
  <si>
    <t>Inicio labores el 15/05</t>
  </si>
  <si>
    <t>.Junio  05-09</t>
  </si>
  <si>
    <t>Cespedes Levano Edwin Israel</t>
  </si>
  <si>
    <t>P0020</t>
  </si>
  <si>
    <t>Salinas Vasquez Juan Rafael</t>
  </si>
  <si>
    <t>P0022</t>
  </si>
  <si>
    <t>Adecuacion SISWEP-Cargas Masivas</t>
  </si>
  <si>
    <t>Somoza Francisco Javier</t>
  </si>
  <si>
    <t>.Junio  12-16</t>
  </si>
  <si>
    <t>. Junio  12-16</t>
  </si>
  <si>
    <t>P0018</t>
  </si>
  <si>
    <t>P0014</t>
  </si>
  <si>
    <t>. Junio  19-23</t>
  </si>
  <si>
    <t>P0023</t>
  </si>
  <si>
    <t xml:space="preserve">VACACIONES </t>
  </si>
  <si>
    <t>INASISTENCIAS</t>
  </si>
  <si>
    <t>VACACIONES</t>
  </si>
  <si>
    <t>Inasistencias</t>
  </si>
  <si>
    <t>ESTADO</t>
  </si>
  <si>
    <t>COD. MOTIVO</t>
  </si>
  <si>
    <t>RECURSOS CESADOS</t>
  </si>
  <si>
    <t>VIGENTE</t>
  </si>
  <si>
    <t>CESADO</t>
  </si>
  <si>
    <t>.Junio  26-30</t>
  </si>
  <si>
    <t>ABIERTO</t>
  </si>
  <si>
    <t>PROCESO</t>
  </si>
  <si>
    <t>CERRADO</t>
  </si>
  <si>
    <t>EST. PROYECTO</t>
  </si>
  <si>
    <t>P0024</t>
  </si>
  <si>
    <t>Totem Digital</t>
  </si>
  <si>
    <t>03-07</t>
  </si>
  <si>
    <t>10-14</t>
  </si>
  <si>
    <t>17-21</t>
  </si>
  <si>
    <t>24-28</t>
  </si>
  <si>
    <t>AMERICA TV</t>
  </si>
  <si>
    <t>P0019</t>
  </si>
  <si>
    <t xml:space="preserve">Servicios de soporte de segundo nivel sobre Linux en Cloud Softlayer
</t>
  </si>
  <si>
    <t>Empresa tercerizada</t>
  </si>
  <si>
    <t>Empresa Tercerizada</t>
  </si>
  <si>
    <t>.Julio  03-07</t>
  </si>
  <si>
    <t>.Julio  10-14</t>
  </si>
  <si>
    <t>EDUCA_D</t>
  </si>
  <si>
    <t xml:space="preserve"> 8 Aplicaciones Móviles Universidades</t>
  </si>
  <si>
    <t>Junio  12-16</t>
  </si>
  <si>
    <t>Junio  19-23</t>
  </si>
  <si>
    <t>Junio  26-30</t>
  </si>
  <si>
    <t>TOTAL JUNIO</t>
  </si>
  <si>
    <t>Junio  01-02</t>
  </si>
  <si>
    <t>Junio  05-09</t>
  </si>
  <si>
    <t>TOTAL HRS.</t>
  </si>
  <si>
    <t>Vacaciones</t>
  </si>
  <si>
    <t>OBSERVACIONES</t>
  </si>
  <si>
    <t>01-04</t>
  </si>
  <si>
    <t>07-11</t>
  </si>
  <si>
    <t>14-18</t>
  </si>
  <si>
    <t>21-25</t>
  </si>
  <si>
    <t>28-31</t>
  </si>
  <si>
    <t>01-</t>
  </si>
  <si>
    <t>04-08</t>
  </si>
  <si>
    <t>11-15</t>
  </si>
  <si>
    <t>18-22</t>
  </si>
  <si>
    <t>25-29</t>
  </si>
  <si>
    <t>02-06</t>
  </si>
  <si>
    <t>09-13</t>
  </si>
  <si>
    <t>16-20</t>
  </si>
  <si>
    <t>23-28</t>
  </si>
  <si>
    <t>30-31</t>
  </si>
  <si>
    <t>01-03</t>
  </si>
  <si>
    <t>06-10</t>
  </si>
  <si>
    <t>13-17</t>
  </si>
  <si>
    <t>20-24</t>
  </si>
  <si>
    <t>27-30</t>
  </si>
  <si>
    <t>Zenteno Espinoza Alex</t>
  </si>
  <si>
    <t>Escobedo Martinez Angel</t>
  </si>
  <si>
    <t xml:space="preserve">Perez Cristobal Cristobal </t>
  </si>
  <si>
    <t>Aricochea Marcelo Anthony</t>
  </si>
  <si>
    <t>Padilla Vega Cindy</t>
  </si>
  <si>
    <t>Mendoza Ballona Erick</t>
  </si>
  <si>
    <t>Palomino Lanchipa</t>
  </si>
  <si>
    <t>Olarte Leon Jeff</t>
  </si>
  <si>
    <t>Meneses Sanchez Jesus</t>
  </si>
  <si>
    <t>Chuquisana Mendoza Jhonatan</t>
  </si>
  <si>
    <t>Guzman Arteaga Joseph Michael</t>
  </si>
  <si>
    <t xml:space="preserve">Ayala Chira Juan Carlos </t>
  </si>
  <si>
    <t>Arrascue Acosta Leslye Jacslyn</t>
  </si>
  <si>
    <t>Chura Ingalla Percy</t>
  </si>
  <si>
    <t>Cordova Lozano Renzo Abbel</t>
  </si>
  <si>
    <t>Torres Gonzales Rogger Adrian</t>
  </si>
  <si>
    <t>Velasquez Quispe Lizbet</t>
  </si>
  <si>
    <t>Alvarez Vera Daniel</t>
  </si>
  <si>
    <t>.Enero  02 - 06</t>
  </si>
  <si>
    <t>.Enero  09 - 13</t>
  </si>
  <si>
    <t>.Enero  16 - 20</t>
  </si>
  <si>
    <t>.Enero  23 - 27</t>
  </si>
  <si>
    <t>.Enero  30 - 31</t>
  </si>
  <si>
    <t>.Febrero  01 - 03</t>
  </si>
  <si>
    <t>.Febrero  06 - 10</t>
  </si>
  <si>
    <t>.Febrero  13 - 17</t>
  </si>
  <si>
    <t>.Febrero  20 - 24</t>
  </si>
  <si>
    <t>.Febrero  27 - 28</t>
  </si>
  <si>
    <t>.Marzo  01 - 03</t>
  </si>
  <si>
    <t>.Marzo  06 - 10</t>
  </si>
  <si>
    <t>.Marzo  13 - 17</t>
  </si>
  <si>
    <t>.Marzo  20 - 24</t>
  </si>
  <si>
    <t>.Marzo  27 - 31</t>
  </si>
  <si>
    <t xml:space="preserve"> .Junio 19-23</t>
  </si>
  <si>
    <t>.Julio 10-14</t>
  </si>
  <si>
    <t>.Julio 17-21</t>
  </si>
  <si>
    <t>.Julio  24-28</t>
  </si>
  <si>
    <t>.Julio 24-28</t>
  </si>
  <si>
    <t>.Julio  17-21</t>
  </si>
  <si>
    <t>Software Factory</t>
  </si>
  <si>
    <t>P0026</t>
  </si>
  <si>
    <t>P0025</t>
  </si>
  <si>
    <t>31-</t>
  </si>
  <si>
    <t>GIULIANA BAGLIETTO</t>
  </si>
  <si>
    <t>EQUIPO</t>
  </si>
  <si>
    <t>ANDRES VILLANUEVA</t>
  </si>
  <si>
    <t>ALAN GARCIA</t>
  </si>
  <si>
    <t>LUIS CAPACTINTA</t>
  </si>
  <si>
    <t>EMANUEL BARBARAN</t>
  </si>
  <si>
    <t>MANPOWER</t>
  </si>
  <si>
    <t>MARCO BENITO</t>
  </si>
  <si>
    <t xml:space="preserve">PROYECTO </t>
  </si>
  <si>
    <t>HUGO S.</t>
  </si>
  <si>
    <t>PROTECTA(P0027)</t>
  </si>
  <si>
    <t>RAFAEL SALINAS</t>
  </si>
  <si>
    <t>DANY DE LA CRUZ</t>
  </si>
  <si>
    <t>MIGUEL FERNANDEZ</t>
  </si>
  <si>
    <t>WALTER MONTERO</t>
  </si>
  <si>
    <t>ARTURO ALEJOS</t>
  </si>
  <si>
    <t xml:space="preserve">EQUIPO </t>
  </si>
  <si>
    <t>JOSE PEREZ</t>
  </si>
  <si>
    <t>CAJA AREQUIPA</t>
  </si>
  <si>
    <t>PABLO REVILLA</t>
  </si>
  <si>
    <t>GABRIEL PIZARRO</t>
  </si>
  <si>
    <t>UTP</t>
  </si>
  <si>
    <t>EDUCA</t>
  </si>
  <si>
    <t>PIERRE CHAMARRO</t>
  </si>
  <si>
    <t>BRUNO VACCARI</t>
  </si>
  <si>
    <t>SOFEXPERT</t>
  </si>
  <si>
    <t>PROTECTA(P0026)</t>
  </si>
  <si>
    <t>GUSTAVO ARENAZA</t>
  </si>
  <si>
    <t>ANTHONY OLARTE</t>
  </si>
  <si>
    <t>Alex Zenteno Espinoza</t>
  </si>
  <si>
    <t>Amadeo Felix Lopez Borja</t>
  </si>
  <si>
    <t>Angel Escobedo Martinez</t>
  </si>
  <si>
    <t>Angel Marcel Perez Cristobal</t>
  </si>
  <si>
    <t>Anthony Dante Aricochea Marcelo</t>
  </si>
  <si>
    <t>Cindy Padilla Vega</t>
  </si>
  <si>
    <t>Daniel Becerra Robles</t>
  </si>
  <si>
    <t>Demetrio Jesus Atanacio Gonzales</t>
  </si>
  <si>
    <t>Erick Mendoza Ballona</t>
  </si>
  <si>
    <t>Everth Roman Palomino Lanchipa</t>
  </si>
  <si>
    <t>Jesus Meneses Sanchez</t>
  </si>
  <si>
    <t>Jhonatan Chuquisana Mendoza</t>
  </si>
  <si>
    <t>Joseph Michael Guzman Arteaga</t>
  </si>
  <si>
    <t>Juan Carlos Ayala Chira</t>
  </si>
  <si>
    <t>Leslye Jacslyn Arrascue Acosta</t>
  </si>
  <si>
    <t>Luis Laurencio Ambrosio</t>
  </si>
  <si>
    <t>Mario Martin Garay Vilchez</t>
  </si>
  <si>
    <t>Percy Chura Ingalla</t>
  </si>
  <si>
    <t>Pool Jhonatan Gallegos Flores</t>
  </si>
  <si>
    <t>Renzo Abel Cordova Lozano</t>
  </si>
  <si>
    <t>Rogger Adrián Torres Gonzales</t>
  </si>
  <si>
    <t>Lizbet Velasquez Quispe</t>
  </si>
  <si>
    <t>Patricia Hernani</t>
  </si>
  <si>
    <t>Sotelo Hugo</t>
  </si>
  <si>
    <t>P0027</t>
  </si>
  <si>
    <t>Implementacion del Sistema BackOffice SOAT</t>
  </si>
  <si>
    <t>RONALD TAYPE</t>
  </si>
  <si>
    <t>Etiquetas de fila</t>
  </si>
  <si>
    <t xml:space="preserve">dias habiles </t>
  </si>
  <si>
    <t>total hrs</t>
  </si>
  <si>
    <t>Horaxdia</t>
  </si>
  <si>
    <t>.Julio  31-</t>
  </si>
  <si>
    <t>RECURSOS</t>
  </si>
  <si>
    <t>DIAS Habiles</t>
  </si>
  <si>
    <t>Hrs x Dia</t>
  </si>
  <si>
    <t xml:space="preserve">Diferencia Real </t>
  </si>
  <si>
    <t>EJECUTADAS</t>
  </si>
  <si>
    <t>DIFERENCIA</t>
  </si>
  <si>
    <t>ESTIMADAS</t>
  </si>
  <si>
    <t>DETALLE DIFERENCIA</t>
  </si>
  <si>
    <t>FALTA 31 Julio</t>
  </si>
  <si>
    <t>permisos y/o faltas</t>
  </si>
  <si>
    <t>SALDO</t>
  </si>
  <si>
    <t>Total estimado</t>
  </si>
  <si>
    <t>Inicio de labores en proyecto Protecta 120 horas no contabilizables.</t>
  </si>
  <si>
    <t>.Asigando a Proyecto Protecta Falta registrar horas de parte de Hugo sotelo.</t>
  </si>
  <si>
    <t>Acuerdo con la Positiva , regularizara horas marcando horas de mas hasta 8/08.</t>
  </si>
  <si>
    <t>Inicio de labores en proyecto Protecta 72 horas no contabilizables.</t>
  </si>
  <si>
    <t>No hay registro de horas completas del recurso de la semana 24-28.</t>
  </si>
  <si>
    <t>Inicio de labores en proyecto Americatel 120 horas no contabilizables.</t>
  </si>
  <si>
    <t>No hay resgistro del Recurso desde Junio.</t>
  </si>
  <si>
    <t>TOTAL HRS ENERO</t>
  </si>
  <si>
    <t>TOTAL HRS FEBRERO</t>
  </si>
  <si>
    <t>TOTAL HRS MARZO</t>
  </si>
  <si>
    <t>TOTAL HRS ABRIL</t>
  </si>
  <si>
    <t>TOTAL HRS MAYO</t>
  </si>
  <si>
    <t>TOTAL HRS JUNIO</t>
  </si>
  <si>
    <t>TOTAL HRS JULIO</t>
  </si>
  <si>
    <t>TOTAL HRS AGOSTO</t>
  </si>
  <si>
    <t>TOTAL HRS SETIEMBRE</t>
  </si>
  <si>
    <t>TOTAL HRS OCTUBRE</t>
  </si>
  <si>
    <t>TOTAL HRS NOVIEMBRE</t>
  </si>
  <si>
    <t>TOTAL HRS DICIEMBRE</t>
  </si>
  <si>
    <t>.TOTAL HRS ENERO</t>
  </si>
  <si>
    <t>.TOTAL HRS FEBRERO</t>
  </si>
  <si>
    <t>. TOTAL HRS MARZO</t>
  </si>
  <si>
    <t>.TOTAL HRS ABRIL</t>
  </si>
  <si>
    <t>.TOTAL HRS MAYO</t>
  </si>
  <si>
    <t>.TOTAL HRS JULIO</t>
  </si>
  <si>
    <t>.TOTAL HRS JUNIO</t>
  </si>
  <si>
    <t>.TOTAL HRS MARZO</t>
  </si>
  <si>
    <t>Servicios de Desarrollo</t>
  </si>
  <si>
    <t>Servicios de Analisis y Desarrollo</t>
  </si>
  <si>
    <t>Servicios de Elaboracion REF - GA</t>
  </si>
  <si>
    <t>P0030</t>
  </si>
  <si>
    <t>P0031</t>
  </si>
  <si>
    <t>TOTAL ACUMULADO</t>
  </si>
  <si>
    <t>.TOTAL ACUMULADO</t>
  </si>
  <si>
    <t>P0032</t>
  </si>
  <si>
    <t>Configuración de nuevos productos PIMS</t>
  </si>
  <si>
    <t>Calderon Vilchez Renzo Pablo</t>
  </si>
  <si>
    <t>Carrillo Roque Rafael</t>
  </si>
  <si>
    <t>Cruzado Canal Manuel Enrique</t>
  </si>
  <si>
    <t>Gonzales Chunga Scarlen Odalis</t>
  </si>
  <si>
    <t>Marin Soriano Olga Beatriz</t>
  </si>
  <si>
    <t>Palomino Ferroa Victor Isaias</t>
  </si>
  <si>
    <t xml:space="preserve">Pérez Cristobal Angel Marcel </t>
  </si>
  <si>
    <t xml:space="preserve">Rivera Carrasco Giovanni </t>
  </si>
  <si>
    <t xml:space="preserve">Tarazona Falcon Jesus </t>
  </si>
  <si>
    <t>Trujillo Mochcco Alex</t>
  </si>
  <si>
    <t>Zuñiga Santillan Jose Eduardo</t>
  </si>
  <si>
    <t>Huanes Bautista Cesar Alfredo</t>
  </si>
  <si>
    <t>Uceda Rentería Cristhian Daniel</t>
  </si>
  <si>
    <t>Palomino Lanchipa Everth Roman</t>
  </si>
  <si>
    <t>Sotelo Marcos Victor Hugo</t>
  </si>
  <si>
    <t>Taipe Aylas Ronald David</t>
  </si>
  <si>
    <t>P0017</t>
  </si>
  <si>
    <t>Análisis Funcional - Requerimientos</t>
  </si>
  <si>
    <t>REQUERIMIENTO CORE URGENCIA ALTA:DOC REQ.FUNCIONAL 100% FINALIZADO</t>
  </si>
  <si>
    <t xml:space="preserve">Implementación de Extractores de Gestión TABLEAU </t>
  </si>
  <si>
    <t xml:space="preserve">Implementación de Indicadores de Gestión TABLEAU </t>
  </si>
  <si>
    <t>cese</t>
  </si>
  <si>
    <t xml:space="preserve">inicio </t>
  </si>
  <si>
    <t>-</t>
  </si>
  <si>
    <t>04/0416</t>
  </si>
  <si>
    <t>Cespedes Pasion Jean Franco</t>
  </si>
  <si>
    <t>COSTOXHORA ENERO</t>
  </si>
  <si>
    <t>COSTOXHORA FEBRERO</t>
  </si>
  <si>
    <t>COSTOXHORA MARZO</t>
  </si>
  <si>
    <t>COSTOXHORA ABRIL</t>
  </si>
  <si>
    <t>COSTOXHORA MAYO</t>
  </si>
  <si>
    <t>COSTOXHORA JULIO</t>
  </si>
  <si>
    <t>COSTOXHORA  JUNIO</t>
  </si>
  <si>
    <t>COSTOXHORA AGOSTO</t>
  </si>
  <si>
    <t>COSTOXHORA SETIEMBRE</t>
  </si>
  <si>
    <t>COSTOXHORA OCTUBRE</t>
  </si>
  <si>
    <t>COSTOXHORA NOVIEMBRE</t>
  </si>
  <si>
    <t>COSTOXHORA DICIEMBRE</t>
  </si>
  <si>
    <t>COSTO ENERO</t>
  </si>
  <si>
    <t>COSTO FEBRERO</t>
  </si>
  <si>
    <t>COSTO MARZO</t>
  </si>
  <si>
    <t>COSTO ABRIL</t>
  </si>
  <si>
    <t>COSTO MAYO</t>
  </si>
  <si>
    <t>COSTO JUNIO</t>
  </si>
  <si>
    <t>COSTO JULIO</t>
  </si>
  <si>
    <t>COSTO AGOSTO</t>
  </si>
  <si>
    <t>COSTO SETIEMBRE</t>
  </si>
  <si>
    <t>COSTO OCTUBRE</t>
  </si>
  <si>
    <t>COSTO NOVIEMBRE</t>
  </si>
  <si>
    <t>COSTO DICIEMBRE</t>
  </si>
  <si>
    <t>COSTO POR PROYECTO/RECURSO</t>
  </si>
  <si>
    <t>INASISTENCIAS-Inasistencias</t>
  </si>
  <si>
    <t>MP001-Analista Programador Java Python</t>
  </si>
  <si>
    <t>MP002-Soporte Tecnico</t>
  </si>
  <si>
    <t>MP003-Soporte Tecnico</t>
  </si>
  <si>
    <t>MP004-Software Factory</t>
  </si>
  <si>
    <t>NO FACT.-No facturable</t>
  </si>
  <si>
    <t>P0001-Evaluacion Sistema Integrado de Polizas - SDP</t>
  </si>
  <si>
    <t>P0002-Implementación del Módulo Básico de Interconexión Radios - Tetra Server - BD PNP</t>
  </si>
  <si>
    <t>P0003-Implementación de los Módulos para la interconexión de los Radios - Tetra Server - BD PNP</t>
  </si>
  <si>
    <t>P0005-Implementación del Sistema de Certificados de Retenciones</t>
  </si>
  <si>
    <t>P0006-Implementación y despliegue de Pagos Masivos para Caja Arequipa</t>
  </si>
  <si>
    <t>P0007-Up Grade Web de Licitaciones Calidda</t>
  </si>
  <si>
    <t>P0008-Aplicativo para la consulta de expedientes de SAREFIS y SADERECHOS con DNI electrónico</t>
  </si>
  <si>
    <t>P0009-Aplicativo SUSALUD contigo IOS</t>
  </si>
  <si>
    <t>P0010-Soporte de Analista de Calidad</t>
  </si>
  <si>
    <t>P0011-outsourcing  de configuración de productos BBVA</t>
  </si>
  <si>
    <t>P0012-Configuración de productos PIMS</t>
  </si>
  <si>
    <t>P0013-Reportes SBS</t>
  </si>
  <si>
    <t>P0014-REQUERIMIENTO CORE URGENCIA ALTA:DOC REQ.FUNCIONAL 100% FINALIZADO</t>
  </si>
  <si>
    <t>P0015-Mejoras funcionales SOAT Operaciones y RQ de automatización cierre contable</t>
  </si>
  <si>
    <t>P0017-Análisis Funcional - Requerimientos</t>
  </si>
  <si>
    <t>P0018-Palabritas</t>
  </si>
  <si>
    <t xml:space="preserve">P0019-Servicios de soporte de segundo nivel sobre Linux en Cloud Softlayer
</t>
  </si>
  <si>
    <t>P0020-Fabrica de Software</t>
  </si>
  <si>
    <t>P0022-Adecuacion SISWEP-Cargas Masivas</t>
  </si>
  <si>
    <t>P0023- 8 Aplicaciones Móviles Universidades</t>
  </si>
  <si>
    <t>P0024-Totem Digital</t>
  </si>
  <si>
    <t xml:space="preserve">P0025-Implementación de Indicadores de Gestión TABELAU </t>
  </si>
  <si>
    <t xml:space="preserve">P0026-Implementación de Extractores de Gestión TABELAU </t>
  </si>
  <si>
    <t>P0027-Implementacion del Sistema BackOffice SOAT</t>
  </si>
  <si>
    <t>P0030-Servicios de Elaboracion REF - GA</t>
  </si>
  <si>
    <t>P0031-Servicios de Analisis y Desarrollo</t>
  </si>
  <si>
    <t>P0032-Configuración de nuevos productos PIMS</t>
  </si>
  <si>
    <t>PROPUESTA-Propuesta</t>
  </si>
  <si>
    <t>VACACIONES-Vacaciones</t>
  </si>
  <si>
    <t>.COSTO ENERO</t>
  </si>
  <si>
    <t>.COSTO FEBRERO</t>
  </si>
  <si>
    <t>.COSTO MARZO</t>
  </si>
  <si>
    <t>.COSTO ABRIL</t>
  </si>
  <si>
    <t>.COSTO MAYO</t>
  </si>
  <si>
    <t>.COSTO JUNIO</t>
  </si>
  <si>
    <t>.COSTO JULIO</t>
  </si>
  <si>
    <t>PROYECTOS - DESCRIPCION</t>
  </si>
  <si>
    <t>.Agosto  01-04</t>
  </si>
  <si>
    <t>.Agosto  07-11</t>
  </si>
  <si>
    <t>.Agosto  14-18</t>
  </si>
  <si>
    <t>.Agosto  21-25</t>
  </si>
  <si>
    <t>.Agosto  28-31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</si>
  <si>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</si>
  <si>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</si>
  <si>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</si>
  <si>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</si>
  <si>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</si>
  <si>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</si>
  <si>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</si>
  <si>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</si>
  <si>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</si>
  <si>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</si>
  <si>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</si>
  <si>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</si>
  <si>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Codigo de Proyectos</t>
  </si>
  <si>
    <t>Cliente</t>
  </si>
  <si>
    <t>Tipo de Moneda</t>
  </si>
  <si>
    <t>CRECER SEGUROS S.A. COMPAÑIA DE SEGUROS</t>
  </si>
  <si>
    <t>Dolares</t>
  </si>
  <si>
    <t>HYTERA MOBILE FUNK</t>
  </si>
  <si>
    <t>Soles</t>
  </si>
  <si>
    <t>SU SALUD 0001</t>
  </si>
  <si>
    <t>UNIVERSIDAD PERUANA DE CIENCIAS APLICADAS S.A.C.</t>
  </si>
  <si>
    <t>BNP PARIBAS CARDIF S.A. COMPAÑIA DE SEGUROS  001</t>
  </si>
  <si>
    <t>BNP PARIBAS CARDIF S.A. COMPAÑIA DE SEGUROS 002</t>
  </si>
  <si>
    <t>SU SALUD 0002</t>
  </si>
  <si>
    <t>BNP PARIBAS CARDIF S.A. COMPAÑIA DE SEGUROS 003</t>
  </si>
  <si>
    <t xml:space="preserve">PROTECTA </t>
  </si>
  <si>
    <t>P0016</t>
  </si>
  <si>
    <t>GAS NATURAL DE LIMA Y CALLAO SA</t>
  </si>
  <si>
    <t xml:space="preserve">AMERICATV </t>
  </si>
  <si>
    <t>P0021</t>
  </si>
  <si>
    <t>Asociación Peruana de Seguros APESEG</t>
  </si>
  <si>
    <t>UNIVERSIDAD CIENTIFICA DEL SUR</t>
  </si>
  <si>
    <t>SUSALUD 003</t>
  </si>
  <si>
    <t>P0029</t>
  </si>
  <si>
    <t>Ingresos</t>
  </si>
  <si>
    <t>Margen</t>
  </si>
  <si>
    <t>Sub Contratas</t>
  </si>
  <si>
    <t>Utilidad Bruta</t>
  </si>
  <si>
    <t>AMERICATEL PERU S.A.</t>
  </si>
  <si>
    <t>CLARIANT (PERU) SA</t>
  </si>
  <si>
    <t>MOLY-COP ADESUR S.A.</t>
  </si>
  <si>
    <t>LA POSITIVA SEGUROS Y REASEGUROS</t>
  </si>
  <si>
    <t>MP005</t>
  </si>
  <si>
    <t>ENTIDAD DE DESARROLLO A LA PEQUEÑA Y MICRO EMPRESA INVERSIONES LA CRUZ</t>
  </si>
  <si>
    <t>CAJA MUNICIPAL DE AHORRO Y CREDITO DE AREQUIPA S.A.</t>
  </si>
  <si>
    <t>.TOTAL HRS AGOSTO</t>
  </si>
  <si>
    <t>P0033</t>
  </si>
  <si>
    <t>Mejoras Sistema V-Time</t>
  </si>
  <si>
    <t>PRESUPUESTADO</t>
  </si>
  <si>
    <t xml:space="preserve">Cod Proyecto </t>
  </si>
  <si>
    <t xml:space="preserve">Descripcion </t>
  </si>
  <si>
    <t xml:space="preserve">Jefe Proyecto </t>
  </si>
  <si>
    <t xml:space="preserve">INGRESOS </t>
  </si>
  <si>
    <t>GASTOS</t>
  </si>
  <si>
    <t>Fecha Inicio Planificada</t>
  </si>
  <si>
    <t>Fecha Inicio Real</t>
  </si>
  <si>
    <t>Fecha Fin Planificado</t>
  </si>
  <si>
    <t>Fecha Fin Real</t>
  </si>
  <si>
    <t>OBSERVADO</t>
  </si>
  <si>
    <t>SUSTENTO</t>
  </si>
  <si>
    <t>SI</t>
  </si>
  <si>
    <t>No Hay ficha de proyectos , datos tomados del cuiadro de rentabilidad heredado.</t>
  </si>
  <si>
    <t>Arturo Alejos</t>
  </si>
  <si>
    <t>Marco Benito</t>
  </si>
  <si>
    <t>GAS NATURAL DE LIMA Y CALLAO SA ( CALIDA)</t>
  </si>
  <si>
    <t>Walter Montero</t>
  </si>
  <si>
    <t>Relevantamiento Funcional de mejoras SOAT</t>
  </si>
  <si>
    <t>Hugo Sotelo</t>
  </si>
  <si>
    <t>NO</t>
  </si>
  <si>
    <t>ADICIONAL WEB DE LICITACIONES PUBLICAS – SERVICIO ADICIONAL</t>
  </si>
  <si>
    <t>Pablo Revilla</t>
  </si>
  <si>
    <t>Fábrica de Software</t>
  </si>
  <si>
    <t xml:space="preserve">NO </t>
  </si>
  <si>
    <t>Soporte SQL Server</t>
  </si>
  <si>
    <t>UNIVERSIDAD CIENTIFICA DEL SUR ( EDUCA_D)</t>
  </si>
  <si>
    <t>APPS Android y iOS para Cientifica del Sur Pregrado, Cientifica del Sur Postgrado, Sise Univ, Sise Inst.</t>
  </si>
  <si>
    <t>Proyecto TOTEM Digital</t>
  </si>
  <si>
    <t>Gustavo Arenaza</t>
  </si>
  <si>
    <t>- No tiene Registro de gastos iniciales en la Ficha de proyecto.</t>
  </si>
  <si>
    <t xml:space="preserve">Implementación del sistema BackOffice SOAT </t>
  </si>
  <si>
    <t>Giuliana Baglietto</t>
  </si>
  <si>
    <t>Elaboración REF Activo Fijo</t>
  </si>
  <si>
    <t>Análisis Técnico y Desarrollos</t>
  </si>
  <si>
    <t>ENERO</t>
  </si>
  <si>
    <t>FEBRERO</t>
  </si>
  <si>
    <t>MARZO</t>
  </si>
  <si>
    <t>ABRIL</t>
  </si>
  <si>
    <t>MAYO</t>
  </si>
  <si>
    <t>JUNIO</t>
  </si>
  <si>
    <t>JULIO</t>
  </si>
  <si>
    <t>Giulliana Baglietto</t>
  </si>
  <si>
    <t>Informacion extraida de Rentabilidad</t>
  </si>
  <si>
    <t>Servicios de Soporte a la Migración de IAS desde Softlayer a AWS Amazon</t>
  </si>
  <si>
    <t xml:space="preserve">SI </t>
  </si>
  <si>
    <t>Fabrica de Software(San Miguel)</t>
  </si>
  <si>
    <t>Fabrica de Software(KALLPA)</t>
  </si>
  <si>
    <t>AGOSTO</t>
  </si>
  <si>
    <t>INGRESO</t>
  </si>
  <si>
    <t>Rodas Alanya Victor Eliezer</t>
  </si>
  <si>
    <t>Descripción</t>
  </si>
  <si>
    <t>Ingresos Proyectados</t>
  </si>
  <si>
    <t>Gastos Proyectados</t>
  </si>
  <si>
    <t>Fechas Inicio</t>
  </si>
  <si>
    <t>Proyectado</t>
  </si>
  <si>
    <t>Real</t>
  </si>
  <si>
    <t>Fecha Fin</t>
  </si>
  <si>
    <t>P0033-Mejoras Sistema V-Time</t>
  </si>
  <si>
    <t>Proyecto de Soporte a la Migración de SoftLayer a Amazon</t>
  </si>
  <si>
    <t>Mejoras Sistemas V-Time</t>
  </si>
  <si>
    <t>Estado Del Proyecto</t>
  </si>
  <si>
    <t>NO HAY FICHA DE REGISTRO</t>
  </si>
  <si>
    <t>INGRESOS</t>
  </si>
  <si>
    <t>MARGEN</t>
  </si>
  <si>
    <t>UTILIDAD BRUTA</t>
  </si>
  <si>
    <t>MAN POWER</t>
  </si>
  <si>
    <t>SETIEMBRE</t>
  </si>
  <si>
    <t>OCTUBRE</t>
  </si>
  <si>
    <t>NOVIEMBRE</t>
  </si>
  <si>
    <t>DICIEMBRE</t>
  </si>
  <si>
    <t>SUB CONTRATA</t>
  </si>
  <si>
    <t>MANO DE OBRA</t>
  </si>
  <si>
    <t xml:space="preserve">No Hay ficha de proyectos , datos tomados del cuadro de rentabilidad heredado.
</t>
  </si>
  <si>
    <t>No Hay ficha de proyectos , datos tomados del cuadro de rentabilidad heredado.
No hay datos de Gastos iniciales</t>
  </si>
  <si>
    <t>P0034</t>
  </si>
  <si>
    <t>Servicios de Desarrollo GDO</t>
  </si>
  <si>
    <t>Victor Rodas (temporal)</t>
  </si>
  <si>
    <t>Codigo Descripcion</t>
  </si>
  <si>
    <t>Vittor Ymaña Karen Milagros</t>
  </si>
  <si>
    <t xml:space="preserve">Villanueva Melgarejo Andres Angel </t>
  </si>
  <si>
    <t>Vaccari Nolte Aldo Bruno</t>
  </si>
  <si>
    <t xml:space="preserve">Portugal Reinoso Lourdes   </t>
  </si>
  <si>
    <t>Pineda Tuesta Marelyn Paula</t>
  </si>
  <si>
    <t>Mujica Gianoli Jorge Alberto Martin</t>
  </si>
  <si>
    <t>Montero Marcos Walter</t>
  </si>
  <si>
    <t>Castilla Mosayhuate William Martin</t>
  </si>
  <si>
    <t>Castilla Mosayhuate Giovanna Vanessa</t>
  </si>
  <si>
    <t>Baglietto Rojas Giuliana Elena</t>
  </si>
  <si>
    <t>Costo por hora</t>
  </si>
  <si>
    <t>Nombre</t>
  </si>
  <si>
    <t>Porras Zapata Estanislao Ruben</t>
  </si>
  <si>
    <t>Yactayo Naupari Aldo Polo</t>
  </si>
  <si>
    <t>Oliva-Monti Hayden Carlos Eduardo</t>
  </si>
  <si>
    <t>Garcia León Napoleon Piero Gianfranco</t>
  </si>
  <si>
    <t>Evangelista Rosas Claudia Mercedes</t>
  </si>
  <si>
    <t>Pereyra Moquillaza Jorge Alberto</t>
  </si>
  <si>
    <t>Livia Navarrete Ronald</t>
  </si>
  <si>
    <t>De la Cruz  Salinas  Luis Enrique</t>
  </si>
  <si>
    <t>Sin Observaciones
- Gastos Iniciales ( Gastos Mano de obra + Roles Adicionales)</t>
  </si>
  <si>
    <t>Sin Observaciones</t>
  </si>
  <si>
    <t>concatenado</t>
  </si>
  <si>
    <t>Hernani Lau Patricia RosaP0001</t>
  </si>
  <si>
    <t>Hernani Lau Patricia RosaP0013</t>
  </si>
  <si>
    <t>Hernani Lau Patricia RosaMP004</t>
  </si>
  <si>
    <t>Hernani Lau Patricia RosaP0030</t>
  </si>
  <si>
    <t>Hernani Lau Patricia RosaNO FACT.</t>
  </si>
  <si>
    <t>Hernani Lau Patricia RosaVACACIONES</t>
  </si>
  <si>
    <t>Hernani Lau Patricia RosaPROPUESTA</t>
  </si>
  <si>
    <t>Hernani Lau Patricia RosaINASISTENCIAS</t>
  </si>
  <si>
    <t>Benito Bendezú Marco AntonioP0005</t>
  </si>
  <si>
    <t>Benito Bendezú Marco AntonioP0026</t>
  </si>
  <si>
    <t>Benito Bendezú Marco AntonioP0008</t>
  </si>
  <si>
    <t>Benito Bendezú Marco AntonioMP002</t>
  </si>
  <si>
    <t>Benito Bendezú Marco AntonioMP003</t>
  </si>
  <si>
    <t>Benito Bendezú Marco AntonioP0020</t>
  </si>
  <si>
    <t>Benito Bendezú Marco AntonioP0010</t>
  </si>
  <si>
    <t>Padilla Vega Cindy VictoriaMP004</t>
  </si>
  <si>
    <t>Palomino Ferroa Victor IsaiasMP004</t>
  </si>
  <si>
    <t>Zuñiga Santillan Jose EduardoMP004</t>
  </si>
  <si>
    <t>Tarazona Falcon Jesus MP004</t>
  </si>
  <si>
    <t>Carrillo Roque RafaelMP004</t>
  </si>
  <si>
    <t>Alvarez Vera DanielMP004</t>
  </si>
  <si>
    <t>Chavez Guillen Miguel AngelMP004</t>
  </si>
  <si>
    <t>Huaman Ramos MoisesMP004</t>
  </si>
  <si>
    <t>Girano Corbera Cristiam AlbertoMP004</t>
  </si>
  <si>
    <t>Velasquez Quispe Lizbet NatalyMP004</t>
  </si>
  <si>
    <t>Velasquez Quispe Lizbet NatalyVACACIONES</t>
  </si>
  <si>
    <t>Cordova Lozano Renzo AbelMP004</t>
  </si>
  <si>
    <t>Chura Ingalla Percy WilliamMP004</t>
  </si>
  <si>
    <t>Fernandez Esquen Miguel AngelMP004</t>
  </si>
  <si>
    <t>Garay Vilchez Mario MartinMP004</t>
  </si>
  <si>
    <t>Laurencio Ambrosio LuisINASISTENCIAS</t>
  </si>
  <si>
    <t>Laurencio Ambrosio LuisMP004</t>
  </si>
  <si>
    <t>Arrascue Acosta LeslyeVACACIONES</t>
  </si>
  <si>
    <t>Arrascue Acosta LeslyeINASISTENCIAS</t>
  </si>
  <si>
    <t>Arrascue Acosta LeslyeMP004</t>
  </si>
  <si>
    <t>Ayala chira Juan CarlosMP004</t>
  </si>
  <si>
    <t>Guzman Arteaga JosephINASISTENCIAS</t>
  </si>
  <si>
    <t>Guzman Arteaga JosephVACACIONES</t>
  </si>
  <si>
    <t>Guzman Arteaga JosephMP004</t>
  </si>
  <si>
    <t>Chura Ingalla Percy WilliamVACACIONES</t>
  </si>
  <si>
    <t>Chura Ingalla Percy WilliamINASISTENCIAS</t>
  </si>
  <si>
    <t>Chuquisana Mendoza Jhonatan AlexanderMP004</t>
  </si>
  <si>
    <t>Meneses Sanchez Jesus DanielINASISTENCIAS</t>
  </si>
  <si>
    <t>Meneses Sanchez Jesus DanielMP004</t>
  </si>
  <si>
    <t>Olarte Leon JeffNO FACT.</t>
  </si>
  <si>
    <t>Olarte Leon JeffMP004</t>
  </si>
  <si>
    <t>Rivera Carrasco Giovanni MP004</t>
  </si>
  <si>
    <t>Peralta Boza Julio FreddyMP004</t>
  </si>
  <si>
    <t>Palomino Lanchipa Everth RomanMP004</t>
  </si>
  <si>
    <t>Mendoza Ballona Erick WilfredoVACACIONES</t>
  </si>
  <si>
    <t>Mendoza Ballona Erick WilfredoINASISTENCIAS</t>
  </si>
  <si>
    <t>Mendoza Ballona Erick WilfredoMP004</t>
  </si>
  <si>
    <t>Atanacio Gonzales Demetrio JesusVACACIONES</t>
  </si>
  <si>
    <t>Atanacio Gonzales Demetrio JesusMP004</t>
  </si>
  <si>
    <t>De la Cruz Hurtado DanyNO FACT.</t>
  </si>
  <si>
    <t>De la Cruz Hurtado DanyINASISTENCIAS</t>
  </si>
  <si>
    <t>De la Cruz Hurtado DanyP0027</t>
  </si>
  <si>
    <t>De la Cruz Hurtado DanyVACACIONES</t>
  </si>
  <si>
    <t>De la Cruz Hurtado DanyMP004</t>
  </si>
  <si>
    <t>Becerra Robles DanielINASISTENCIAS</t>
  </si>
  <si>
    <t>Becerra Robles DanielVACACIONES</t>
  </si>
  <si>
    <t>Becerra Robles DanielMP004</t>
  </si>
  <si>
    <t>Padilla Vega Cindy VictoriaVACACIONES</t>
  </si>
  <si>
    <t>Calderon Vilchez Renzo PabloMP004</t>
  </si>
  <si>
    <t>Aricochea Marcelo Anthony DanteINASISTENCIAS</t>
  </si>
  <si>
    <t>Aricochea Marcelo Anthony DanteMP004</t>
  </si>
  <si>
    <t>Pérez Cristobal Angel Marcel INASISTENCIAS</t>
  </si>
  <si>
    <t>Pérez Cristobal Angel Marcel VACACIONES</t>
  </si>
  <si>
    <t>Pérez Cristobal Angel Marcel MP004</t>
  </si>
  <si>
    <t>Lopez Borja Amadeo FelixMP004</t>
  </si>
  <si>
    <t>Zenteno Espinoza AlexINASISTENCIAS</t>
  </si>
  <si>
    <t>Zenteno Espinoza AlexMP004</t>
  </si>
  <si>
    <t>Arce Portocarrero Alejandro MiguelP0033</t>
  </si>
  <si>
    <t>Arce Portocarrero Alejandro MiguelMP004</t>
  </si>
  <si>
    <t>Gallegos Flores Pool JhonatanMP004</t>
  </si>
  <si>
    <t>Benito Bendezú Marco AntonioMP001</t>
  </si>
  <si>
    <t>Benito Bendezú Marco AntonioVACACIONES</t>
  </si>
  <si>
    <t>Benito Bendezú Marco AntonioNO FACT.</t>
  </si>
  <si>
    <t>Benito Bendezú Marco AntonioPROPUESTA</t>
  </si>
  <si>
    <t>Torres Brousset Pacheco, Gutenberg AlexisP0005</t>
  </si>
  <si>
    <t>Torres Brousset Pacheco, Gutenberg AlexisP0011</t>
  </si>
  <si>
    <t>Salazar Rojas Javier FernandoP0020</t>
  </si>
  <si>
    <t>Zuñiga Santillan Jose EduardoP0020</t>
  </si>
  <si>
    <t>Tarazona Falcon Jesus P0020</t>
  </si>
  <si>
    <t>Torres Brousset Pacheco, Gutenberg AlexisP0013</t>
  </si>
  <si>
    <t>Torres Brousset Pacheco, Gutenberg AlexisP0012</t>
  </si>
  <si>
    <t>Hernani Lau Patricia RosaP0014</t>
  </si>
  <si>
    <t>Hernani Lau Patricia RosaP0017</t>
  </si>
  <si>
    <t>Marin Soriano Olga BeatrizP0001</t>
  </si>
  <si>
    <t>Torres Brousset Pacheco, Gutenberg AlexisP0002</t>
  </si>
  <si>
    <t>Torres Brousset Pacheco, Gutenberg AlexisP0032</t>
  </si>
  <si>
    <t>Torres Brousset Pacheco, Gutenberg AlexisINASISTENCIAS</t>
  </si>
  <si>
    <t>Torres Brousset Pacheco, Gutenberg AlexisVACACIONES</t>
  </si>
  <si>
    <t>Torres Brousset Pacheco, Gutenberg AlexisNO FACT.</t>
  </si>
  <si>
    <t>Salazar Rojas Javier FernandoP0005</t>
  </si>
  <si>
    <t>Salazar Rojas Javier FernandoMP004</t>
  </si>
  <si>
    <t>Salazar Rojas Javier FernandoNO FACT.</t>
  </si>
  <si>
    <t>Rivera Carrasco Giovanni INASISTENCIAS</t>
  </si>
  <si>
    <t>Calderon Vilchez Renzo PabloVACACIONES</t>
  </si>
  <si>
    <t>Fernandez Esquen Miguel AngelP0033</t>
  </si>
  <si>
    <t>Alejos Yamamoto Arturo RicardoP0007</t>
  </si>
  <si>
    <t>Alejos Yamamoto Arturo RicardoP0008</t>
  </si>
  <si>
    <t>Alejos Yamamoto Arturo RicardoP0006</t>
  </si>
  <si>
    <t>Alejos Yamamoto Arturo RicardoP0002</t>
  </si>
  <si>
    <t>Alejos Yamamoto Arturo RicardoP0003</t>
  </si>
  <si>
    <t>Alejos Yamamoto Arturo RicardoP0024</t>
  </si>
  <si>
    <t>Huanes Bautista Cesar AlfredoP0034</t>
  </si>
  <si>
    <t>Empresa tercerizadaP0019</t>
  </si>
  <si>
    <t>Alejos Yamamoto Arturo RicardoPROPUESTA</t>
  </si>
  <si>
    <t>Alejos Yamamoto Arturo RicardoINASISTENCIAS</t>
  </si>
  <si>
    <t>Alejos Yamamoto Arturo RicardoVACACIONES</t>
  </si>
  <si>
    <t>Alejos Yamamoto Arturo RicardoNO FACT.</t>
  </si>
  <si>
    <t>Pérez Montemayor Jose JavierP0007</t>
  </si>
  <si>
    <t>Carrillo Roque RafaelP0008</t>
  </si>
  <si>
    <t>Pérez Montemayor Jose JavierP0008</t>
  </si>
  <si>
    <t>Carrillo Roque RafaelP0006</t>
  </si>
  <si>
    <t>Pérez Montemayor Jose JavierP0006</t>
  </si>
  <si>
    <t>Alejos Yamamoto Arturo RicardoP0020</t>
  </si>
  <si>
    <t>Alejos Yamamoto Arturo RicardoP0034</t>
  </si>
  <si>
    <t>Pérez Montemayor Jose JavierP0020</t>
  </si>
  <si>
    <t>Pérez Montemayor Jose JavierINASISTENCIAS</t>
  </si>
  <si>
    <t>Pérez Montemayor Jose JavierP0024</t>
  </si>
  <si>
    <t>Pizarro Saldaña Jorge GabrielP0002</t>
  </si>
  <si>
    <t>Pizarro Saldaña Jorge GabrielP0003</t>
  </si>
  <si>
    <t>Pizarro Saldaña Jorge GabrielP0018</t>
  </si>
  <si>
    <t>Pizarro Saldaña Jorge GabrielP0009</t>
  </si>
  <si>
    <t>Pizarro Saldaña Jorge GabrielP0013</t>
  </si>
  <si>
    <t>Pizarro Saldaña Jorge GabrielP0023</t>
  </si>
  <si>
    <t>Revilla Casalino PabloNO FACT.</t>
  </si>
  <si>
    <t>Marin Soriano Olga BeatrizNO FACT.</t>
  </si>
  <si>
    <t>Cruzado Canal Manuel EnriqueNO FACT.</t>
  </si>
  <si>
    <t>Tarazona Falcon Jesus NO FACT.</t>
  </si>
  <si>
    <t>Pizarro Saldaña Jorge GabrielNO FACT.</t>
  </si>
  <si>
    <t>Marin Soriano Olga BeatrizPROPUESTA</t>
  </si>
  <si>
    <t>Atanacio Gonzales Demetrio JesusINASISTENCIAS</t>
  </si>
  <si>
    <t>Pizarro Saldaña Jorge GabrielVACACIONES</t>
  </si>
  <si>
    <t>Pizarro Saldaña Jorge GabrielPROPUESTA</t>
  </si>
  <si>
    <t>Carrillo Roque RafaelP0007</t>
  </si>
  <si>
    <t>Pizarro Saldaña Jorge GabrielINASISTENCIAS</t>
  </si>
  <si>
    <t>Revilla Casalino PabloP0002</t>
  </si>
  <si>
    <t>Revilla Casalino PabloP0003</t>
  </si>
  <si>
    <t>Revilla Casalino PabloP0009</t>
  </si>
  <si>
    <t>Chamorro Rojas Pierre NestorP0018</t>
  </si>
  <si>
    <t>Revilla Casalino PabloP0018</t>
  </si>
  <si>
    <t>Revilla Casalino PabloP0013</t>
  </si>
  <si>
    <t>Revilla Casalino PabloP0023</t>
  </si>
  <si>
    <t>Revilla Casalino PabloVACACIONES</t>
  </si>
  <si>
    <t>Revilla Casalino PabloPROPUESTA</t>
  </si>
  <si>
    <t>Garcia Gutierrez Alan DavidVACACIONES</t>
  </si>
  <si>
    <t>Garcia Gutierrez Alan DavidMP003</t>
  </si>
  <si>
    <t>Fernandez Sanchez Walter JoseVACACIONES</t>
  </si>
  <si>
    <t>Fernandez Sanchez Walter JoseMP001</t>
  </si>
  <si>
    <t>Capactinta Bonifacio Luis ReynaldoP0010</t>
  </si>
  <si>
    <t>Rodas Alanya Victor EliezerMP003</t>
  </si>
  <si>
    <t>Capactinta Bonifacio Luis ReynaldoINASISTENCIAS</t>
  </si>
  <si>
    <t>Capactinta Bonifacio Luis ReynaldoVACACIONES</t>
  </si>
  <si>
    <t>Capactinta Bonifacio Luis ReynaldoNO FACT.</t>
  </si>
  <si>
    <t>Barbaran Broncales EmanuelP0013</t>
  </si>
  <si>
    <t>Barbaran Broncales EmanuelMP004</t>
  </si>
  <si>
    <t>Barbaran Broncales EmanuelNO FACT.</t>
  </si>
  <si>
    <t>Huanes Bautista Cesar AlfredoNO FACT.</t>
  </si>
  <si>
    <t>Huanes Bautista Cesar AlfredoP0013</t>
  </si>
  <si>
    <t>Lopez Borja Amadeo FelixINASISTENCIAS</t>
  </si>
  <si>
    <t>Galvez Aguilar Arturo JesusINASISTENCIAS</t>
  </si>
  <si>
    <t>Galvez Aguilar Arturo JesusNO FACT.</t>
  </si>
  <si>
    <t>Taipe Aylas Ronald DavidMP001</t>
  </si>
  <si>
    <t>Barbaran Broncales EmanuelMP001</t>
  </si>
  <si>
    <t>Galvez Aguilar Arturo JesusMP001</t>
  </si>
  <si>
    <t>Galvez Aguilar Arturo JesusP0013</t>
  </si>
  <si>
    <t>Chamorro Rojas Pierre NestorP0009</t>
  </si>
  <si>
    <t>Chamorro Rojas Pierre NestorNO FACT.</t>
  </si>
  <si>
    <t>Chamorro Rojas Pierre NestorP0023</t>
  </si>
  <si>
    <t>Chamorro Rojas Pierre NestorINASISTENCIAS</t>
  </si>
  <si>
    <t>Gonzales Chunga Scarlen OdalisP0015</t>
  </si>
  <si>
    <t>Gonzales Chunga Scarlen OdalisMP004</t>
  </si>
  <si>
    <t>Gonzales Chunga Scarlen OdalisVACACIONES</t>
  </si>
  <si>
    <t>Gonzales Chunga Scarlen OdalisP0013</t>
  </si>
  <si>
    <t>Uceda Rentería Cristhian DanielP0013</t>
  </si>
  <si>
    <t>Salinas Vasquez Juan RafaelP0022</t>
  </si>
  <si>
    <t>Sotelo Marcos Victor HugoNO FACT.</t>
  </si>
  <si>
    <t>Sotelo Marcos Victor HugoP0033</t>
  </si>
  <si>
    <t>Salinas Vasquez Juan RafaelP0027</t>
  </si>
  <si>
    <t>Sotelo Marcos Victor HugoP0025</t>
  </si>
  <si>
    <t>Sotelo Marcos Victor HugoP0027</t>
  </si>
  <si>
    <t>Pérez Montemayor Jose JavierP0034</t>
  </si>
  <si>
    <t>Trujillo Mochcco AlexVACACIONES</t>
  </si>
  <si>
    <t>Trujillo Mochcco AlexMP004</t>
  </si>
  <si>
    <t>Somoza Francisco JavierP0013</t>
  </si>
  <si>
    <t>Huanes Bautista Cesar AlfredoINASISTENCIAS</t>
  </si>
  <si>
    <t>INASISTENCIAS JUSTIFICADAS</t>
  </si>
  <si>
    <t>Inasistencias Justificadas</t>
  </si>
  <si>
    <t>Cumpa Miguel Angel</t>
  </si>
  <si>
    <t>Cumpa Miguel AngelMP001</t>
  </si>
  <si>
    <t>Sotelo Marcos Victor HugoP0022</t>
  </si>
  <si>
    <t>Sotelo Marcos Victor HugoPROPUESTA</t>
  </si>
  <si>
    <t>Sotelo Marcos Victor HugoP0026</t>
  </si>
  <si>
    <t>De la Cruz Hurtado DanyP0022</t>
  </si>
  <si>
    <t>De la Cruz Hurtado DanyPROPUESTA</t>
  </si>
  <si>
    <t>Gomez Cantuarias Yoana Jaqueline</t>
  </si>
  <si>
    <t>Gomez Cantuarias Yoana JaquelineP0027</t>
  </si>
  <si>
    <t>Gomez Cantuarias Yoana JaquelineINASISTENCIAS JUSTIFICADAS</t>
  </si>
  <si>
    <t>Ir a Rentabilidad x Proyecto</t>
  </si>
  <si>
    <t>Ver Rentabilidad x Proyecto</t>
  </si>
  <si>
    <t>Regresar Cuadro Distribucion Horas</t>
  </si>
  <si>
    <t>Ir a Resumen de Rentabilidad</t>
  </si>
  <si>
    <t>Regresar a Rentabilidad x Proyecto</t>
  </si>
  <si>
    <t>Ver Cuadro de margen utilidad x Proyecto</t>
  </si>
  <si>
    <t>Zenteno Espinoza AlexINASISTENCIAS JUSTIFICADAS</t>
  </si>
  <si>
    <t>Barbaran Broncales EmanuelMP002</t>
  </si>
  <si>
    <t>Atanacio Gonzales Demetrio JesusINASISTENCIAS JUSTIFICADAS</t>
  </si>
  <si>
    <t>Soporte de Analista de Calidad v2</t>
  </si>
  <si>
    <t>Outsourcing  de configuración de productos BBVA</t>
  </si>
  <si>
    <t>.Margen</t>
  </si>
  <si>
    <t>Pérez Montemayor Jose JavierP0027</t>
  </si>
  <si>
    <t>Arce Miguel</t>
  </si>
  <si>
    <t>Cordova Miranda Missel</t>
  </si>
  <si>
    <t>Alertas de recursos</t>
  </si>
  <si>
    <t xml:space="preserve">Recurso </t>
  </si>
  <si>
    <t>Estado</t>
  </si>
  <si>
    <t>Proyecto Asignado</t>
  </si>
  <si>
    <t>ABB/SUSALUD/AMERICA TV/APESEG</t>
  </si>
  <si>
    <t>MOLY_COP</t>
  </si>
  <si>
    <t>CARDIFF</t>
  </si>
  <si>
    <t>ENCARGADO</t>
  </si>
  <si>
    <t>WM</t>
  </si>
  <si>
    <t>GA</t>
  </si>
  <si>
    <t>GB</t>
  </si>
  <si>
    <t>HS</t>
  </si>
  <si>
    <t>AA</t>
  </si>
  <si>
    <t>PR</t>
  </si>
  <si>
    <t>HUGO SOTELO</t>
  </si>
  <si>
    <t>Cordova Miranda Missel Krujel</t>
  </si>
  <si>
    <t>Cordova Miranda Missel KrujelP0033</t>
  </si>
  <si>
    <t>Torres Gonzales Rogger AdriánMP004</t>
  </si>
  <si>
    <t>Torres Gonzales Rogger AdriánVACACIONES</t>
  </si>
  <si>
    <t>Torres Gonzales Rogger AdriánINASISTENCIAS</t>
  </si>
  <si>
    <t>Villanueva Melgarejo Andres Angel INASISTENCIAS JUSTIFICADAS</t>
  </si>
  <si>
    <t>Villanueva Melgarejo Andres Angel MP002</t>
  </si>
  <si>
    <t>Escobedo Martinez ÁngelMP004</t>
  </si>
  <si>
    <t>Escobedo Martinez ÁngelVACACIONES</t>
  </si>
  <si>
    <t>Pendiente Facturar</t>
  </si>
  <si>
    <t>PROYECTO INTERNO</t>
  </si>
  <si>
    <t>Estado Proyecto</t>
  </si>
  <si>
    <t>LEYENDA</t>
  </si>
  <si>
    <t>Proyecto en Proceso</t>
  </si>
  <si>
    <t>Proyecto Abierto</t>
  </si>
  <si>
    <t>Proyecto Cerrado</t>
  </si>
  <si>
    <t>P0035</t>
  </si>
  <si>
    <t>Fernandez Esquen Miguel AngelP0035</t>
  </si>
  <si>
    <t>Arce Portocarrero Alejandro MiguelP0035</t>
  </si>
  <si>
    <t>Normativo Reaseguros y RRC</t>
  </si>
  <si>
    <t xml:space="preserve"> </t>
  </si>
  <si>
    <t>Monto Total</t>
  </si>
  <si>
    <t>Falta Facturar</t>
  </si>
  <si>
    <t>Nombre Corto</t>
  </si>
  <si>
    <t>APESEG</t>
  </si>
  <si>
    <t>RUC</t>
  </si>
  <si>
    <t>Carpeta</t>
  </si>
  <si>
    <t>Hugo Sotelo/Miguel Fernandez</t>
  </si>
  <si>
    <t>Hugo Sotelo/Dany de la Cruz</t>
  </si>
  <si>
    <t>Hugo Sotelo/Marco Benito</t>
  </si>
  <si>
    <t>Gustavo Arenaza/Hugo Sotelo</t>
  </si>
  <si>
    <t>20600098633-CRECER/P0001/</t>
  </si>
  <si>
    <t>MP006</t>
  </si>
  <si>
    <t>MP007</t>
  </si>
  <si>
    <t>Capactinta Bonifacio Luis ReynaldoMP006</t>
  </si>
  <si>
    <t>Cespedes Levano Edwin IsraelMP007</t>
  </si>
  <si>
    <t>Descripcion</t>
  </si>
  <si>
    <t>Manpower</t>
  </si>
  <si>
    <t>Sotelo Marcos Victor HugoP0035</t>
  </si>
  <si>
    <t>Laurencio Ambrosio LuisVACACIONES</t>
  </si>
  <si>
    <t>Meneses Sanchez Jesus DanielVACACIONES</t>
  </si>
  <si>
    <t>.Setiembre  01</t>
  </si>
  <si>
    <t>.Setiembre  04-08</t>
  </si>
  <si>
    <t>.Setiembre  11-15</t>
  </si>
  <si>
    <t>.Setiembre  18-22</t>
  </si>
  <si>
    <t>.Setiembre  25-29</t>
  </si>
  <si>
    <t>.TOTAL HRS SETIEMBRE</t>
  </si>
  <si>
    <t>Castillo Cardenas Jose Hildebrando</t>
  </si>
  <si>
    <t>Castillo Cardenas Jose HildebrandoP0026</t>
  </si>
  <si>
    <t>Castillo Cardenas Jose HildebrandoP0005</t>
  </si>
  <si>
    <t>soles</t>
  </si>
  <si>
    <t>GUTEMBERG TORRES(cesado)</t>
  </si>
  <si>
    <t>CESAR HUANES(cesado)</t>
  </si>
  <si>
    <t>Galvez Aguilar Arturo Jesus(cesado)</t>
  </si>
  <si>
    <t>Jose Castillo</t>
  </si>
  <si>
    <t xml:space="preserve">Proyecto </t>
  </si>
  <si>
    <t>Equipo</t>
  </si>
  <si>
    <t>Miguel fernandez</t>
  </si>
  <si>
    <t>Alejandro Arce</t>
  </si>
  <si>
    <t>Missel Cordova</t>
  </si>
  <si>
    <t>Gomez Yoana(Cesada)</t>
  </si>
  <si>
    <t xml:space="preserve">Jose Vascones </t>
  </si>
  <si>
    <t>Proyecto</t>
  </si>
  <si>
    <t>Edwin Cespedes Levano</t>
  </si>
  <si>
    <t>Hector Ticona</t>
  </si>
  <si>
    <t>Facturar Año Anterior</t>
  </si>
  <si>
    <t>Barbaran Broncales EmanuelINASISTENCIAS JUSTIFICADAS</t>
  </si>
  <si>
    <t>Hernani Lau Patricia RosaINASISTENCIAS JUSTIFICADAS</t>
  </si>
  <si>
    <t>Castillo Cardenas Jose HildebrandoP0033</t>
  </si>
  <si>
    <t>Revilla Casalino PabloINASISTENCIAS</t>
  </si>
  <si>
    <t>GESTION DE PROYECTOS</t>
  </si>
  <si>
    <t>Gestion de Proyectos</t>
  </si>
  <si>
    <t>Cespedes Pasion Jean FrancoGESTION DE PROYECTOS</t>
  </si>
  <si>
    <t>Huanes Bautista Cesar AlfredoGESTION DE PROYECTOS</t>
  </si>
  <si>
    <t>Castillo Cardenas Jose HildebrandoGESTION DE PROYECTOS</t>
  </si>
  <si>
    <t>Serrano Escalona Armando Jose</t>
  </si>
  <si>
    <t>Ticona Pinto Hector Alexader</t>
  </si>
  <si>
    <t>Vascones Sandova Jose Antonio</t>
  </si>
  <si>
    <t>Vascones Sandova Jose AntonioP0027</t>
  </si>
  <si>
    <t>Ticona Pinto Hector AlexaderP0027</t>
  </si>
  <si>
    <t>Serrano Escalona Armando JoseMP001</t>
  </si>
  <si>
    <t>Sotelo Marcos Victor HugoGESTION DE PROYECTOS</t>
  </si>
  <si>
    <t>Castillo Cardenas Jose HildebrandoMP004</t>
  </si>
  <si>
    <t>La Rosa Wilfredo</t>
  </si>
  <si>
    <t>La Rosa WilfredoMP004</t>
  </si>
  <si>
    <t>Gastos Real M.O</t>
  </si>
  <si>
    <t>Gastos Proyectados M.O</t>
  </si>
  <si>
    <t>cesado</t>
  </si>
  <si>
    <t>Lozano Jose Luiz</t>
  </si>
  <si>
    <t>Lozano Jose LuizMP001</t>
  </si>
  <si>
    <t>Lozano Jose LuizINASISTENCIAS</t>
  </si>
  <si>
    <t>Cespedes Levano Edwin IsraelINASISTENCIAS</t>
  </si>
  <si>
    <t>.Octubre  02-06</t>
  </si>
  <si>
    <t>Chamorro Rojas Pierre NestorVACACIONES</t>
  </si>
  <si>
    <t>.Octubre  09-13</t>
  </si>
  <si>
    <t>.Octubre  16-20</t>
  </si>
  <si>
    <t>.Octubre  23-28</t>
  </si>
  <si>
    <t>.Octubre  30-31</t>
  </si>
  <si>
    <t>.TOTAL HRS OCTUBRE</t>
  </si>
  <si>
    <t>&lt;</t>
  </si>
  <si>
    <t>P0035-Normativo Reaseguros y RRC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</si>
</sst>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2" formatCode="_ &quot;S/.&quot;\ * #,##0_ ;_ &quot;S/.&quot;\ * \-#,##0_ ;_ &quot;S/.&quot;\ * &quot;-&quot;_ ;_ @_ "/>
    <numFmt numFmtId="44" formatCode="_ &quot;S/.&quot;\ * #,##0.00_ ;_ &quot;S/.&quot;\ * \-#,##0.00_ ;_ &quot;S/.&quot;\ * &quot;-&quot;??_ ;_ @_ "/>
    <numFmt numFmtId="43" formatCode="_ * #,##0.00_ ;_ * \-#,##0.00_ ;_ * &quot;-&quot;??_ ;_ @_ "/>
    <numFmt numFmtId="164" formatCode="0.0%"/>
    <numFmt numFmtId="165" formatCode="#,###"/>
    <numFmt numFmtId="166" formatCode="_ [$S/.-280A]\ * #,##0.00_ ;_ [$S/.-280A]\ * \-#,##0.00_ ;_ [$S/.-280A]\ * &quot;-&quot;??_ ;_ @_ "/>
    <numFmt numFmtId="167" formatCode="_ [$S/.-280A]\ * #,##0_ ;_ [$S/.-280A]\ * \-#,##0_ ;_ [$S/.-280A]\ * &quot;-&quot;??_ ;_ @_ "/>
    <numFmt numFmtId="168" formatCode="_ &quot;S/.&quot;\ * #,##0_ ;_ &quot;S/.&quot;\ * \-#,##0_ ;_ &quot;S/.&quot;\ * &quot;-&quot;??_ ;_ @_ "/>
    <numFmt numFmtId="169" formatCode="dd/mm/yyyy;@"/>
    <numFmt numFmtId="170" formatCode="#,##0_ ;\-#,##0\ "/>
  </numFmts>
  <fonts count="5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4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sz val="9"/>
      <color theme="0" tint="-4.9989318521683403E-2"/>
      <name val="Calibri"/>
      <family val="2"/>
      <scheme val="minor"/>
    </font>
    <font>
      <sz val="8"/>
      <color theme="1"/>
      <name val="Arabic Typesetting"/>
      <family val="4"/>
    </font>
    <font>
      <sz val="8"/>
      <color theme="1"/>
      <name val="Arial Black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 tint="0.249977111117893"/>
      <name val="Calibri"/>
      <family val="2"/>
      <scheme val="minor"/>
    </font>
    <font>
      <b/>
      <sz val="9"/>
      <color theme="0" tint="-4.9989318521683403E-2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7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7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7"/>
      <color theme="0" tint="-4.9989318521683403E-2"/>
      <name val="Calibri"/>
      <family val="2"/>
      <scheme val="minor"/>
    </font>
    <font>
      <sz val="7"/>
      <color theme="1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7"/>
      <color theme="7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8"/>
      <color theme="1"/>
      <name val="Arial Black"/>
      <family val="2"/>
    </font>
    <font>
      <b/>
      <sz val="8"/>
      <color theme="0"/>
      <name val="Arial Black"/>
      <family val="2"/>
    </font>
    <font>
      <sz val="10"/>
      <color theme="1"/>
      <name val="Calibri Light"/>
      <family val="2"/>
      <scheme val="major"/>
    </font>
    <font>
      <sz val="8"/>
      <color theme="1" tint="4.9989318521683403E-2"/>
      <name val="Arial Black"/>
      <family val="2"/>
    </font>
    <font>
      <sz val="8"/>
      <name val="Arial Black"/>
      <family val="2"/>
    </font>
    <font>
      <b/>
      <u/>
      <sz val="11"/>
      <name val="Calibri"/>
      <family val="2"/>
      <scheme val="minor"/>
    </font>
    <font>
      <sz val="8"/>
      <color theme="0"/>
      <name val="Arial Black"/>
      <family val="2"/>
    </font>
  </fonts>
  <fills count="38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F2F2F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FFCC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9"/>
        <bgColor indexed="64"/>
      </patternFill>
    </fill>
  </fills>
  <borders count="7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0">
    <xf numFmtId="0" fontId="0" fillId="0" borderId="0"/>
    <xf numFmtId="9" fontId="7" fillId="0" borderId="0" applyFont="0" applyFill="0" applyBorder="0" applyAlignment="0" applyProtection="0"/>
    <xf numFmtId="0" fontId="8" fillId="3" borderId="2" applyNumberFormat="0" applyAlignment="0" applyProtection="0"/>
    <xf numFmtId="43" fontId="7" fillId="0" borderId="0" applyFont="0" applyFill="0" applyBorder="0" applyAlignment="0" applyProtection="0"/>
    <xf numFmtId="0" fontId="18" fillId="6" borderId="0" applyNumberFormat="0" applyBorder="0" applyAlignment="0" applyProtection="0"/>
    <xf numFmtId="0" fontId="19" fillId="0" borderId="0" applyNumberFormat="0" applyFill="0" applyBorder="0" applyAlignment="0" applyProtection="0"/>
    <xf numFmtId="0" fontId="27" fillId="0" borderId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679">
    <xf numFmtId="0" fontId="0" fillId="0" borderId="0" xfId="0"/>
    <xf numFmtId="0" fontId="1" fillId="0" borderId="0" xfId="0" applyFont="1"/>
    <xf numFmtId="0" fontId="1" fillId="0" borderId="0" xfId="0" applyFont="1" applyFill="1" applyBorder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Fill="1" applyBorder="1" applyAlignment="1">
      <alignment horizontal="left" vertical="center"/>
    </xf>
    <xf numFmtId="0" fontId="1" fillId="0" borderId="0" xfId="0" applyFont="1" applyFill="1" applyAlignment="1">
      <alignment horizontal="left"/>
    </xf>
    <xf numFmtId="0" fontId="3" fillId="0" borderId="0" xfId="0" applyFont="1" applyFill="1" applyBorder="1"/>
    <xf numFmtId="49" fontId="3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/>
    </xf>
    <xf numFmtId="49" fontId="2" fillId="2" borderId="0" xfId="0" applyNumberFormat="1" applyFont="1" applyFill="1" applyBorder="1" applyAlignment="1">
      <alignment horizontal="left"/>
    </xf>
    <xf numFmtId="0" fontId="5" fillId="2" borderId="0" xfId="0" applyFont="1" applyFill="1" applyBorder="1" applyAlignment="1">
      <alignment horizontal="left" vertical="center"/>
    </xf>
    <xf numFmtId="49" fontId="5" fillId="2" borderId="0" xfId="0" applyNumberFormat="1" applyFont="1" applyFill="1" applyBorder="1" applyAlignment="1">
      <alignment horizontal="left" vertical="center"/>
    </xf>
    <xf numFmtId="49" fontId="5" fillId="2" borderId="0" xfId="0" applyNumberFormat="1" applyFont="1" applyFill="1" applyBorder="1" applyAlignment="1">
      <alignment horizontal="center" vertical="center"/>
    </xf>
    <xf numFmtId="17" fontId="5" fillId="2" borderId="0" xfId="0" applyNumberFormat="1" applyFont="1" applyFill="1" applyBorder="1" applyAlignment="1">
      <alignment horizontal="center" vertical="center"/>
    </xf>
    <xf numFmtId="49" fontId="6" fillId="2" borderId="0" xfId="0" applyNumberFormat="1" applyFont="1" applyFill="1" applyBorder="1" applyAlignment="1">
      <alignment horizontal="left"/>
    </xf>
    <xf numFmtId="17" fontId="3" fillId="0" borderId="1" xfId="0" applyNumberFormat="1" applyFont="1" applyFill="1" applyBorder="1" applyAlignment="1">
      <alignment horizontal="left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left" vertical="center"/>
    </xf>
    <xf numFmtId="17" fontId="4" fillId="0" borderId="1" xfId="0" applyNumberFormat="1" applyFont="1" applyFill="1" applyBorder="1" applyAlignment="1">
      <alignment horizontal="left" vertical="center" wrapText="1"/>
    </xf>
    <xf numFmtId="17" fontId="3" fillId="0" borderId="1" xfId="0" applyNumberFormat="1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1" fillId="0" borderId="0" xfId="0" applyFont="1" applyAlignment="1">
      <alignment horizontal="center"/>
    </xf>
    <xf numFmtId="0" fontId="10" fillId="0" borderId="0" xfId="0" applyFont="1" applyFill="1" applyBorder="1"/>
    <xf numFmtId="0" fontId="10" fillId="0" borderId="0" xfId="0" applyFont="1" applyFill="1" applyBorder="1" applyAlignment="1">
      <alignment horizontal="left"/>
    </xf>
    <xf numFmtId="0" fontId="10" fillId="0" borderId="0" xfId="0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0" applyFont="1" applyFill="1"/>
    <xf numFmtId="0" fontId="5" fillId="2" borderId="0" xfId="0" applyFont="1" applyFill="1" applyAlignment="1">
      <alignment horizontal="center"/>
    </xf>
    <xf numFmtId="0" fontId="3" fillId="0" borderId="0" xfId="0" applyFont="1"/>
    <xf numFmtId="0" fontId="12" fillId="0" borderId="5" xfId="0" applyFont="1" applyBorder="1"/>
    <xf numFmtId="0" fontId="9" fillId="0" borderId="5" xfId="0" applyFont="1" applyBorder="1"/>
    <xf numFmtId="0" fontId="5" fillId="2" borderId="6" xfId="0" applyFont="1" applyFill="1" applyBorder="1" applyAlignment="1">
      <alignment horizontal="center"/>
    </xf>
    <xf numFmtId="164" fontId="13" fillId="0" borderId="7" xfId="1" applyNumberFormat="1" applyFont="1" applyBorder="1"/>
    <xf numFmtId="164" fontId="13" fillId="0" borderId="4" xfId="1" applyNumberFormat="1" applyFont="1" applyBorder="1"/>
    <xf numFmtId="1" fontId="13" fillId="0" borderId="7" xfId="3" applyNumberFormat="1" applyFont="1" applyBorder="1"/>
    <xf numFmtId="1" fontId="13" fillId="0" borderId="4" xfId="3" applyNumberFormat="1" applyFont="1" applyBorder="1"/>
    <xf numFmtId="49" fontId="1" fillId="0" borderId="0" xfId="0" applyNumberFormat="1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left" vertical="center"/>
    </xf>
    <xf numFmtId="0" fontId="14" fillId="0" borderId="0" xfId="0" applyFont="1" applyAlignment="1">
      <alignment horizontal="left"/>
    </xf>
    <xf numFmtId="0" fontId="5" fillId="2" borderId="0" xfId="0" applyNumberFormat="1" applyFont="1" applyFill="1" applyBorder="1" applyAlignment="1">
      <alignment horizontal="center" vertical="center" wrapText="1"/>
    </xf>
    <xf numFmtId="0" fontId="15" fillId="5" borderId="0" xfId="0" applyFont="1" applyFill="1" applyBorder="1"/>
    <xf numFmtId="0" fontId="15" fillId="5" borderId="0" xfId="0" applyFont="1" applyFill="1" applyBorder="1" applyAlignment="1">
      <alignment horizontal="center"/>
    </xf>
    <xf numFmtId="0" fontId="17" fillId="0" borderId="0" xfId="0" applyFont="1"/>
    <xf numFmtId="0" fontId="9" fillId="0" borderId="0" xfId="0" applyFont="1" applyBorder="1"/>
    <xf numFmtId="0" fontId="8" fillId="4" borderId="0" xfId="2" applyFill="1" applyBorder="1"/>
    <xf numFmtId="0" fontId="1" fillId="4" borderId="0" xfId="0" applyFont="1" applyFill="1" applyBorder="1"/>
    <xf numFmtId="1" fontId="1" fillId="0" borderId="0" xfId="0" applyNumberFormat="1" applyFont="1" applyAlignment="1">
      <alignment horizontal="center"/>
    </xf>
    <xf numFmtId="1" fontId="1" fillId="0" borderId="3" xfId="0" applyNumberFormat="1" applyFont="1" applyBorder="1" applyAlignment="1">
      <alignment horizontal="center"/>
    </xf>
    <xf numFmtId="17" fontId="20" fillId="0" borderId="1" xfId="0" applyNumberFormat="1" applyFont="1" applyFill="1" applyBorder="1" applyAlignment="1">
      <alignment horizontal="left" vertical="center"/>
    </xf>
    <xf numFmtId="0" fontId="20" fillId="0" borderId="1" xfId="0" applyFont="1" applyFill="1" applyBorder="1" applyAlignment="1">
      <alignment horizontal="left" vertical="center"/>
    </xf>
    <xf numFmtId="0" fontId="15" fillId="2" borderId="22" xfId="0" applyNumberFormat="1" applyFont="1" applyFill="1" applyBorder="1" applyAlignment="1">
      <alignment horizontal="center"/>
    </xf>
    <xf numFmtId="0" fontId="15" fillId="2" borderId="23" xfId="0" applyNumberFormat="1" applyFont="1" applyFill="1" applyBorder="1" applyAlignment="1">
      <alignment horizontal="center"/>
    </xf>
    <xf numFmtId="0" fontId="15" fillId="2" borderId="21" xfId="0" applyNumberFormat="1" applyFont="1" applyFill="1" applyBorder="1" applyAlignment="1">
      <alignment horizontal="center"/>
    </xf>
    <xf numFmtId="0" fontId="3" fillId="0" borderId="17" xfId="0" applyNumberFormat="1" applyFont="1" applyBorder="1" applyAlignment="1">
      <alignment horizontal="center"/>
    </xf>
    <xf numFmtId="0" fontId="3" fillId="0" borderId="18" xfId="0" applyNumberFormat="1" applyFont="1" applyBorder="1" applyAlignment="1">
      <alignment horizontal="center"/>
    </xf>
    <xf numFmtId="0" fontId="3" fillId="0" borderId="19" xfId="0" applyNumberFormat="1" applyFont="1" applyBorder="1" applyAlignment="1">
      <alignment horizontal="center"/>
    </xf>
    <xf numFmtId="0" fontId="22" fillId="2" borderId="4" xfId="0" applyFont="1" applyFill="1" applyBorder="1" applyAlignment="1">
      <alignment horizontal="left"/>
    </xf>
    <xf numFmtId="0" fontId="15" fillId="2" borderId="4" xfId="0" applyFont="1" applyFill="1" applyBorder="1" applyAlignment="1">
      <alignment horizontal="left"/>
    </xf>
    <xf numFmtId="0" fontId="22" fillId="2" borderId="24" xfId="0" applyFont="1" applyFill="1" applyBorder="1" applyAlignment="1">
      <alignment horizontal="center"/>
    </xf>
    <xf numFmtId="0" fontId="22" fillId="2" borderId="3" xfId="0" applyFont="1" applyFill="1" applyBorder="1" applyAlignment="1">
      <alignment horizontal="center"/>
    </xf>
    <xf numFmtId="0" fontId="22" fillId="2" borderId="8" xfId="0" applyFont="1" applyFill="1" applyBorder="1" applyAlignment="1">
      <alignment horizontal="center"/>
    </xf>
    <xf numFmtId="0" fontId="1" fillId="0" borderId="1" xfId="0" applyFont="1" applyFill="1" applyBorder="1"/>
    <xf numFmtId="0" fontId="1" fillId="0" borderId="1" xfId="0" applyNumberFormat="1" applyFont="1" applyFill="1" applyBorder="1" applyAlignment="1">
      <alignment horizontal="center"/>
    </xf>
    <xf numFmtId="1" fontId="1" fillId="0" borderId="1" xfId="0" applyNumberFormat="1" applyFont="1" applyFill="1" applyBorder="1" applyAlignment="1">
      <alignment horizontal="center"/>
    </xf>
    <xf numFmtId="0" fontId="1" fillId="0" borderId="26" xfId="0" applyFont="1" applyFill="1" applyBorder="1"/>
    <xf numFmtId="0" fontId="1" fillId="0" borderId="26" xfId="0" applyNumberFormat="1" applyFont="1" applyFill="1" applyBorder="1" applyAlignment="1">
      <alignment horizontal="center"/>
    </xf>
    <xf numFmtId="1" fontId="1" fillId="0" borderId="26" xfId="0" applyNumberFormat="1" applyFont="1" applyFill="1" applyBorder="1" applyAlignment="1">
      <alignment horizontal="center"/>
    </xf>
    <xf numFmtId="0" fontId="22" fillId="2" borderId="18" xfId="0" applyFont="1" applyFill="1" applyBorder="1" applyAlignment="1">
      <alignment horizontal="center"/>
    </xf>
    <xf numFmtId="0" fontId="22" fillId="2" borderId="19" xfId="0" applyFont="1" applyFill="1" applyBorder="1" applyAlignment="1">
      <alignment horizontal="center"/>
    </xf>
    <xf numFmtId="0" fontId="11" fillId="0" borderId="24" xfId="0" applyFont="1" applyBorder="1"/>
    <xf numFmtId="1" fontId="24" fillId="0" borderId="0" xfId="0" applyNumberFormat="1" applyFont="1" applyAlignment="1">
      <alignment horizontal="center"/>
    </xf>
    <xf numFmtId="0" fontId="17" fillId="0" borderId="0" xfId="0" applyFont="1" applyAlignment="1">
      <alignment vertical="center"/>
    </xf>
    <xf numFmtId="0" fontId="0" fillId="0" borderId="12" xfId="0" applyBorder="1"/>
    <xf numFmtId="0" fontId="0" fillId="0" borderId="0" xfId="0" applyBorder="1"/>
    <xf numFmtId="0" fontId="0" fillId="0" borderId="13" xfId="0" applyBorder="1"/>
    <xf numFmtId="0" fontId="1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0" fillId="9" borderId="9" xfId="0" applyFill="1" applyBorder="1"/>
    <xf numFmtId="0" fontId="0" fillId="9" borderId="10" xfId="0" applyFill="1" applyBorder="1"/>
    <xf numFmtId="0" fontId="0" fillId="9" borderId="11" xfId="0" applyFill="1" applyBorder="1"/>
    <xf numFmtId="0" fontId="0" fillId="9" borderId="12" xfId="0" applyFill="1" applyBorder="1"/>
    <xf numFmtId="0" fontId="0" fillId="9" borderId="0" xfId="0" applyFill="1" applyBorder="1"/>
    <xf numFmtId="0" fontId="0" fillId="9" borderId="13" xfId="0" applyFill="1" applyBorder="1"/>
    <xf numFmtId="0" fontId="0" fillId="9" borderId="14" xfId="0" applyFill="1" applyBorder="1"/>
    <xf numFmtId="0" fontId="0" fillId="9" borderId="15" xfId="0" applyFill="1" applyBorder="1"/>
    <xf numFmtId="0" fontId="0" fillId="9" borderId="16" xfId="0" applyFill="1" applyBorder="1"/>
    <xf numFmtId="0" fontId="9" fillId="8" borderId="12" xfId="0" applyFont="1" applyFill="1" applyBorder="1"/>
    <xf numFmtId="0" fontId="0" fillId="8" borderId="0" xfId="0" applyFill="1" applyBorder="1"/>
    <xf numFmtId="0" fontId="0" fillId="8" borderId="13" xfId="0" applyFill="1" applyBorder="1"/>
    <xf numFmtId="0" fontId="0" fillId="8" borderId="12" xfId="0" applyFill="1" applyBorder="1"/>
    <xf numFmtId="0" fontId="0" fillId="10" borderId="0" xfId="0" applyFill="1"/>
    <xf numFmtId="0" fontId="9" fillId="10" borderId="0" xfId="0" applyFont="1" applyFill="1"/>
    <xf numFmtId="0" fontId="1" fillId="10" borderId="0" xfId="0" applyFont="1" applyFill="1"/>
    <xf numFmtId="0" fontId="1" fillId="10" borderId="0" xfId="0" applyFont="1" applyFill="1" applyBorder="1"/>
    <xf numFmtId="49" fontId="6" fillId="5" borderId="0" xfId="0" applyNumberFormat="1" applyFont="1" applyFill="1" applyBorder="1" applyAlignment="1">
      <alignment horizontal="left"/>
    </xf>
    <xf numFmtId="49" fontId="3" fillId="5" borderId="0" xfId="0" applyNumberFormat="1" applyFont="1" applyFill="1" applyBorder="1" applyAlignment="1">
      <alignment horizontal="center"/>
    </xf>
    <xf numFmtId="0" fontId="5" fillId="2" borderId="27" xfId="0" applyFont="1" applyFill="1" applyBorder="1" applyAlignment="1">
      <alignment horizontal="center"/>
    </xf>
    <xf numFmtId="0" fontId="1" fillId="0" borderId="0" xfId="0" applyNumberFormat="1" applyFont="1" applyAlignment="1">
      <alignment horizontal="center"/>
    </xf>
    <xf numFmtId="1" fontId="25" fillId="0" borderId="0" xfId="0" applyNumberFormat="1" applyFont="1" applyAlignment="1">
      <alignment horizontal="center"/>
    </xf>
    <xf numFmtId="17" fontId="20" fillId="0" borderId="4" xfId="0" applyNumberFormat="1" applyFont="1" applyFill="1" applyBorder="1" applyAlignment="1">
      <alignment horizontal="left" vertical="center"/>
    </xf>
    <xf numFmtId="0" fontId="20" fillId="0" borderId="4" xfId="0" applyFont="1" applyFill="1" applyBorder="1" applyAlignment="1">
      <alignment horizontal="left" vertical="center"/>
    </xf>
    <xf numFmtId="0" fontId="9" fillId="0" borderId="4" xfId="0" applyFont="1" applyBorder="1" applyAlignment="1">
      <alignment horizontal="center"/>
    </xf>
    <xf numFmtId="17" fontId="20" fillId="0" borderId="8" xfId="0" applyNumberFormat="1" applyFont="1" applyFill="1" applyBorder="1" applyAlignment="1">
      <alignment horizontal="left" vertical="center"/>
    </xf>
    <xf numFmtId="0" fontId="20" fillId="0" borderId="8" xfId="0" applyFont="1" applyFill="1" applyBorder="1" applyAlignment="1">
      <alignment horizontal="left" vertical="center"/>
    </xf>
    <xf numFmtId="0" fontId="5" fillId="2" borderId="25" xfId="0" applyFont="1" applyFill="1" applyBorder="1" applyAlignment="1">
      <alignment horizontal="center" vertical="center"/>
    </xf>
    <xf numFmtId="0" fontId="5" fillId="2" borderId="21" xfId="0" applyFont="1" applyFill="1" applyBorder="1" applyAlignment="1">
      <alignment horizontal="center" vertical="center"/>
    </xf>
    <xf numFmtId="17" fontId="20" fillId="0" borderId="19" xfId="0" applyNumberFormat="1" applyFont="1" applyFill="1" applyBorder="1" applyAlignment="1">
      <alignment horizontal="left" vertical="center"/>
    </xf>
    <xf numFmtId="17" fontId="20" fillId="0" borderId="6" xfId="0" applyNumberFormat="1" applyFont="1" applyFill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26" fillId="0" borderId="4" xfId="0" applyFont="1" applyFill="1" applyBorder="1" applyAlignment="1">
      <alignment horizontal="center" vertical="center"/>
    </xf>
    <xf numFmtId="0" fontId="5" fillId="2" borderId="23" xfId="0" applyFont="1" applyFill="1" applyBorder="1" applyAlignment="1">
      <alignment horizontal="center" vertical="center"/>
    </xf>
    <xf numFmtId="17" fontId="20" fillId="0" borderId="0" xfId="0" applyNumberFormat="1" applyFont="1" applyFill="1" applyBorder="1"/>
    <xf numFmtId="17" fontId="20" fillId="0" borderId="1" xfId="0" applyNumberFormat="1" applyFont="1" applyFill="1" applyBorder="1" applyAlignment="1">
      <alignment horizontal="left" vertical="center" wrapText="1"/>
    </xf>
    <xf numFmtId="0" fontId="20" fillId="0" borderId="1" xfId="0" applyFont="1" applyFill="1" applyBorder="1" applyAlignment="1">
      <alignment horizontal="left" vertical="center" wrapText="1"/>
    </xf>
    <xf numFmtId="0" fontId="28" fillId="5" borderId="0" xfId="0" applyFont="1" applyFill="1" applyAlignment="1">
      <alignment horizontal="center"/>
    </xf>
    <xf numFmtId="0" fontId="0" fillId="11" borderId="0" xfId="0" applyFill="1"/>
    <xf numFmtId="0" fontId="0" fillId="11" borderId="38" xfId="0" applyFill="1" applyBorder="1"/>
    <xf numFmtId="0" fontId="0" fillId="11" borderId="39" xfId="0" applyFill="1" applyBorder="1"/>
    <xf numFmtId="0" fontId="0" fillId="11" borderId="40" xfId="0" applyFill="1" applyBorder="1"/>
    <xf numFmtId="0" fontId="0" fillId="11" borderId="41" xfId="0" applyFill="1" applyBorder="1"/>
    <xf numFmtId="0" fontId="0" fillId="11" borderId="42" xfId="0" applyFill="1" applyBorder="1"/>
    <xf numFmtId="0" fontId="9" fillId="11" borderId="37" xfId="0" applyFont="1" applyFill="1" applyBorder="1"/>
    <xf numFmtId="0" fontId="9" fillId="11" borderId="39" xfId="0" applyFont="1" applyFill="1" applyBorder="1"/>
    <xf numFmtId="0" fontId="0" fillId="15" borderId="0" xfId="0" applyFill="1" applyBorder="1"/>
    <xf numFmtId="0" fontId="0" fillId="15" borderId="13" xfId="0" applyFill="1" applyBorder="1"/>
    <xf numFmtId="0" fontId="0" fillId="11" borderId="0" xfId="0" applyFill="1" applyBorder="1"/>
    <xf numFmtId="0" fontId="9" fillId="11" borderId="0" xfId="0" applyFont="1" applyFill="1" applyBorder="1"/>
    <xf numFmtId="0" fontId="9" fillId="12" borderId="27" xfId="0" applyFont="1" applyFill="1" applyBorder="1"/>
    <xf numFmtId="0" fontId="9" fillId="14" borderId="27" xfId="0" applyFont="1" applyFill="1" applyBorder="1"/>
    <xf numFmtId="0" fontId="0" fillId="11" borderId="28" xfId="0" applyFill="1" applyBorder="1" applyAlignment="1">
      <alignment horizontal="center" vertical="center"/>
    </xf>
    <xf numFmtId="0" fontId="9" fillId="11" borderId="41" xfId="0" applyFont="1" applyFill="1" applyBorder="1"/>
    <xf numFmtId="0" fontId="9" fillId="18" borderId="27" xfId="0" applyFont="1" applyFill="1" applyBorder="1"/>
    <xf numFmtId="0" fontId="9" fillId="17" borderId="27" xfId="0" applyFont="1" applyFill="1" applyBorder="1"/>
    <xf numFmtId="0" fontId="9" fillId="19" borderId="27" xfId="0" applyFont="1" applyFill="1" applyBorder="1"/>
    <xf numFmtId="0" fontId="0" fillId="11" borderId="44" xfId="0" applyFill="1" applyBorder="1" applyAlignment="1">
      <alignment horizontal="center" vertical="center"/>
    </xf>
    <xf numFmtId="0" fontId="9" fillId="11" borderId="43" xfId="0" applyFont="1" applyFill="1" applyBorder="1"/>
    <xf numFmtId="0" fontId="0" fillId="11" borderId="38" xfId="0" applyFill="1" applyBorder="1" applyAlignment="1">
      <alignment horizontal="center" vertical="center"/>
    </xf>
    <xf numFmtId="0" fontId="0" fillId="11" borderId="42" xfId="0" applyFill="1" applyBorder="1" applyAlignment="1">
      <alignment horizontal="center" vertical="center"/>
    </xf>
    <xf numFmtId="0" fontId="9" fillId="20" borderId="27" xfId="0" applyFont="1" applyFill="1" applyBorder="1"/>
    <xf numFmtId="0" fontId="9" fillId="21" borderId="27" xfId="0" applyFont="1" applyFill="1" applyBorder="1"/>
    <xf numFmtId="0" fontId="0" fillId="21" borderId="28" xfId="0" applyFill="1" applyBorder="1" applyAlignment="1">
      <alignment horizontal="center" vertical="center"/>
    </xf>
    <xf numFmtId="0" fontId="9" fillId="15" borderId="27" xfId="0" applyFont="1" applyFill="1" applyBorder="1"/>
    <xf numFmtId="0" fontId="0" fillId="11" borderId="46" xfId="0" applyFill="1" applyBorder="1"/>
    <xf numFmtId="0" fontId="0" fillId="11" borderId="47" xfId="0" applyFill="1" applyBorder="1"/>
    <xf numFmtId="0" fontId="9" fillId="11" borderId="45" xfId="0" applyFont="1" applyFill="1" applyBorder="1"/>
    <xf numFmtId="0" fontId="9" fillId="11" borderId="47" xfId="0" applyFont="1" applyFill="1" applyBorder="1"/>
    <xf numFmtId="0" fontId="0" fillId="11" borderId="45" xfId="0" applyFill="1" applyBorder="1" applyAlignment="1">
      <alignment horizontal="center" vertical="center"/>
    </xf>
    <xf numFmtId="0" fontId="9" fillId="18" borderId="28" xfId="0" applyFont="1" applyFill="1" applyBorder="1" applyAlignment="1">
      <alignment horizontal="center" vertical="center"/>
    </xf>
    <xf numFmtId="0" fontId="9" fillId="12" borderId="28" xfId="0" applyFont="1" applyFill="1" applyBorder="1" applyAlignment="1">
      <alignment horizontal="center" vertical="center"/>
    </xf>
    <xf numFmtId="0" fontId="9" fillId="14" borderId="28" xfId="0" applyFont="1" applyFill="1" applyBorder="1" applyAlignment="1">
      <alignment horizontal="center" vertical="center"/>
    </xf>
    <xf numFmtId="0" fontId="9" fillId="19" borderId="28" xfId="0" applyFont="1" applyFill="1" applyBorder="1" applyAlignment="1">
      <alignment horizontal="center" vertical="center"/>
    </xf>
    <xf numFmtId="0" fontId="9" fillId="15" borderId="28" xfId="0" applyFont="1" applyFill="1" applyBorder="1" applyAlignment="1">
      <alignment horizontal="center" vertical="center"/>
    </xf>
    <xf numFmtId="0" fontId="9" fillId="11" borderId="48" xfId="0" applyFont="1" applyFill="1" applyBorder="1"/>
    <xf numFmtId="0" fontId="0" fillId="11" borderId="0" xfId="0" applyFill="1" applyBorder="1" applyAlignment="1">
      <alignment horizontal="center" vertical="center"/>
    </xf>
    <xf numFmtId="0" fontId="0" fillId="11" borderId="40" xfId="0" applyFill="1" applyBorder="1" applyAlignment="1">
      <alignment horizontal="center" vertical="center"/>
    </xf>
    <xf numFmtId="0" fontId="9" fillId="20" borderId="28" xfId="0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16" fontId="0" fillId="0" borderId="0" xfId="0" applyNumberFormat="1"/>
    <xf numFmtId="0" fontId="15" fillId="2" borderId="14" xfId="0" applyNumberFormat="1" applyFont="1" applyFill="1" applyBorder="1" applyAlignment="1">
      <alignment horizontal="center"/>
    </xf>
    <xf numFmtId="0" fontId="15" fillId="2" borderId="15" xfId="0" applyNumberFormat="1" applyFont="1" applyFill="1" applyBorder="1" applyAlignment="1">
      <alignment horizontal="center"/>
    </xf>
    <xf numFmtId="0" fontId="15" fillId="2" borderId="16" xfId="0" applyNumberFormat="1" applyFont="1" applyFill="1" applyBorder="1" applyAlignment="1">
      <alignment horizontal="center"/>
    </xf>
    <xf numFmtId="0" fontId="0" fillId="14" borderId="0" xfId="0" applyFill="1"/>
    <xf numFmtId="0" fontId="0" fillId="13" borderId="0" xfId="0" applyFill="1"/>
    <xf numFmtId="0" fontId="0" fillId="13" borderId="0" xfId="0" applyFill="1" applyAlignment="1">
      <alignment horizontal="left"/>
    </xf>
    <xf numFmtId="0" fontId="0" fillId="16" borderId="0" xfId="0" applyFill="1" applyAlignment="1">
      <alignment horizontal="left"/>
    </xf>
    <xf numFmtId="0" fontId="3" fillId="0" borderId="9" xfId="0" applyNumberFormat="1" applyFont="1" applyBorder="1" applyAlignment="1">
      <alignment horizontal="center"/>
    </xf>
    <xf numFmtId="0" fontId="3" fillId="0" borderId="10" xfId="0" applyNumberFormat="1" applyFont="1" applyBorder="1" applyAlignment="1">
      <alignment horizontal="center"/>
    </xf>
    <xf numFmtId="0" fontId="3" fillId="0" borderId="11" xfId="0" applyNumberFormat="1" applyFont="1" applyBorder="1" applyAlignment="1">
      <alignment horizontal="center"/>
    </xf>
    <xf numFmtId="0" fontId="22" fillId="2" borderId="36" xfId="0" applyFont="1" applyFill="1" applyBorder="1" applyAlignment="1">
      <alignment horizontal="center"/>
    </xf>
    <xf numFmtId="0" fontId="22" fillId="2" borderId="31" xfId="0" applyFont="1" applyFill="1" applyBorder="1" applyAlignment="1">
      <alignment horizontal="center"/>
    </xf>
    <xf numFmtId="0" fontId="22" fillId="2" borderId="28" xfId="0" applyFont="1" applyFill="1" applyBorder="1" applyAlignment="1">
      <alignment horizontal="center"/>
    </xf>
    <xf numFmtId="0" fontId="0" fillId="0" borderId="36" xfId="0" applyBorder="1"/>
    <xf numFmtId="0" fontId="0" fillId="0" borderId="28" xfId="0" applyBorder="1"/>
    <xf numFmtId="0" fontId="0" fillId="0" borderId="46" xfId="0" applyBorder="1"/>
    <xf numFmtId="0" fontId="0" fillId="10" borderId="46" xfId="0" applyFill="1" applyBorder="1"/>
    <xf numFmtId="0" fontId="0" fillId="13" borderId="46" xfId="0" applyFill="1" applyBorder="1"/>
    <xf numFmtId="0" fontId="0" fillId="0" borderId="50" xfId="0" applyBorder="1"/>
    <xf numFmtId="0" fontId="0" fillId="10" borderId="50" xfId="0" applyFill="1" applyBorder="1"/>
    <xf numFmtId="0" fontId="0" fillId="16" borderId="53" xfId="0" applyFill="1" applyBorder="1"/>
    <xf numFmtId="0" fontId="0" fillId="18" borderId="53" xfId="0" applyFill="1" applyBorder="1"/>
    <xf numFmtId="0" fontId="0" fillId="18" borderId="53" xfId="0" applyNumberFormat="1" applyFill="1" applyBorder="1"/>
    <xf numFmtId="0" fontId="0" fillId="16" borderId="53" xfId="0" applyNumberFormat="1" applyFill="1" applyBorder="1"/>
    <xf numFmtId="0" fontId="0" fillId="16" borderId="51" xfId="0" applyNumberFormat="1" applyFill="1" applyBorder="1"/>
    <xf numFmtId="0" fontId="0" fillId="11" borderId="54" xfId="0" applyFill="1" applyBorder="1"/>
    <xf numFmtId="0" fontId="0" fillId="11" borderId="55" xfId="0" applyFill="1" applyBorder="1"/>
    <xf numFmtId="0" fontId="0" fillId="11" borderId="56" xfId="0" applyFill="1" applyBorder="1"/>
    <xf numFmtId="0" fontId="0" fillId="11" borderId="57" xfId="0" applyFill="1" applyBorder="1"/>
    <xf numFmtId="0" fontId="9" fillId="11" borderId="27" xfId="0" applyFont="1" applyFill="1" applyBorder="1" applyAlignment="1">
      <alignment horizontal="center" vertical="center" wrapText="1"/>
    </xf>
    <xf numFmtId="0" fontId="9" fillId="0" borderId="29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43" xfId="0" applyFont="1" applyBorder="1"/>
    <xf numFmtId="0" fontId="9" fillId="0" borderId="52" xfId="0" applyFont="1" applyBorder="1"/>
    <xf numFmtId="0" fontId="9" fillId="0" borderId="44" xfId="0" applyFont="1" applyBorder="1"/>
    <xf numFmtId="0" fontId="9" fillId="0" borderId="35" xfId="0" applyFont="1" applyBorder="1"/>
    <xf numFmtId="0" fontId="0" fillId="12" borderId="56" xfId="0" applyFill="1" applyBorder="1" applyAlignment="1">
      <alignment horizontal="center" vertical="center"/>
    </xf>
    <xf numFmtId="0" fontId="0" fillId="12" borderId="56" xfId="0" applyFill="1" applyBorder="1"/>
    <xf numFmtId="0" fontId="15" fillId="11" borderId="0" xfId="0" applyFont="1" applyFill="1" applyBorder="1"/>
    <xf numFmtId="0" fontId="15" fillId="11" borderId="0" xfId="0" applyFont="1" applyFill="1" applyBorder="1" applyAlignment="1">
      <alignment horizontal="center"/>
    </xf>
    <xf numFmtId="49" fontId="5" fillId="11" borderId="0" xfId="0" applyNumberFormat="1" applyFont="1" applyFill="1" applyBorder="1" applyAlignment="1">
      <alignment horizontal="center" vertical="center"/>
    </xf>
    <xf numFmtId="0" fontId="29" fillId="0" borderId="1" xfId="0" applyFont="1" applyFill="1" applyBorder="1" applyAlignment="1">
      <alignment horizontal="center" vertical="center"/>
    </xf>
    <xf numFmtId="0" fontId="15" fillId="2" borderId="35" xfId="0" applyNumberFormat="1" applyFont="1" applyFill="1" applyBorder="1" applyAlignment="1">
      <alignment horizontal="center"/>
    </xf>
    <xf numFmtId="0" fontId="22" fillId="2" borderId="35" xfId="0" applyNumberFormat="1" applyFont="1" applyFill="1" applyBorder="1" applyAlignment="1">
      <alignment horizontal="center"/>
    </xf>
    <xf numFmtId="0" fontId="3" fillId="0" borderId="27" xfId="0" applyFont="1" applyBorder="1" applyAlignment="1">
      <alignment horizontal="center" vertical="center" wrapText="1"/>
    </xf>
    <xf numFmtId="0" fontId="29" fillId="9" borderId="29" xfId="0" applyNumberFormat="1" applyFont="1" applyFill="1" applyBorder="1" applyAlignment="1">
      <alignment horizontal="center"/>
    </xf>
    <xf numFmtId="0" fontId="1" fillId="22" borderId="0" xfId="0" applyFont="1" applyFill="1" applyBorder="1"/>
    <xf numFmtId="0" fontId="3" fillId="0" borderId="28" xfId="0" applyFont="1" applyBorder="1" applyAlignment="1">
      <alignment horizontal="center" vertical="center" wrapText="1"/>
    </xf>
    <xf numFmtId="0" fontId="3" fillId="0" borderId="36" xfId="0" applyFont="1" applyBorder="1" applyAlignment="1">
      <alignment horizontal="center" vertical="center" wrapText="1"/>
    </xf>
    <xf numFmtId="0" fontId="29" fillId="9" borderId="58" xfId="0" applyNumberFormat="1" applyFont="1" applyFill="1" applyBorder="1" applyAlignment="1">
      <alignment horizontal="center"/>
    </xf>
    <xf numFmtId="0" fontId="29" fillId="9" borderId="51" xfId="0" applyNumberFormat="1" applyFont="1" applyFill="1" applyBorder="1" applyAlignment="1">
      <alignment horizontal="center"/>
    </xf>
    <xf numFmtId="14" fontId="0" fillId="8" borderId="0" xfId="0" applyNumberFormat="1" applyFill="1" applyBorder="1"/>
    <xf numFmtId="0" fontId="0" fillId="8" borderId="0" xfId="0" quotePrefix="1" applyFill="1" applyBorder="1"/>
    <xf numFmtId="14" fontId="0" fillId="15" borderId="0" xfId="0" applyNumberFormat="1" applyFill="1" applyBorder="1"/>
    <xf numFmtId="0" fontId="9" fillId="0" borderId="59" xfId="0" applyFont="1" applyBorder="1" applyAlignment="1">
      <alignment horizontal="center" vertical="center" wrapText="1"/>
    </xf>
    <xf numFmtId="0" fontId="9" fillId="0" borderId="60" xfId="0" applyFont="1" applyBorder="1" applyAlignment="1">
      <alignment horizontal="center" vertical="center" wrapText="1"/>
    </xf>
    <xf numFmtId="0" fontId="0" fillId="0" borderId="37" xfId="0" applyBorder="1"/>
    <xf numFmtId="0" fontId="0" fillId="0" borderId="61" xfId="0" applyBorder="1"/>
    <xf numFmtId="0" fontId="0" fillId="0" borderId="39" xfId="0" applyBorder="1"/>
    <xf numFmtId="0" fontId="0" fillId="0" borderId="41" xfId="0" applyBorder="1"/>
    <xf numFmtId="0" fontId="0" fillId="0" borderId="62" xfId="0" applyBorder="1"/>
    <xf numFmtId="0" fontId="9" fillId="0" borderId="33" xfId="0" applyFont="1" applyBorder="1" applyAlignment="1">
      <alignment horizontal="center" vertical="center" wrapText="1"/>
    </xf>
    <xf numFmtId="0" fontId="9" fillId="0" borderId="64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/>
    </xf>
    <xf numFmtId="2" fontId="0" fillId="24" borderId="4" xfId="0" applyNumberFormat="1" applyFill="1" applyBorder="1"/>
    <xf numFmtId="2" fontId="0" fillId="10" borderId="4" xfId="0" applyNumberFormat="1" applyFill="1" applyBorder="1"/>
    <xf numFmtId="0" fontId="0" fillId="10" borderId="62" xfId="0" applyFill="1" applyBorder="1"/>
    <xf numFmtId="0" fontId="0" fillId="25" borderId="4" xfId="0" applyFill="1" applyBorder="1"/>
    <xf numFmtId="0" fontId="9" fillId="0" borderId="11" xfId="0" applyFont="1" applyBorder="1" applyAlignment="1">
      <alignment horizontal="center" vertical="center" wrapText="1"/>
    </xf>
    <xf numFmtId="0" fontId="0" fillId="0" borderId="27" xfId="0" pivotButton="1" applyBorder="1" applyAlignment="1">
      <alignment horizontal="center" vertical="center"/>
    </xf>
    <xf numFmtId="0" fontId="0" fillId="24" borderId="30" xfId="0" applyFill="1" applyBorder="1" applyAlignment="1">
      <alignment horizontal="left"/>
    </xf>
    <xf numFmtId="0" fontId="0" fillId="0" borderId="27" xfId="0" applyBorder="1" applyAlignment="1">
      <alignment horizontal="left"/>
    </xf>
    <xf numFmtId="0" fontId="0" fillId="24" borderId="35" xfId="0" applyFill="1" applyBorder="1" applyAlignment="1">
      <alignment horizontal="left"/>
    </xf>
    <xf numFmtId="0" fontId="0" fillId="0" borderId="36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3" fontId="0" fillId="0" borderId="4" xfId="0" applyNumberFormat="1" applyBorder="1"/>
    <xf numFmtId="3" fontId="9" fillId="0" borderId="4" xfId="0" applyNumberFormat="1" applyFont="1" applyBorder="1"/>
    <xf numFmtId="3" fontId="0" fillId="0" borderId="52" xfId="0" applyNumberFormat="1" applyBorder="1"/>
    <xf numFmtId="3" fontId="0" fillId="0" borderId="44" xfId="0" applyNumberFormat="1" applyBorder="1"/>
    <xf numFmtId="0" fontId="9" fillId="10" borderId="4" xfId="0" applyFont="1" applyFill="1" applyBorder="1" applyAlignment="1">
      <alignment horizontal="center"/>
    </xf>
    <xf numFmtId="0" fontId="0" fillId="0" borderId="0" xfId="0"/>
    <xf numFmtId="0" fontId="29" fillId="26" borderId="4" xfId="0" applyFont="1" applyFill="1" applyBorder="1" applyAlignment="1">
      <alignment horizontal="center" vertical="center" wrapText="1"/>
    </xf>
    <xf numFmtId="0" fontId="29" fillId="26" borderId="4" xfId="0" applyFont="1" applyFill="1" applyBorder="1" applyAlignment="1">
      <alignment horizontal="center" vertical="center"/>
    </xf>
    <xf numFmtId="17" fontId="31" fillId="12" borderId="4" xfId="0" applyNumberFormat="1" applyFont="1" applyFill="1" applyBorder="1" applyAlignment="1">
      <alignment horizontal="center" vertical="center" wrapText="1"/>
    </xf>
    <xf numFmtId="0" fontId="0" fillId="0" borderId="4" xfId="0" applyBorder="1"/>
    <xf numFmtId="0" fontId="32" fillId="11" borderId="4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30" fillId="2" borderId="35" xfId="0" applyNumberFormat="1" applyFont="1" applyFill="1" applyBorder="1" applyAlignment="1">
      <alignment horizontal="center"/>
    </xf>
    <xf numFmtId="0" fontId="15" fillId="2" borderId="28" xfId="0" applyNumberFormat="1" applyFont="1" applyFill="1" applyBorder="1" applyAlignment="1">
      <alignment horizontal="center"/>
    </xf>
    <xf numFmtId="0" fontId="33" fillId="29" borderId="59" xfId="0" applyFont="1" applyFill="1" applyBorder="1" applyAlignment="1">
      <alignment horizontal="center" vertical="center"/>
    </xf>
    <xf numFmtId="0" fontId="33" fillId="29" borderId="60" xfId="0" applyFont="1" applyFill="1" applyBorder="1" applyAlignment="1">
      <alignment horizontal="center" vertical="center"/>
    </xf>
    <xf numFmtId="0" fontId="33" fillId="29" borderId="65" xfId="0" applyFont="1" applyFill="1" applyBorder="1" applyAlignment="1">
      <alignment horizontal="center" vertical="center"/>
    </xf>
    <xf numFmtId="0" fontId="0" fillId="9" borderId="4" xfId="0" applyFill="1" applyBorder="1" applyAlignment="1">
      <alignment horizontal="left" vertical="center"/>
    </xf>
    <xf numFmtId="0" fontId="0" fillId="8" borderId="4" xfId="0" applyFill="1" applyBorder="1" applyAlignment="1">
      <alignment horizontal="left" wrapText="1"/>
    </xf>
    <xf numFmtId="0" fontId="0" fillId="24" borderId="4" xfId="0" applyFill="1" applyBorder="1" applyAlignment="1">
      <alignment horizontal="left" vertical="center"/>
    </xf>
    <xf numFmtId="14" fontId="3" fillId="10" borderId="4" xfId="0" applyNumberFormat="1" applyFont="1" applyFill="1" applyBorder="1" applyAlignment="1">
      <alignment horizontal="center" vertical="center"/>
    </xf>
    <xf numFmtId="0" fontId="33" fillId="18" borderId="4" xfId="0" applyFont="1" applyFill="1" applyBorder="1" applyAlignment="1">
      <alignment horizontal="center" vertical="center"/>
    </xf>
    <xf numFmtId="0" fontId="0" fillId="8" borderId="4" xfId="0" applyFill="1" applyBorder="1" applyAlignment="1">
      <alignment horizontal="left" vertical="center" wrapText="1"/>
    </xf>
    <xf numFmtId="0" fontId="0" fillId="24" borderId="4" xfId="0" applyFill="1" applyBorder="1" applyAlignment="1">
      <alignment horizontal="left" vertical="center" wrapText="1"/>
    </xf>
    <xf numFmtId="0" fontId="0" fillId="9" borderId="4" xfId="0" applyFill="1" applyBorder="1"/>
    <xf numFmtId="0" fontId="33" fillId="18" borderId="40" xfId="0" applyFont="1" applyFill="1" applyBorder="1" applyAlignment="1">
      <alignment horizontal="left" vertical="center"/>
    </xf>
    <xf numFmtId="0" fontId="0" fillId="0" borderId="62" xfId="0" applyBorder="1" applyAlignment="1">
      <alignment horizontal="center" vertical="center"/>
    </xf>
    <xf numFmtId="0" fontId="33" fillId="29" borderId="29" xfId="0" applyFont="1" applyFill="1" applyBorder="1" applyAlignment="1">
      <alignment horizontal="center" vertical="center"/>
    </xf>
    <xf numFmtId="0" fontId="0" fillId="24" borderId="37" xfId="0" applyFill="1" applyBorder="1" applyAlignment="1">
      <alignment horizontal="center" vertical="center"/>
    </xf>
    <xf numFmtId="0" fontId="0" fillId="15" borderId="61" xfId="0" applyFill="1" applyBorder="1" applyAlignment="1">
      <alignment horizontal="left" vertical="center"/>
    </xf>
    <xf numFmtId="0" fontId="0" fillId="0" borderId="61" xfId="0" applyBorder="1" applyAlignment="1">
      <alignment horizontal="left" vertical="center"/>
    </xf>
    <xf numFmtId="0" fontId="0" fillId="0" borderId="61" xfId="0" applyBorder="1" applyAlignment="1">
      <alignment vertical="center"/>
    </xf>
    <xf numFmtId="167" fontId="3" fillId="10" borderId="61" xfId="8" applyNumberFormat="1" applyFont="1" applyFill="1" applyBorder="1" applyAlignment="1">
      <alignment horizontal="center"/>
    </xf>
    <xf numFmtId="167" fontId="7" fillId="10" borderId="61" xfId="0" applyNumberFormat="1" applyFont="1" applyFill="1" applyBorder="1"/>
    <xf numFmtId="0" fontId="7" fillId="10" borderId="61" xfId="0" quotePrefix="1" applyFont="1" applyFill="1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33" fillId="18" borderId="38" xfId="0" applyFont="1" applyFill="1" applyBorder="1" applyAlignment="1">
      <alignment horizontal="left" vertical="center"/>
    </xf>
    <xf numFmtId="0" fontId="0" fillId="24" borderId="39" xfId="0" applyFill="1" applyBorder="1" applyAlignment="1">
      <alignment horizontal="center" vertical="center"/>
    </xf>
    <xf numFmtId="0" fontId="0" fillId="15" borderId="4" xfId="0" applyFill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4" xfId="0" applyBorder="1" applyAlignment="1">
      <alignment vertical="center"/>
    </xf>
    <xf numFmtId="167" fontId="7" fillId="10" borderId="4" xfId="8" quotePrefix="1" applyNumberFormat="1" applyFont="1" applyFill="1" applyBorder="1" applyAlignment="1">
      <alignment horizontal="center"/>
    </xf>
    <xf numFmtId="167" fontId="7" fillId="10" borderId="4" xfId="8" applyNumberFormat="1" applyFont="1" applyFill="1" applyBorder="1"/>
    <xf numFmtId="0" fontId="7" fillId="10" borderId="4" xfId="0" quotePrefix="1" applyFont="1" applyFill="1" applyBorder="1" applyAlignment="1">
      <alignment horizontal="center"/>
    </xf>
    <xf numFmtId="167" fontId="7" fillId="10" borderId="4" xfId="0" applyNumberFormat="1" applyFont="1" applyFill="1" applyBorder="1"/>
    <xf numFmtId="0" fontId="0" fillId="24" borderId="41" xfId="0" applyFill="1" applyBorder="1" applyAlignment="1">
      <alignment horizontal="center" vertical="center"/>
    </xf>
    <xf numFmtId="0" fontId="0" fillId="15" borderId="62" xfId="0" applyFill="1" applyBorder="1" applyAlignment="1">
      <alignment horizontal="left" vertical="center"/>
    </xf>
    <xf numFmtId="0" fontId="0" fillId="0" borderId="62" xfId="0" applyBorder="1" applyAlignment="1">
      <alignment horizontal="left" vertical="center"/>
    </xf>
    <xf numFmtId="0" fontId="0" fillId="0" borderId="62" xfId="0" applyBorder="1" applyAlignment="1">
      <alignment vertical="center"/>
    </xf>
    <xf numFmtId="167" fontId="7" fillId="10" borderId="62" xfId="0" applyNumberFormat="1" applyFont="1" applyFill="1" applyBorder="1"/>
    <xf numFmtId="0" fontId="7" fillId="10" borderId="62" xfId="0" quotePrefix="1" applyFont="1" applyFill="1" applyBorder="1" applyAlignment="1">
      <alignment horizontal="center"/>
    </xf>
    <xf numFmtId="0" fontId="33" fillId="18" borderId="42" xfId="0" applyFont="1" applyFill="1" applyBorder="1" applyAlignment="1">
      <alignment horizontal="left" vertical="center"/>
    </xf>
    <xf numFmtId="167" fontId="0" fillId="10" borderId="62" xfId="0" applyNumberFormat="1" applyFill="1" applyBorder="1"/>
    <xf numFmtId="0" fontId="0" fillId="10" borderId="62" xfId="0" quotePrefix="1" applyFill="1" applyBorder="1" applyAlignment="1">
      <alignment horizontal="center" vertical="center"/>
    </xf>
    <xf numFmtId="168" fontId="0" fillId="23" borderId="62" xfId="8" applyNumberFormat="1" applyFont="1" applyFill="1" applyBorder="1"/>
    <xf numFmtId="0" fontId="0" fillId="10" borderId="4" xfId="0" quotePrefix="1" applyFill="1" applyBorder="1" applyAlignment="1">
      <alignment horizontal="center" vertical="center"/>
    </xf>
    <xf numFmtId="168" fontId="0" fillId="10" borderId="4" xfId="8" applyNumberFormat="1" applyFont="1" applyFill="1" applyBorder="1"/>
    <xf numFmtId="168" fontId="0" fillId="23" borderId="4" xfId="8" applyNumberFormat="1" applyFont="1" applyFill="1" applyBorder="1"/>
    <xf numFmtId="167" fontId="0" fillId="10" borderId="4" xfId="0" applyNumberFormat="1" applyFill="1" applyBorder="1"/>
    <xf numFmtId="0" fontId="0" fillId="23" borderId="4" xfId="0" quotePrefix="1" applyFill="1" applyBorder="1" applyAlignment="1">
      <alignment horizontal="center" vertical="center"/>
    </xf>
    <xf numFmtId="0" fontId="0" fillId="10" borderId="61" xfId="0" quotePrefix="1" applyFill="1" applyBorder="1" applyAlignment="1">
      <alignment horizontal="center" vertical="center"/>
    </xf>
    <xf numFmtId="167" fontId="0" fillId="10" borderId="61" xfId="1" applyNumberFormat="1" applyFont="1" applyFill="1" applyBorder="1"/>
    <xf numFmtId="0" fontId="0" fillId="23" borderId="61" xfId="0" quotePrefix="1" applyFill="1" applyBorder="1" applyAlignment="1">
      <alignment horizontal="center" vertical="center"/>
    </xf>
    <xf numFmtId="0" fontId="33" fillId="29" borderId="27" xfId="0" applyFont="1" applyFill="1" applyBorder="1" applyAlignment="1">
      <alignment horizontal="center" vertical="center"/>
    </xf>
    <xf numFmtId="0" fontId="33" fillId="29" borderId="44" xfId="0" applyFont="1" applyFill="1" applyBorder="1" applyAlignment="1">
      <alignment horizontal="center" vertical="center"/>
    </xf>
    <xf numFmtId="0" fontId="33" fillId="29" borderId="32" xfId="0" applyFont="1" applyFill="1" applyBorder="1" applyAlignment="1">
      <alignment horizontal="center" vertical="center"/>
    </xf>
    <xf numFmtId="0" fontId="33" fillId="29" borderId="52" xfId="0" applyFont="1" applyFill="1" applyBorder="1" applyAlignment="1">
      <alignment horizontal="center" vertical="center"/>
    </xf>
    <xf numFmtId="0" fontId="33" fillId="29" borderId="43" xfId="0" applyFont="1" applyFill="1" applyBorder="1" applyAlignment="1">
      <alignment horizontal="center" vertical="center"/>
    </xf>
    <xf numFmtId="0" fontId="35" fillId="0" borderId="0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/>
    </xf>
    <xf numFmtId="169" fontId="0" fillId="0" borderId="8" xfId="0" applyNumberFormat="1" applyBorder="1" applyAlignment="1">
      <alignment horizontal="left"/>
    </xf>
    <xf numFmtId="3" fontId="0" fillId="0" borderId="4" xfId="0" applyNumberFormat="1" applyBorder="1" applyAlignment="1">
      <alignment horizontal="right"/>
    </xf>
    <xf numFmtId="9" fontId="0" fillId="0" borderId="4" xfId="1" applyFont="1" applyBorder="1" applyAlignment="1">
      <alignment horizontal="right"/>
    </xf>
    <xf numFmtId="0" fontId="34" fillId="7" borderId="4" xfId="0" applyFont="1" applyFill="1" applyBorder="1" applyAlignment="1">
      <alignment horizontal="center" vertical="center"/>
    </xf>
    <xf numFmtId="0" fontId="34" fillId="11" borderId="0" xfId="0" applyFont="1" applyFill="1" applyBorder="1" applyAlignment="1">
      <alignment horizontal="center" vertical="center"/>
    </xf>
    <xf numFmtId="0" fontId="0" fillId="11" borderId="0" xfId="0" applyFill="1" applyBorder="1" applyAlignment="1">
      <alignment horizontal="left"/>
    </xf>
    <xf numFmtId="0" fontId="0" fillId="9" borderId="4" xfId="0" applyFill="1" applyBorder="1" applyAlignment="1">
      <alignment vertical="center"/>
    </xf>
    <xf numFmtId="14" fontId="3" fillId="10" borderId="4" xfId="0" quotePrefix="1" applyNumberFormat="1" applyFont="1" applyFill="1" applyBorder="1" applyAlignment="1">
      <alignment horizontal="center" vertical="center"/>
    </xf>
    <xf numFmtId="0" fontId="33" fillId="29" borderId="64" xfId="0" applyFont="1" applyFill="1" applyBorder="1" applyAlignment="1">
      <alignment horizontal="center" vertical="center"/>
    </xf>
    <xf numFmtId="0" fontId="34" fillId="7" borderId="37" xfId="0" applyFont="1" applyFill="1" applyBorder="1" applyAlignment="1">
      <alignment horizontal="center" vertical="center"/>
    </xf>
    <xf numFmtId="0" fontId="34" fillId="7" borderId="39" xfId="0" applyFont="1" applyFill="1" applyBorder="1" applyAlignment="1">
      <alignment horizontal="center" vertical="center"/>
    </xf>
    <xf numFmtId="0" fontId="34" fillId="7" borderId="41" xfId="0" applyFont="1" applyFill="1" applyBorder="1" applyAlignment="1">
      <alignment horizontal="center" vertical="center"/>
    </xf>
    <xf numFmtId="0" fontId="18" fillId="11" borderId="0" xfId="0" applyFont="1" applyFill="1"/>
    <xf numFmtId="0" fontId="0" fillId="11" borderId="0" xfId="0" applyFill="1" applyAlignment="1">
      <alignment horizontal="left"/>
    </xf>
    <xf numFmtId="0" fontId="0" fillId="11" borderId="0" xfId="0" applyFill="1" applyBorder="1" applyAlignment="1">
      <alignment horizontal="left" vertical="top"/>
    </xf>
    <xf numFmtId="0" fontId="9" fillId="11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37" fillId="11" borderId="0" xfId="0" applyFont="1" applyFill="1" applyAlignment="1">
      <alignment horizontal="center" vertical="center"/>
    </xf>
    <xf numFmtId="9" fontId="38" fillId="30" borderId="24" xfId="1" applyFont="1" applyFill="1" applyBorder="1" applyAlignment="1">
      <alignment horizontal="center" vertical="center"/>
    </xf>
    <xf numFmtId="0" fontId="9" fillId="11" borderId="0" xfId="0" applyFont="1" applyFill="1" applyBorder="1" applyAlignment="1">
      <alignment horizontal="center" vertical="center"/>
    </xf>
    <xf numFmtId="166" fontId="38" fillId="11" borderId="0" xfId="0" applyNumberFormat="1" applyFont="1" applyFill="1" applyBorder="1"/>
    <xf numFmtId="166" fontId="0" fillId="11" borderId="0" xfId="0" applyNumberFormat="1" applyFill="1" applyBorder="1"/>
    <xf numFmtId="166" fontId="0" fillId="11" borderId="0" xfId="0" applyNumberFormat="1" applyFill="1"/>
    <xf numFmtId="0" fontId="33" fillId="29" borderId="60" xfId="0" applyFont="1" applyFill="1" applyBorder="1" applyAlignment="1">
      <alignment horizontal="center" vertical="center" wrapText="1"/>
    </xf>
    <xf numFmtId="0" fontId="34" fillId="7" borderId="48" xfId="0" applyFont="1" applyFill="1" applyBorder="1" applyAlignment="1">
      <alignment horizontal="center" vertical="center"/>
    </xf>
    <xf numFmtId="0" fontId="37" fillId="0" borderId="0" xfId="0" applyFont="1" applyFill="1" applyAlignment="1">
      <alignment horizontal="center" vertical="center"/>
    </xf>
    <xf numFmtId="9" fontId="38" fillId="0" borderId="0" xfId="1" applyFont="1" applyFill="1" applyBorder="1" applyAlignment="1">
      <alignment horizontal="center"/>
    </xf>
    <xf numFmtId="9" fontId="0" fillId="0" borderId="0" xfId="1" applyFont="1" applyFill="1" applyBorder="1"/>
    <xf numFmtId="3" fontId="0" fillId="11" borderId="0" xfId="0" applyNumberFormat="1" applyFill="1"/>
    <xf numFmtId="9" fontId="0" fillId="30" borderId="4" xfId="1" applyFont="1" applyFill="1" applyBorder="1"/>
    <xf numFmtId="170" fontId="0" fillId="11" borderId="0" xfId="0" applyNumberFormat="1" applyFill="1" applyBorder="1"/>
    <xf numFmtId="170" fontId="38" fillId="11" borderId="0" xfId="0" applyNumberFormat="1" applyFont="1" applyFill="1" applyBorder="1"/>
    <xf numFmtId="0" fontId="9" fillId="31" borderId="4" xfId="0" applyFont="1" applyFill="1" applyBorder="1" applyAlignment="1">
      <alignment horizontal="center"/>
    </xf>
    <xf numFmtId="0" fontId="9" fillId="11" borderId="4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2" fontId="0" fillId="0" borderId="0" xfId="0" applyNumberFormat="1"/>
    <xf numFmtId="1" fontId="2" fillId="11" borderId="3" xfId="0" applyNumberFormat="1" applyFont="1" applyFill="1" applyBorder="1" applyAlignment="1">
      <alignment horizontal="center"/>
    </xf>
    <xf numFmtId="0" fontId="23" fillId="8" borderId="66" xfId="4" applyFont="1" applyFill="1" applyBorder="1"/>
    <xf numFmtId="0" fontId="21" fillId="8" borderId="28" xfId="0" applyFont="1" applyFill="1" applyBorder="1"/>
    <xf numFmtId="0" fontId="23" fillId="8" borderId="66" xfId="5" applyFont="1" applyFill="1" applyBorder="1"/>
    <xf numFmtId="0" fontId="8" fillId="3" borderId="66" xfId="2" applyBorder="1"/>
    <xf numFmtId="0" fontId="8" fillId="3" borderId="67" xfId="2" applyBorder="1"/>
    <xf numFmtId="0" fontId="1" fillId="4" borderId="28" xfId="0" applyFont="1" applyFill="1" applyBorder="1"/>
    <xf numFmtId="165" fontId="0" fillId="11" borderId="0" xfId="0" applyNumberFormat="1" applyFill="1" applyBorder="1"/>
    <xf numFmtId="0" fontId="0" fillId="0" borderId="0" xfId="0" applyAlignment="1">
      <alignment horizontal="left" indent="1"/>
    </xf>
    <xf numFmtId="0" fontId="0" fillId="11" borderId="0" xfId="0" applyNumberFormat="1" applyFill="1"/>
    <xf numFmtId="0" fontId="0" fillId="11" borderId="0" xfId="0" applyFill="1" applyAlignment="1">
      <alignment horizontal="left" indent="1"/>
    </xf>
    <xf numFmtId="9" fontId="0" fillId="0" borderId="0" xfId="0" applyNumberFormat="1"/>
    <xf numFmtId="9" fontId="0" fillId="11" borderId="0" xfId="0" applyNumberFormat="1" applyFill="1"/>
    <xf numFmtId="167" fontId="0" fillId="0" borderId="4" xfId="0" applyNumberFormat="1" applyBorder="1"/>
    <xf numFmtId="167" fontId="0" fillId="0" borderId="4" xfId="0" applyNumberFormat="1" applyBorder="1" applyAlignment="1">
      <alignment vertical="center"/>
    </xf>
    <xf numFmtId="0" fontId="0" fillId="11" borderId="49" xfId="0" applyFill="1" applyBorder="1"/>
    <xf numFmtId="0" fontId="9" fillId="17" borderId="16" xfId="0" applyFont="1" applyFill="1" applyBorder="1"/>
    <xf numFmtId="0" fontId="0" fillId="11" borderId="4" xfId="0" applyFill="1" applyBorder="1"/>
    <xf numFmtId="166" fontId="0" fillId="0" borderId="4" xfId="0" applyNumberFormat="1" applyBorder="1"/>
    <xf numFmtId="166" fontId="38" fillId="0" borderId="4" xfId="0" applyNumberFormat="1" applyFont="1" applyBorder="1"/>
    <xf numFmtId="166" fontId="38" fillId="7" borderId="4" xfId="0" applyNumberFormat="1" applyFont="1" applyFill="1" applyBorder="1"/>
    <xf numFmtId="166" fontId="38" fillId="0" borderId="4" xfId="1" applyNumberFormat="1" applyFont="1" applyFill="1" applyBorder="1"/>
    <xf numFmtId="9" fontId="38" fillId="7" borderId="27" xfId="1" applyFont="1" applyFill="1" applyBorder="1" applyAlignment="1">
      <alignment horizontal="right"/>
    </xf>
    <xf numFmtId="166" fontId="38" fillId="0" borderId="8" xfId="1" applyNumberFormat="1" applyFont="1" applyFill="1" applyBorder="1"/>
    <xf numFmtId="166" fontId="38" fillId="0" borderId="27" xfId="0" applyNumberFormat="1" applyFont="1" applyFill="1" applyBorder="1"/>
    <xf numFmtId="0" fontId="9" fillId="10" borderId="8" xfId="0" applyFont="1" applyFill="1" applyBorder="1" applyAlignment="1">
      <alignment horizontal="center"/>
    </xf>
    <xf numFmtId="166" fontId="0" fillId="0" borderId="8" xfId="0" applyNumberFormat="1" applyBorder="1"/>
    <xf numFmtId="0" fontId="9" fillId="31" borderId="45" xfId="0" applyFont="1" applyFill="1" applyBorder="1" applyAlignment="1">
      <alignment horizontal="center"/>
    </xf>
    <xf numFmtId="166" fontId="38" fillId="7" borderId="46" xfId="0" applyNumberFormat="1" applyFont="1" applyFill="1" applyBorder="1"/>
    <xf numFmtId="3" fontId="38" fillId="7" borderId="47" xfId="0" applyNumberFormat="1" applyFont="1" applyFill="1" applyBorder="1"/>
    <xf numFmtId="0" fontId="9" fillId="11" borderId="45" xfId="0" applyFont="1" applyFill="1" applyBorder="1" applyAlignment="1">
      <alignment horizontal="center" vertical="center"/>
    </xf>
    <xf numFmtId="0" fontId="9" fillId="11" borderId="46" xfId="0" applyFont="1" applyFill="1" applyBorder="1" applyAlignment="1">
      <alignment horizontal="center" vertical="center"/>
    </xf>
    <xf numFmtId="0" fontId="9" fillId="11" borderId="47" xfId="0" applyFont="1" applyFill="1" applyBorder="1" applyAlignment="1">
      <alignment horizontal="center" vertical="center"/>
    </xf>
    <xf numFmtId="0" fontId="9" fillId="11" borderId="27" xfId="0" applyFont="1" applyFill="1" applyBorder="1" applyAlignment="1">
      <alignment horizontal="center" vertical="center"/>
    </xf>
    <xf numFmtId="167" fontId="9" fillId="0" borderId="4" xfId="0" applyNumberFormat="1" applyFont="1" applyBorder="1" applyAlignment="1">
      <alignment horizontal="right"/>
    </xf>
    <xf numFmtId="9" fontId="9" fillId="0" borderId="4" xfId="1" applyFont="1" applyBorder="1" applyAlignment="1">
      <alignment horizontal="right"/>
    </xf>
    <xf numFmtId="169" fontId="9" fillId="0" borderId="23" xfId="0" applyNumberFormat="1" applyFont="1" applyBorder="1" applyAlignment="1">
      <alignment horizontal="right"/>
    </xf>
    <xf numFmtId="169" fontId="9" fillId="0" borderId="8" xfId="0" applyNumberFormat="1" applyFont="1" applyBorder="1" applyAlignment="1">
      <alignment horizontal="right"/>
    </xf>
    <xf numFmtId="9" fontId="39" fillId="26" borderId="4" xfId="1" applyFont="1" applyFill="1" applyBorder="1" applyAlignment="1">
      <alignment horizontal="right"/>
    </xf>
    <xf numFmtId="0" fontId="37" fillId="11" borderId="36" xfId="0" applyFont="1" applyFill="1" applyBorder="1" applyAlignment="1">
      <alignment horizontal="center" vertical="center"/>
    </xf>
    <xf numFmtId="9" fontId="39" fillId="26" borderId="8" xfId="1" applyFont="1" applyFill="1" applyBorder="1" applyAlignment="1">
      <alignment horizontal="right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/>
    <xf numFmtId="14" fontId="0" fillId="0" borderId="0" xfId="0" applyNumberFormat="1" applyAlignment="1">
      <alignment horizontal="center" vertical="center"/>
    </xf>
    <xf numFmtId="42" fontId="20" fillId="11" borderId="4" xfId="0" applyNumberFormat="1" applyFont="1" applyFill="1" applyBorder="1"/>
    <xf numFmtId="42" fontId="0" fillId="0" borderId="4" xfId="0" applyNumberFormat="1" applyBorder="1"/>
    <xf numFmtId="42" fontId="20" fillId="27" borderId="4" xfId="0" applyNumberFormat="1" applyFont="1" applyFill="1" applyBorder="1"/>
    <xf numFmtId="42" fontId="20" fillId="13" borderId="4" xfId="0" applyNumberFormat="1" applyFont="1" applyFill="1" applyBorder="1"/>
    <xf numFmtId="42" fontId="20" fillId="27" borderId="4" xfId="3" applyNumberFormat="1" applyFont="1" applyFill="1" applyBorder="1"/>
    <xf numFmtId="42" fontId="20" fillId="0" borderId="4" xfId="0" applyNumberFormat="1" applyFont="1" applyBorder="1"/>
    <xf numFmtId="42" fontId="20" fillId="27" borderId="4" xfId="0" applyNumberFormat="1" applyFont="1" applyFill="1" applyBorder="1" applyAlignment="1">
      <alignment vertical="center"/>
    </xf>
    <xf numFmtId="42" fontId="20" fillId="0" borderId="4" xfId="0" applyNumberFormat="1" applyFont="1" applyBorder="1" applyAlignment="1">
      <alignment vertical="center"/>
    </xf>
    <xf numFmtId="42" fontId="29" fillId="24" borderId="4" xfId="8" applyNumberFormat="1" applyFont="1" applyFill="1" applyBorder="1" applyAlignment="1">
      <alignment horizontal="center"/>
    </xf>
    <xf numFmtId="0" fontId="9" fillId="0" borderId="44" xfId="0" applyFont="1" applyBorder="1" applyAlignment="1">
      <alignment horizontal="center" vertical="center"/>
    </xf>
    <xf numFmtId="0" fontId="9" fillId="0" borderId="69" xfId="0" applyFont="1" applyBorder="1" applyAlignment="1">
      <alignment horizontal="center" vertical="center"/>
    </xf>
    <xf numFmtId="44" fontId="0" fillId="11" borderId="0" xfId="8" applyFont="1" applyFill="1" applyBorder="1" applyAlignment="1">
      <alignment vertical="center"/>
    </xf>
    <xf numFmtId="0" fontId="34" fillId="32" borderId="14" xfId="0" applyFont="1" applyFill="1" applyBorder="1" applyAlignment="1">
      <alignment horizontal="center" vertical="center"/>
    </xf>
    <xf numFmtId="0" fontId="32" fillId="26" borderId="4" xfId="0" applyFont="1" applyFill="1" applyBorder="1" applyAlignment="1">
      <alignment horizontal="center" vertical="center" wrapText="1"/>
    </xf>
    <xf numFmtId="0" fontId="32" fillId="26" borderId="4" xfId="0" applyFont="1" applyFill="1" applyBorder="1" applyAlignment="1">
      <alignment horizontal="center" vertical="center"/>
    </xf>
    <xf numFmtId="0" fontId="41" fillId="2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left" vertical="center"/>
    </xf>
    <xf numFmtId="0" fontId="41" fillId="2" borderId="4" xfId="0" applyFont="1" applyFill="1" applyBorder="1" applyAlignment="1">
      <alignment horizontal="left" vertical="center"/>
    </xf>
    <xf numFmtId="0" fontId="41" fillId="33" borderId="4" xfId="0" applyFont="1" applyFill="1" applyBorder="1" applyAlignment="1">
      <alignment horizontal="center" vertical="center"/>
    </xf>
    <xf numFmtId="0" fontId="32" fillId="11" borderId="4" xfId="0" applyFont="1" applyFill="1" applyBorder="1" applyAlignment="1">
      <alignment horizontal="left"/>
    </xf>
    <xf numFmtId="0" fontId="42" fillId="0" borderId="4" xfId="0" applyFont="1" applyBorder="1"/>
    <xf numFmtId="0" fontId="41" fillId="0" borderId="4" xfId="0" applyFont="1" applyBorder="1" applyAlignment="1">
      <alignment horizontal="left"/>
    </xf>
    <xf numFmtId="0" fontId="32" fillId="0" borderId="4" xfId="0" applyFont="1" applyBorder="1" applyAlignment="1">
      <alignment horizontal="left"/>
    </xf>
    <xf numFmtId="0" fontId="41" fillId="0" borderId="0" xfId="0" applyFont="1" applyFill="1" applyBorder="1" applyAlignment="1">
      <alignment horizontal="left" vertical="center"/>
    </xf>
    <xf numFmtId="0" fontId="41" fillId="0" borderId="0" xfId="0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left" vertical="center"/>
    </xf>
    <xf numFmtId="0" fontId="42" fillId="0" borderId="0" xfId="0" applyFont="1" applyFill="1" applyBorder="1"/>
    <xf numFmtId="0" fontId="41" fillId="0" borderId="0" xfId="0" applyFont="1" applyFill="1" applyBorder="1" applyAlignment="1">
      <alignment horizontal="left"/>
    </xf>
    <xf numFmtId="0" fontId="43" fillId="0" borderId="0" xfId="0" applyFont="1" applyFill="1" applyBorder="1" applyAlignment="1">
      <alignment horizontal="left" vertical="center"/>
    </xf>
    <xf numFmtId="0" fontId="31" fillId="2" borderId="4" xfId="0" applyFont="1" applyFill="1" applyBorder="1" applyAlignment="1">
      <alignment horizontal="center" vertical="center"/>
    </xf>
    <xf numFmtId="0" fontId="31" fillId="0" borderId="24" xfId="0" applyFont="1" applyBorder="1" applyAlignment="1">
      <alignment horizontal="center"/>
    </xf>
    <xf numFmtId="0" fontId="31" fillId="0" borderId="4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42" fillId="0" borderId="0" xfId="0" applyFont="1" applyBorder="1"/>
    <xf numFmtId="0" fontId="32" fillId="12" borderId="43" xfId="0" applyFont="1" applyFill="1" applyBorder="1" applyAlignment="1">
      <alignment horizontal="left" vertical="center"/>
    </xf>
    <xf numFmtId="0" fontId="40" fillId="11" borderId="68" xfId="0" applyFont="1" applyFill="1" applyBorder="1" applyAlignment="1">
      <alignment horizontal="left" vertical="center"/>
    </xf>
    <xf numFmtId="0" fontId="32" fillId="34" borderId="43" xfId="0" applyFont="1" applyFill="1" applyBorder="1" applyAlignment="1">
      <alignment horizontal="left" vertical="center"/>
    </xf>
    <xf numFmtId="0" fontId="29" fillId="24" borderId="4" xfId="0" applyFont="1" applyFill="1" applyBorder="1" applyAlignment="1">
      <alignment horizontal="center" vertical="center"/>
    </xf>
    <xf numFmtId="0" fontId="29" fillId="11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0" fontId="20" fillId="24" borderId="4" xfId="0" applyFont="1" applyFill="1" applyBorder="1" applyAlignment="1">
      <alignment horizontal="center" vertical="center"/>
    </xf>
    <xf numFmtId="0" fontId="20" fillId="11" borderId="4" xfId="0" applyFont="1" applyFill="1" applyBorder="1" applyAlignment="1">
      <alignment horizontal="center" vertical="center"/>
    </xf>
    <xf numFmtId="0" fontId="20" fillId="12" borderId="4" xfId="0" applyFont="1" applyFill="1" applyBorder="1" applyAlignment="1">
      <alignment horizontal="center" vertical="center"/>
    </xf>
    <xf numFmtId="0" fontId="29" fillId="34" borderId="4" xfId="0" applyFont="1" applyFill="1" applyBorder="1" applyAlignment="1">
      <alignment horizontal="center" vertical="center"/>
    </xf>
    <xf numFmtId="0" fontId="20" fillId="34" borderId="4" xfId="0" applyFont="1" applyFill="1" applyBorder="1" applyAlignment="1">
      <alignment horizontal="center" vertical="center"/>
    </xf>
    <xf numFmtId="167" fontId="11" fillId="9" borderId="4" xfId="0" applyNumberFormat="1" applyFont="1" applyFill="1" applyBorder="1"/>
    <xf numFmtId="42" fontId="20" fillId="0" borderId="4" xfId="0" applyNumberFormat="1" applyFont="1" applyFill="1" applyBorder="1"/>
    <xf numFmtId="167" fontId="0" fillId="0" borderId="25" xfId="0" applyNumberFormat="1" applyBorder="1"/>
    <xf numFmtId="0" fontId="44" fillId="24" borderId="4" xfId="0" applyFont="1" applyFill="1" applyBorder="1" applyAlignment="1">
      <alignment horizontal="center" vertical="center"/>
    </xf>
    <xf numFmtId="0" fontId="44" fillId="24" borderId="4" xfId="0" applyFont="1" applyFill="1" applyBorder="1" applyAlignment="1">
      <alignment horizontal="left" vertical="center"/>
    </xf>
    <xf numFmtId="0" fontId="20" fillId="24" borderId="4" xfId="0" applyFont="1" applyFill="1" applyBorder="1" applyAlignment="1">
      <alignment horizontal="left" vertical="center"/>
    </xf>
    <xf numFmtId="0" fontId="20" fillId="11" borderId="4" xfId="0" applyFont="1" applyFill="1" applyBorder="1" applyAlignment="1">
      <alignment horizontal="left" vertical="center"/>
    </xf>
    <xf numFmtId="0" fontId="20" fillId="34" borderId="4" xfId="0" applyFont="1" applyFill="1" applyBorder="1" applyAlignment="1">
      <alignment horizontal="left" vertical="center"/>
    </xf>
    <xf numFmtId="0" fontId="20" fillId="12" borderId="4" xfId="0" applyFont="1" applyFill="1" applyBorder="1" applyAlignment="1">
      <alignment horizontal="left" vertical="center"/>
    </xf>
    <xf numFmtId="0" fontId="3" fillId="0" borderId="0" xfId="0" applyNumberFormat="1" applyFont="1" applyBorder="1" applyAlignment="1">
      <alignment horizontal="center"/>
    </xf>
    <xf numFmtId="0" fontId="3" fillId="0" borderId="70" xfId="0" applyNumberFormat="1" applyFont="1" applyBorder="1" applyAlignment="1">
      <alignment horizontal="center"/>
    </xf>
    <xf numFmtId="0" fontId="3" fillId="0" borderId="20" xfId="0" applyNumberFormat="1" applyFont="1" applyBorder="1" applyAlignment="1">
      <alignment horizontal="center"/>
    </xf>
    <xf numFmtId="0" fontId="3" fillId="0" borderId="6" xfId="0" applyFont="1" applyBorder="1" applyAlignment="1">
      <alignment horizontal="left"/>
    </xf>
    <xf numFmtId="0" fontId="3" fillId="0" borderId="7" xfId="0" applyFont="1" applyBorder="1" applyAlignment="1">
      <alignment horizontal="left"/>
    </xf>
    <xf numFmtId="0" fontId="3" fillId="0" borderId="25" xfId="0" applyFont="1" applyBorder="1" applyAlignment="1">
      <alignment horizontal="left"/>
    </xf>
    <xf numFmtId="0" fontId="3" fillId="0" borderId="21" xfId="0" applyNumberFormat="1" applyFont="1" applyBorder="1" applyAlignment="1">
      <alignment horizontal="center"/>
    </xf>
    <xf numFmtId="0" fontId="3" fillId="0" borderId="22" xfId="0" applyNumberFormat="1" applyFont="1" applyBorder="1" applyAlignment="1">
      <alignment horizontal="center"/>
    </xf>
    <xf numFmtId="0" fontId="3" fillId="0" borderId="23" xfId="0" applyNumberFormat="1" applyFont="1" applyBorder="1" applyAlignment="1">
      <alignment horizontal="center"/>
    </xf>
    <xf numFmtId="0" fontId="3" fillId="0" borderId="12" xfId="0" applyNumberFormat="1" applyFont="1" applyBorder="1" applyAlignment="1">
      <alignment horizontal="center"/>
    </xf>
    <xf numFmtId="0" fontId="3" fillId="0" borderId="13" xfId="0" applyNumberFormat="1" applyFont="1" applyBorder="1" applyAlignment="1">
      <alignment horizontal="center"/>
    </xf>
    <xf numFmtId="0" fontId="29" fillId="9" borderId="30" xfId="0" applyNumberFormat="1" applyFont="1" applyFill="1" applyBorder="1" applyAlignment="1">
      <alignment horizontal="center"/>
    </xf>
    <xf numFmtId="0" fontId="29" fillId="9" borderId="13" xfId="0" applyNumberFormat="1" applyFont="1" applyFill="1" applyBorder="1" applyAlignment="1">
      <alignment horizontal="center"/>
    </xf>
    <xf numFmtId="0" fontId="29" fillId="9" borderId="12" xfId="0" applyNumberFormat="1" applyFont="1" applyFill="1" applyBorder="1" applyAlignment="1">
      <alignment horizontal="center"/>
    </xf>
    <xf numFmtId="0" fontId="11" fillId="23" borderId="29" xfId="0" applyNumberFormat="1" applyFont="1" applyFill="1" applyBorder="1" applyAlignment="1">
      <alignment horizontal="center"/>
    </xf>
    <xf numFmtId="0" fontId="11" fillId="23" borderId="30" xfId="0" applyNumberFormat="1" applyFont="1" applyFill="1" applyBorder="1" applyAlignment="1">
      <alignment horizontal="center"/>
    </xf>
    <xf numFmtId="0" fontId="11" fillId="23" borderId="35" xfId="0" applyNumberFormat="1" applyFont="1" applyFill="1" applyBorder="1" applyAlignment="1">
      <alignment horizontal="center"/>
    </xf>
    <xf numFmtId="0" fontId="22" fillId="2" borderId="27" xfId="0" applyNumberFormat="1" applyFont="1" applyFill="1" applyBorder="1" applyAlignment="1">
      <alignment horizontal="center"/>
    </xf>
    <xf numFmtId="0" fontId="29" fillId="9" borderId="50" xfId="0" applyNumberFormat="1" applyFont="1" applyFill="1" applyBorder="1" applyAlignment="1">
      <alignment horizontal="center"/>
    </xf>
    <xf numFmtId="0" fontId="29" fillId="0" borderId="28" xfId="0" applyFont="1" applyBorder="1" applyAlignment="1">
      <alignment horizontal="center" wrapText="1"/>
    </xf>
    <xf numFmtId="0" fontId="29" fillId="9" borderId="9" xfId="0" applyNumberFormat="1" applyFont="1" applyFill="1" applyBorder="1" applyAlignment="1">
      <alignment horizontal="center"/>
    </xf>
    <xf numFmtId="0" fontId="45" fillId="2" borderId="18" xfId="0" applyFont="1" applyFill="1" applyBorder="1" applyAlignment="1">
      <alignment horizontal="center"/>
    </xf>
    <xf numFmtId="0" fontId="10" fillId="2" borderId="18" xfId="0" applyFont="1" applyFill="1" applyBorder="1" applyAlignment="1">
      <alignment horizontal="center"/>
    </xf>
    <xf numFmtId="166" fontId="0" fillId="11" borderId="0" xfId="0" applyNumberFormat="1" applyFill="1" applyAlignment="1">
      <alignment horizontal="left"/>
    </xf>
    <xf numFmtId="167" fontId="9" fillId="30" borderId="30" xfId="0" applyNumberFormat="1" applyFont="1" applyFill="1" applyBorder="1"/>
    <xf numFmtId="9" fontId="9" fillId="30" borderId="13" xfId="1" applyFont="1" applyFill="1" applyBorder="1"/>
    <xf numFmtId="9" fontId="9" fillId="32" borderId="44" xfId="1" applyFont="1" applyFill="1" applyBorder="1"/>
    <xf numFmtId="167" fontId="0" fillId="0" borderId="62" xfId="0" applyNumberFormat="1" applyBorder="1"/>
    <xf numFmtId="0" fontId="0" fillId="0" borderId="0" xfId="0" applyFill="1" applyBorder="1"/>
    <xf numFmtId="0" fontId="29" fillId="0" borderId="4" xfId="0" applyFont="1" applyFill="1" applyBorder="1" applyAlignment="1">
      <alignment horizontal="center" vertical="center"/>
    </xf>
    <xf numFmtId="0" fontId="20" fillId="0" borderId="4" xfId="0" applyFont="1" applyFill="1" applyBorder="1" applyAlignment="1">
      <alignment horizontal="center" vertical="center"/>
    </xf>
    <xf numFmtId="0" fontId="29" fillId="12" borderId="6" xfId="0" applyFont="1" applyFill="1" applyBorder="1" applyAlignment="1">
      <alignment horizontal="center" vertical="center"/>
    </xf>
    <xf numFmtId="0" fontId="20" fillId="12" borderId="6" xfId="0" applyFont="1" applyFill="1" applyBorder="1" applyAlignment="1">
      <alignment horizontal="left" vertical="center"/>
    </xf>
    <xf numFmtId="0" fontId="20" fillId="12" borderId="6" xfId="0" applyFont="1" applyFill="1" applyBorder="1" applyAlignment="1">
      <alignment horizontal="center" vertical="center"/>
    </xf>
    <xf numFmtId="0" fontId="29" fillId="11" borderId="25" xfId="0" applyFont="1" applyFill="1" applyBorder="1" applyAlignment="1">
      <alignment horizontal="center" vertical="center"/>
    </xf>
    <xf numFmtId="0" fontId="20" fillId="11" borderId="25" xfId="0" applyFont="1" applyFill="1" applyBorder="1" applyAlignment="1">
      <alignment horizontal="left" vertical="center"/>
    </xf>
    <xf numFmtId="0" fontId="20" fillId="11" borderId="25" xfId="0" applyFont="1" applyFill="1" applyBorder="1" applyAlignment="1">
      <alignment horizontal="center" vertical="center"/>
    </xf>
    <xf numFmtId="0" fontId="0" fillId="28" borderId="0" xfId="0" applyFill="1"/>
    <xf numFmtId="0" fontId="0" fillId="18" borderId="0" xfId="0" applyFill="1"/>
    <xf numFmtId="14" fontId="3" fillId="32" borderId="4" xfId="0" quotePrefix="1" applyNumberFormat="1" applyFont="1" applyFill="1" applyBorder="1" applyAlignment="1">
      <alignment horizontal="center" vertical="center"/>
    </xf>
    <xf numFmtId="168" fontId="0" fillId="10" borderId="52" xfId="8" applyNumberFormat="1" applyFont="1" applyFill="1" applyBorder="1"/>
    <xf numFmtId="168" fontId="0" fillId="10" borderId="44" xfId="8" applyNumberFormat="1" applyFont="1" applyFill="1" applyBorder="1"/>
    <xf numFmtId="168" fontId="0" fillId="24" borderId="43" xfId="8" applyNumberFormat="1" applyFont="1" applyFill="1" applyBorder="1"/>
    <xf numFmtId="0" fontId="9" fillId="11" borderId="53" xfId="0" applyFont="1" applyFill="1" applyBorder="1"/>
    <xf numFmtId="0" fontId="0" fillId="11" borderId="53" xfId="0" applyFill="1" applyBorder="1"/>
    <xf numFmtId="0" fontId="0" fillId="11" borderId="71" xfId="0" applyFill="1" applyBorder="1"/>
    <xf numFmtId="0" fontId="0" fillId="11" borderId="4" xfId="0" applyFill="1" applyBorder="1" applyAlignment="1">
      <alignment horizontal="center" vertical="center"/>
    </xf>
    <xf numFmtId="0" fontId="9" fillId="11" borderId="4" xfId="0" applyFont="1" applyFill="1" applyBorder="1"/>
    <xf numFmtId="0" fontId="9" fillId="18" borderId="4" xfId="0" applyFont="1" applyFill="1" applyBorder="1"/>
    <xf numFmtId="0" fontId="0" fillId="18" borderId="4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/>
    </xf>
    <xf numFmtId="0" fontId="9" fillId="11" borderId="72" xfId="0" applyFont="1" applyFill="1" applyBorder="1"/>
    <xf numFmtId="0" fontId="0" fillId="11" borderId="29" xfId="0" applyFill="1" applyBorder="1"/>
    <xf numFmtId="0" fontId="0" fillId="11" borderId="48" xfId="0" applyFill="1" applyBorder="1"/>
    <xf numFmtId="0" fontId="0" fillId="11" borderId="40" xfId="0" applyFill="1" applyBorder="1" applyAlignment="1">
      <alignment horizontal="center"/>
    </xf>
    <xf numFmtId="0" fontId="0" fillId="28" borderId="42" xfId="0" applyFill="1" applyBorder="1"/>
    <xf numFmtId="0" fontId="0" fillId="28" borderId="40" xfId="0" applyFill="1" applyBorder="1"/>
    <xf numFmtId="0" fontId="0" fillId="28" borderId="46" xfId="0" applyFill="1" applyBorder="1"/>
    <xf numFmtId="0" fontId="9" fillId="28" borderId="27" xfId="0" applyFont="1" applyFill="1" applyBorder="1"/>
    <xf numFmtId="0" fontId="9" fillId="28" borderId="28" xfId="0" applyFont="1" applyFill="1" applyBorder="1" applyAlignment="1">
      <alignment horizontal="center" vertical="center"/>
    </xf>
    <xf numFmtId="0" fontId="9" fillId="28" borderId="37" xfId="0" applyFont="1" applyFill="1" applyBorder="1"/>
    <xf numFmtId="0" fontId="0" fillId="28" borderId="38" xfId="0" applyFill="1" applyBorder="1" applyAlignment="1">
      <alignment horizontal="center" vertical="center"/>
    </xf>
    <xf numFmtId="0" fontId="9" fillId="28" borderId="39" xfId="0" applyFont="1" applyFill="1" applyBorder="1"/>
    <xf numFmtId="0" fontId="0" fillId="28" borderId="39" xfId="0" applyFill="1" applyBorder="1"/>
    <xf numFmtId="0" fontId="0" fillId="28" borderId="40" xfId="0" applyFill="1" applyBorder="1" applyAlignment="1">
      <alignment horizontal="center" vertical="center"/>
    </xf>
    <xf numFmtId="0" fontId="0" fillId="28" borderId="42" xfId="0" applyFill="1" applyBorder="1" applyAlignment="1">
      <alignment horizontal="left" vertical="top"/>
    </xf>
    <xf numFmtId="0" fontId="0" fillId="28" borderId="49" xfId="0" applyFill="1" applyBorder="1" applyAlignment="1">
      <alignment horizontal="center" vertical="center"/>
    </xf>
    <xf numFmtId="0" fontId="9" fillId="28" borderId="41" xfId="0" applyFont="1" applyFill="1" applyBorder="1"/>
    <xf numFmtId="0" fontId="0" fillId="28" borderId="50" xfId="0" applyFill="1" applyBorder="1"/>
    <xf numFmtId="0" fontId="0" fillId="11" borderId="16" xfId="0" applyFill="1" applyBorder="1"/>
    <xf numFmtId="0" fontId="3" fillId="9" borderId="4" xfId="0" applyFont="1" applyFill="1" applyBorder="1" applyAlignment="1">
      <alignment horizontal="center" vertical="center"/>
    </xf>
    <xf numFmtId="167" fontId="0" fillId="28" borderId="4" xfId="0" applyNumberFormat="1" applyFill="1" applyBorder="1"/>
    <xf numFmtId="0" fontId="33" fillId="18" borderId="4" xfId="0" applyFont="1" applyFill="1" applyBorder="1"/>
    <xf numFmtId="0" fontId="0" fillId="0" borderId="4" xfId="0" quotePrefix="1" applyBorder="1"/>
    <xf numFmtId="0" fontId="33" fillId="18" borderId="4" xfId="0" applyFont="1" applyFill="1" applyBorder="1" applyAlignment="1">
      <alignment vertical="center" wrapText="1"/>
    </xf>
    <xf numFmtId="0" fontId="3" fillId="9" borderId="4" xfId="0" applyFont="1" applyFill="1" applyBorder="1" applyAlignment="1">
      <alignment horizontal="center"/>
    </xf>
    <xf numFmtId="0" fontId="33" fillId="18" borderId="4" xfId="0" applyFont="1" applyFill="1" applyBorder="1" applyAlignment="1">
      <alignment horizontal="left" vertical="center"/>
    </xf>
    <xf numFmtId="0" fontId="33" fillId="18" borderId="4" xfId="0" applyFont="1" applyFill="1" applyBorder="1" applyAlignment="1">
      <alignment horizontal="left" vertical="center" wrapText="1"/>
    </xf>
    <xf numFmtId="0" fontId="0" fillId="0" borderId="4" xfId="0" quotePrefix="1" applyBorder="1" applyAlignment="1">
      <alignment wrapText="1"/>
    </xf>
    <xf numFmtId="168" fontId="9" fillId="32" borderId="43" xfId="8" applyNumberFormat="1" applyFont="1" applyFill="1" applyBorder="1"/>
    <xf numFmtId="168" fontId="9" fillId="32" borderId="52" xfId="8" applyNumberFormat="1" applyFont="1" applyFill="1" applyBorder="1"/>
    <xf numFmtId="0" fontId="1" fillId="10" borderId="46" xfId="0" applyFont="1" applyFill="1" applyBorder="1" applyAlignment="1">
      <alignment horizontal="left" vertical="center"/>
    </xf>
    <xf numFmtId="0" fontId="0" fillId="10" borderId="46" xfId="0" applyFill="1" applyBorder="1" applyAlignment="1">
      <alignment horizontal="left" vertical="center"/>
    </xf>
    <xf numFmtId="0" fontId="0" fillId="10" borderId="47" xfId="0" applyFill="1" applyBorder="1" applyAlignment="1">
      <alignment horizontal="left" vertical="center"/>
    </xf>
    <xf numFmtId="0" fontId="1" fillId="14" borderId="46" xfId="0" applyFont="1" applyFill="1" applyBorder="1"/>
    <xf numFmtId="0" fontId="1" fillId="14" borderId="46" xfId="0" applyFont="1" applyFill="1" applyBorder="1" applyAlignment="1">
      <alignment vertical="center"/>
    </xf>
    <xf numFmtId="0" fontId="1" fillId="14" borderId="47" xfId="0" applyFont="1" applyFill="1" applyBorder="1"/>
    <xf numFmtId="0" fontId="1" fillId="10" borderId="46" xfId="0" applyFont="1" applyFill="1" applyBorder="1"/>
    <xf numFmtId="0" fontId="1" fillId="10" borderId="46" xfId="0" applyFont="1" applyFill="1" applyBorder="1" applyAlignment="1">
      <alignment vertical="center"/>
    </xf>
    <xf numFmtId="0" fontId="0" fillId="10" borderId="46" xfId="0" applyFill="1" applyBorder="1" applyAlignment="1">
      <alignment vertical="center"/>
    </xf>
    <xf numFmtId="0" fontId="0" fillId="10" borderId="47" xfId="0" applyFill="1" applyBorder="1"/>
    <xf numFmtId="167" fontId="0" fillId="0" borderId="8" xfId="0" applyNumberFormat="1" applyBorder="1"/>
    <xf numFmtId="167" fontId="0" fillId="0" borderId="8" xfId="0" applyNumberFormat="1" applyBorder="1" applyAlignment="1">
      <alignment vertical="center"/>
    </xf>
    <xf numFmtId="167" fontId="0" fillId="0" borderId="73" xfId="0" applyNumberFormat="1" applyBorder="1"/>
    <xf numFmtId="0" fontId="0" fillId="24" borderId="46" xfId="0" applyFont="1" applyFill="1" applyBorder="1"/>
    <xf numFmtId="0" fontId="0" fillId="24" borderId="46" xfId="0" applyFont="1" applyFill="1" applyBorder="1" applyAlignment="1">
      <alignment vertical="center" wrapText="1"/>
    </xf>
    <xf numFmtId="0" fontId="0" fillId="24" borderId="46" xfId="0" applyFont="1" applyFill="1" applyBorder="1" applyAlignment="1">
      <alignment wrapText="1"/>
    </xf>
    <xf numFmtId="0" fontId="0" fillId="24" borderId="47" xfId="0" applyFont="1" applyFill="1" applyBorder="1"/>
    <xf numFmtId="0" fontId="1" fillId="10" borderId="54" xfId="0" applyFont="1" applyFill="1" applyBorder="1" applyAlignment="1">
      <alignment horizontal="left" vertical="center"/>
    </xf>
    <xf numFmtId="0" fontId="1" fillId="14" borderId="54" xfId="0" applyFont="1" applyFill="1" applyBorder="1"/>
    <xf numFmtId="0" fontId="1" fillId="10" borderId="54" xfId="0" applyFont="1" applyFill="1" applyBorder="1"/>
    <xf numFmtId="0" fontId="0" fillId="24" borderId="54" xfId="0" applyFont="1" applyFill="1" applyBorder="1"/>
    <xf numFmtId="167" fontId="0" fillId="0" borderId="23" xfId="0" applyNumberFormat="1" applyBorder="1"/>
    <xf numFmtId="167" fontId="0" fillId="0" borderId="21" xfId="0" applyNumberFormat="1" applyBorder="1"/>
    <xf numFmtId="167" fontId="0" fillId="0" borderId="24" xfId="0" applyNumberFormat="1" applyBorder="1"/>
    <xf numFmtId="167" fontId="0" fillId="0" borderId="24" xfId="0" applyNumberFormat="1" applyBorder="1" applyAlignment="1">
      <alignment vertical="center"/>
    </xf>
    <xf numFmtId="167" fontId="0" fillId="0" borderId="63" xfId="0" applyNumberFormat="1" applyBorder="1"/>
    <xf numFmtId="9" fontId="0" fillId="0" borderId="55" xfId="1" applyFont="1" applyBorder="1"/>
    <xf numFmtId="9" fontId="0" fillId="0" borderId="56" xfId="1" applyFont="1" applyBorder="1"/>
    <xf numFmtId="9" fontId="0" fillId="0" borderId="56" xfId="1" applyFont="1" applyBorder="1" applyAlignment="1">
      <alignment vertical="center"/>
    </xf>
    <xf numFmtId="9" fontId="0" fillId="0" borderId="57" xfId="1" applyFont="1" applyBorder="1"/>
    <xf numFmtId="167" fontId="0" fillId="34" borderId="54" xfId="0" applyNumberFormat="1" applyFill="1" applyBorder="1"/>
    <xf numFmtId="167" fontId="0" fillId="34" borderId="46" xfId="0" applyNumberFormat="1" applyFill="1" applyBorder="1"/>
    <xf numFmtId="167" fontId="0" fillId="34" borderId="47" xfId="0" applyNumberFormat="1" applyFill="1" applyBorder="1"/>
    <xf numFmtId="167" fontId="0" fillId="34" borderId="46" xfId="0" applyNumberFormat="1" applyFill="1" applyBorder="1" applyAlignment="1">
      <alignment vertical="center"/>
    </xf>
    <xf numFmtId="0" fontId="48" fillId="0" borderId="27" xfId="0" pivotButton="1" applyFont="1" applyBorder="1"/>
    <xf numFmtId="0" fontId="49" fillId="0" borderId="0" xfId="0" applyFont="1" applyBorder="1"/>
    <xf numFmtId="0" fontId="50" fillId="0" borderId="0" xfId="0" applyFont="1" applyBorder="1"/>
    <xf numFmtId="0" fontId="46" fillId="9" borderId="11" xfId="0" applyNumberFormat="1" applyFont="1" applyFill="1" applyBorder="1" applyAlignment="1">
      <alignment horizontal="center" vertical="center" wrapText="1"/>
    </xf>
    <xf numFmtId="0" fontId="46" fillId="9" borderId="13" xfId="0" applyNumberFormat="1" applyFont="1" applyFill="1" applyBorder="1" applyAlignment="1">
      <alignment horizontal="center" vertical="center" wrapText="1"/>
    </xf>
    <xf numFmtId="0" fontId="46" fillId="23" borderId="29" xfId="0" applyNumberFormat="1" applyFont="1" applyFill="1" applyBorder="1" applyAlignment="1">
      <alignment horizontal="center" vertical="center" wrapText="1"/>
    </xf>
    <xf numFmtId="0" fontId="46" fillId="23" borderId="30" xfId="0" applyNumberFormat="1" applyFont="1" applyFill="1" applyBorder="1" applyAlignment="1">
      <alignment horizontal="center" vertical="center" wrapText="1"/>
    </xf>
    <xf numFmtId="0" fontId="46" fillId="9" borderId="29" xfId="0" applyNumberFormat="1" applyFont="1" applyFill="1" applyBorder="1" applyAlignment="1">
      <alignment horizontal="center" vertical="center" wrapText="1"/>
    </xf>
    <xf numFmtId="0" fontId="46" fillId="9" borderId="30" xfId="0" applyNumberFormat="1" applyFont="1" applyFill="1" applyBorder="1" applyAlignment="1">
      <alignment horizontal="center" vertical="center" wrapText="1"/>
    </xf>
    <xf numFmtId="0" fontId="17" fillId="0" borderId="29" xfId="0" applyFont="1" applyBorder="1"/>
    <xf numFmtId="0" fontId="17" fillId="0" borderId="30" xfId="0" applyFont="1" applyBorder="1"/>
    <xf numFmtId="0" fontId="17" fillId="0" borderId="35" xfId="0" applyFont="1" applyBorder="1"/>
    <xf numFmtId="0" fontId="17" fillId="0" borderId="28" xfId="0" pivotButton="1" applyFont="1" applyBorder="1"/>
    <xf numFmtId="0" fontId="17" fillId="0" borderId="10" xfId="0" applyNumberFormat="1" applyFont="1" applyBorder="1" applyAlignment="1">
      <alignment horizontal="center" vertical="center" wrapText="1"/>
    </xf>
    <xf numFmtId="0" fontId="17" fillId="0" borderId="11" xfId="0" applyNumberFormat="1" applyFont="1" applyBorder="1" applyAlignment="1">
      <alignment horizontal="center" vertical="center" wrapText="1"/>
    </xf>
    <xf numFmtId="0" fontId="17" fillId="0" borderId="0" xfId="0" applyNumberFormat="1" applyFont="1" applyBorder="1" applyAlignment="1">
      <alignment horizontal="center" vertical="center" wrapText="1"/>
    </xf>
    <xf numFmtId="0" fontId="17" fillId="0" borderId="13" xfId="0" applyNumberFormat="1" applyFont="1" applyBorder="1" applyAlignment="1">
      <alignment horizontal="center" vertical="center" wrapText="1"/>
    </xf>
    <xf numFmtId="0" fontId="17" fillId="0" borderId="15" xfId="0" applyNumberFormat="1" applyFont="1" applyBorder="1" applyAlignment="1">
      <alignment horizontal="center" vertical="center" wrapText="1"/>
    </xf>
    <xf numFmtId="0" fontId="17" fillId="0" borderId="16" xfId="0" applyNumberFormat="1" applyFont="1" applyBorder="1" applyAlignment="1">
      <alignment horizontal="center" vertical="center" wrapText="1"/>
    </xf>
    <xf numFmtId="0" fontId="17" fillId="0" borderId="0" xfId="0" applyFont="1" applyBorder="1"/>
    <xf numFmtId="0" fontId="17" fillId="0" borderId="33" xfId="0" applyNumberFormat="1" applyFont="1" applyBorder="1" applyAlignment="1">
      <alignment horizontal="center" vertical="center" wrapText="1"/>
    </xf>
    <xf numFmtId="0" fontId="17" fillId="0" borderId="20" xfId="0" applyNumberFormat="1" applyFont="1" applyBorder="1" applyAlignment="1">
      <alignment horizontal="center" vertical="center" wrapText="1"/>
    </xf>
    <xf numFmtId="0" fontId="17" fillId="0" borderId="34" xfId="0" applyNumberFormat="1" applyFont="1" applyBorder="1" applyAlignment="1">
      <alignment horizontal="center" vertical="center" wrapText="1"/>
    </xf>
    <xf numFmtId="0" fontId="17" fillId="0" borderId="13" xfId="0" applyFont="1" applyBorder="1"/>
    <xf numFmtId="168" fontId="9" fillId="32" borderId="35" xfId="8" applyNumberFormat="1" applyFont="1" applyFill="1" applyBorder="1" applyAlignment="1">
      <alignment horizontal="center" vertical="center"/>
    </xf>
    <xf numFmtId="0" fontId="9" fillId="9" borderId="27" xfId="0" applyFont="1" applyFill="1" applyBorder="1" applyAlignment="1">
      <alignment horizontal="center" vertical="center" wrapText="1"/>
    </xf>
    <xf numFmtId="0" fontId="9" fillId="9" borderId="74" xfId="0" applyFont="1" applyFill="1" applyBorder="1" applyAlignment="1">
      <alignment horizontal="center" vertical="center" wrapText="1"/>
    </xf>
    <xf numFmtId="0" fontId="9" fillId="9" borderId="52" xfId="0" applyFont="1" applyFill="1" applyBorder="1" applyAlignment="1">
      <alignment horizontal="center" vertical="center" wrapText="1"/>
    </xf>
    <xf numFmtId="0" fontId="9" fillId="9" borderId="32" xfId="0" applyFont="1" applyFill="1" applyBorder="1" applyAlignment="1">
      <alignment horizontal="center" vertical="center" wrapText="1"/>
    </xf>
    <xf numFmtId="0" fontId="9" fillId="9" borderId="28" xfId="0" applyFont="1" applyFill="1" applyBorder="1" applyAlignment="1">
      <alignment horizontal="center" vertical="center" wrapText="1"/>
    </xf>
    <xf numFmtId="167" fontId="0" fillId="8" borderId="25" xfId="0" applyNumberFormat="1" applyFill="1" applyBorder="1"/>
    <xf numFmtId="167" fontId="0" fillId="8" borderId="4" xfId="0" applyNumberFormat="1" applyFill="1" applyBorder="1"/>
    <xf numFmtId="0" fontId="51" fillId="8" borderId="27" xfId="5" applyFont="1" applyFill="1" applyBorder="1"/>
    <xf numFmtId="44" fontId="11" fillId="9" borderId="4" xfId="8" applyFont="1" applyFill="1" applyBorder="1"/>
    <xf numFmtId="44" fontId="11" fillId="9" borderId="4" xfId="8" quotePrefix="1" applyFont="1" applyFill="1" applyBorder="1"/>
    <xf numFmtId="42" fontId="0" fillId="0" borderId="4" xfId="0" applyNumberFormat="1" applyFont="1" applyBorder="1"/>
    <xf numFmtId="42" fontId="0" fillId="27" borderId="4" xfId="0" applyNumberFormat="1" applyFont="1" applyFill="1" applyBorder="1"/>
    <xf numFmtId="42" fontId="0" fillId="11" borderId="4" xfId="0" applyNumberFormat="1" applyFont="1" applyFill="1" applyBorder="1"/>
    <xf numFmtId="0" fontId="9" fillId="8" borderId="36" xfId="5" applyFont="1" applyFill="1" applyBorder="1" applyAlignment="1">
      <alignment horizontal="center"/>
    </xf>
    <xf numFmtId="0" fontId="9" fillId="8" borderId="28" xfId="5" applyFont="1" applyFill="1" applyBorder="1" applyAlignment="1">
      <alignment horizontal="center"/>
    </xf>
    <xf numFmtId="0" fontId="12" fillId="8" borderId="36" xfId="5" applyFont="1" applyFill="1" applyBorder="1" applyAlignment="1">
      <alignment horizontal="center" vertical="center"/>
    </xf>
    <xf numFmtId="0" fontId="12" fillId="8" borderId="28" xfId="5" applyFont="1" applyFill="1" applyBorder="1" applyAlignment="1">
      <alignment horizontal="center" vertical="center"/>
    </xf>
    <xf numFmtId="0" fontId="0" fillId="0" borderId="62" xfId="0" applyBorder="1" applyAlignment="1">
      <alignment horizontal="left" vertical="top"/>
    </xf>
    <xf numFmtId="0" fontId="0" fillId="0" borderId="42" xfId="0" applyBorder="1" applyAlignment="1">
      <alignment horizontal="left" vertical="top"/>
    </xf>
    <xf numFmtId="0" fontId="9" fillId="30" borderId="4" xfId="0" applyFont="1" applyFill="1" applyBorder="1" applyAlignment="1">
      <alignment horizontal="left" vertical="top"/>
    </xf>
    <xf numFmtId="0" fontId="9" fillId="30" borderId="40" xfId="0" applyFont="1" applyFill="1" applyBorder="1" applyAlignment="1">
      <alignment horizontal="left" vertical="top"/>
    </xf>
    <xf numFmtId="0" fontId="36" fillId="11" borderId="0" xfId="0" applyFont="1" applyFill="1" applyAlignment="1">
      <alignment horizontal="center" vertical="center"/>
    </xf>
    <xf numFmtId="0" fontId="36" fillId="11" borderId="15" xfId="0" applyFont="1" applyFill="1" applyBorder="1" applyAlignment="1">
      <alignment horizontal="center" vertical="center"/>
    </xf>
    <xf numFmtId="0" fontId="0" fillId="0" borderId="61" xfId="0" applyBorder="1" applyAlignment="1">
      <alignment horizontal="left"/>
    </xf>
    <xf numFmtId="0" fontId="0" fillId="0" borderId="38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40" xfId="0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11" borderId="36" xfId="0" applyFill="1" applyBorder="1" applyAlignment="1">
      <alignment horizontal="left"/>
    </xf>
    <xf numFmtId="0" fontId="0" fillId="11" borderId="31" xfId="0" applyFill="1" applyBorder="1" applyAlignment="1">
      <alignment horizontal="left"/>
    </xf>
    <xf numFmtId="0" fontId="0" fillId="11" borderId="28" xfId="0" applyFill="1" applyBorder="1" applyAlignment="1">
      <alignment horizontal="left"/>
    </xf>
    <xf numFmtId="0" fontId="0" fillId="0" borderId="61" xfId="0" applyBorder="1" applyAlignment="1">
      <alignment horizontal="left" vertical="top"/>
    </xf>
    <xf numFmtId="0" fontId="0" fillId="0" borderId="38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36" fillId="11" borderId="0" xfId="0" applyFont="1" applyFill="1" applyAlignment="1">
      <alignment horizontal="left" vertical="center"/>
    </xf>
    <xf numFmtId="0" fontId="36" fillId="11" borderId="15" xfId="0" applyFont="1" applyFill="1" applyBorder="1" applyAlignment="1">
      <alignment horizontal="left" vertical="center"/>
    </xf>
    <xf numFmtId="0" fontId="9" fillId="30" borderId="24" xfId="0" applyFont="1" applyFill="1" applyBorder="1" applyAlignment="1">
      <alignment horizontal="left" vertical="top"/>
    </xf>
    <xf numFmtId="0" fontId="9" fillId="30" borderId="3" xfId="0" applyFont="1" applyFill="1" applyBorder="1" applyAlignment="1">
      <alignment horizontal="left" vertical="top"/>
    </xf>
    <xf numFmtId="0" fontId="9" fillId="30" borderId="56" xfId="0" applyFont="1" applyFill="1" applyBorder="1" applyAlignment="1">
      <alignment horizontal="left" vertical="top"/>
    </xf>
    <xf numFmtId="0" fontId="9" fillId="11" borderId="0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7" fillId="0" borderId="36" xfId="5" applyFont="1" applyBorder="1" applyAlignment="1">
      <alignment horizontal="center"/>
    </xf>
    <xf numFmtId="0" fontId="7" fillId="0" borderId="28" xfId="5" applyFont="1" applyBorder="1" applyAlignment="1">
      <alignment horizontal="center"/>
    </xf>
    <xf numFmtId="0" fontId="7" fillId="8" borderId="36" xfId="5" applyFont="1" applyFill="1" applyBorder="1" applyAlignment="1">
      <alignment horizontal="left"/>
    </xf>
    <xf numFmtId="0" fontId="7" fillId="8" borderId="28" xfId="5" applyFont="1" applyFill="1" applyBorder="1" applyAlignment="1">
      <alignment horizontal="left"/>
    </xf>
    <xf numFmtId="0" fontId="7" fillId="8" borderId="36" xfId="5" applyFont="1" applyFill="1" applyBorder="1" applyAlignment="1">
      <alignment horizontal="center"/>
    </xf>
    <xf numFmtId="0" fontId="7" fillId="8" borderId="28" xfId="5" applyFont="1" applyFill="1" applyBorder="1" applyAlignment="1">
      <alignment horizontal="center"/>
    </xf>
    <xf numFmtId="0" fontId="9" fillId="11" borderId="36" xfId="0" applyFont="1" applyFill="1" applyBorder="1" applyAlignment="1">
      <alignment horizontal="center"/>
    </xf>
    <xf numFmtId="0" fontId="9" fillId="11" borderId="28" xfId="0" applyFont="1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Alignment="1">
      <alignment horizontal="center"/>
    </xf>
    <xf numFmtId="0" fontId="15" fillId="2" borderId="36" xfId="0" applyNumberFormat="1" applyFont="1" applyFill="1" applyBorder="1" applyAlignment="1">
      <alignment horizontal="center"/>
    </xf>
    <xf numFmtId="0" fontId="0" fillId="25" borderId="8" xfId="0" applyFill="1" applyBorder="1"/>
    <xf numFmtId="0" fontId="29" fillId="0" borderId="27" xfId="0" applyFont="1" applyBorder="1" applyAlignment="1">
      <alignment horizontal="center" wrapText="1"/>
    </xf>
    <xf numFmtId="0" fontId="1" fillId="11" borderId="0" xfId="0" applyFont="1" applyFill="1" applyBorder="1"/>
    <xf numFmtId="0" fontId="29" fillId="36" borderId="0" xfId="0" applyFont="1" applyFill="1" applyBorder="1" applyAlignment="1">
      <alignment horizontal="center" wrapText="1"/>
    </xf>
    <xf numFmtId="0" fontId="47" fillId="37" borderId="10" xfId="0" applyFont="1" applyFill="1" applyBorder="1"/>
    <xf numFmtId="0" fontId="47" fillId="37" borderId="10" xfId="0" applyFont="1" applyFill="1" applyBorder="1" applyAlignment="1"/>
    <xf numFmtId="0" fontId="46" fillId="9" borderId="9" xfId="0" applyNumberFormat="1" applyFont="1" applyFill="1" applyBorder="1" applyAlignment="1">
      <alignment horizontal="center" vertical="center" wrapText="1"/>
    </xf>
    <xf numFmtId="0" fontId="47" fillId="37" borderId="36" xfId="0" applyFont="1" applyFill="1" applyBorder="1" applyAlignment="1">
      <alignment wrapText="1"/>
    </xf>
    <xf numFmtId="0" fontId="47" fillId="37" borderId="31" xfId="0" applyFont="1" applyFill="1" applyBorder="1" applyAlignment="1">
      <alignment wrapText="1"/>
    </xf>
    <xf numFmtId="0" fontId="47" fillId="37" borderId="31" xfId="0" applyFont="1" applyFill="1" applyBorder="1" applyAlignment="1"/>
    <xf numFmtId="0" fontId="47" fillId="37" borderId="28" xfId="0" applyFont="1" applyFill="1" applyBorder="1" applyAlignment="1">
      <alignment horizontal="center"/>
    </xf>
    <xf numFmtId="0" fontId="47" fillId="37" borderId="28" xfId="0" applyFont="1" applyFill="1" applyBorder="1" applyAlignment="1"/>
    <xf numFmtId="0" fontId="47" fillId="37" borderId="28" xfId="0" applyFont="1" applyFill="1" applyBorder="1" applyAlignment="1">
      <alignment wrapText="1"/>
    </xf>
    <xf numFmtId="0" fontId="47" fillId="37" borderId="36" xfId="0" applyFont="1" applyFill="1" applyBorder="1" applyAlignment="1"/>
    <xf numFmtId="0" fontId="47" fillId="37" borderId="32" xfId="0" applyFont="1" applyFill="1" applyBorder="1" applyAlignment="1">
      <alignment wrapText="1"/>
    </xf>
    <xf numFmtId="0" fontId="3" fillId="37" borderId="0" xfId="0" applyFont="1" applyFill="1"/>
    <xf numFmtId="0" fontId="10" fillId="0" borderId="0" xfId="0" applyFont="1"/>
    <xf numFmtId="0" fontId="29" fillId="9" borderId="29" xfId="0" applyNumberFormat="1" applyFont="1" applyFill="1" applyBorder="1" applyAlignment="1">
      <alignment horizontal="center" wrapText="1"/>
    </xf>
    <xf numFmtId="0" fontId="46" fillId="35" borderId="0" xfId="0" applyFont="1" applyFill="1" applyBorder="1"/>
    <xf numFmtId="0" fontId="52" fillId="37" borderId="11" xfId="0" applyFont="1" applyFill="1" applyBorder="1" applyAlignment="1">
      <alignment horizontal="center" vertical="center" wrapText="1"/>
    </xf>
    <xf numFmtId="0" fontId="46" fillId="10" borderId="29" xfId="0" applyFont="1" applyFill="1" applyBorder="1" applyAlignment="1">
      <alignment horizontal="center" vertical="center" wrapText="1"/>
    </xf>
    <xf numFmtId="0" fontId="17" fillId="10" borderId="29" xfId="0" applyFont="1" applyFill="1" applyBorder="1" applyAlignment="1">
      <alignment horizontal="center" vertical="center" wrapText="1"/>
    </xf>
    <xf numFmtId="0" fontId="17" fillId="10" borderId="11" xfId="0" applyFont="1" applyFill="1" applyBorder="1" applyAlignment="1">
      <alignment horizontal="center" vertical="center" wrapText="1"/>
    </xf>
    <xf numFmtId="0" fontId="29" fillId="0" borderId="36" xfId="0" applyFont="1" applyFill="1" applyBorder="1" applyAlignment="1">
      <alignment horizontal="center" vertical="center" wrapText="1"/>
    </xf>
    <xf numFmtId="0" fontId="47" fillId="37" borderId="34" xfId="0" applyNumberFormat="1" applyFont="1" applyFill="1" applyBorder="1" applyAlignment="1">
      <alignment horizontal="center" vertical="center" wrapText="1"/>
    </xf>
    <xf numFmtId="0" fontId="47" fillId="37" borderId="15" xfId="0" applyNumberFormat="1" applyFont="1" applyFill="1" applyBorder="1" applyAlignment="1">
      <alignment horizontal="center" vertical="center" wrapText="1"/>
    </xf>
    <xf numFmtId="0" fontId="47" fillId="37" borderId="16" xfId="0" applyNumberFormat="1" applyFont="1" applyFill="1" applyBorder="1" applyAlignment="1">
      <alignment horizontal="center" vertical="center" wrapText="1"/>
    </xf>
    <xf numFmtId="0" fontId="46" fillId="9" borderId="12" xfId="0" applyNumberFormat="1" applyFont="1" applyFill="1" applyBorder="1" applyAlignment="1">
      <alignment horizontal="center" vertical="center" wrapText="1"/>
    </xf>
    <xf numFmtId="0" fontId="47" fillId="37" borderId="0" xfId="0" applyFont="1" applyFill="1" applyAlignment="1">
      <alignment vertical="center" wrapText="1"/>
    </xf>
    <xf numFmtId="0" fontId="47" fillId="37" borderId="0" xfId="0" applyFont="1" applyFill="1" applyBorder="1" applyAlignment="1">
      <alignment vertical="center" wrapText="1"/>
    </xf>
    <xf numFmtId="0" fontId="47" fillId="37" borderId="27" xfId="0" applyNumberFormat="1" applyFont="1" applyFill="1" applyBorder="1" applyAlignment="1">
      <alignment horizontal="center" vertical="center" wrapText="1"/>
    </xf>
    <xf numFmtId="0" fontId="0" fillId="25" borderId="27" xfId="0" applyFill="1" applyBorder="1"/>
    <xf numFmtId="0" fontId="47" fillId="37" borderId="36" xfId="0" applyNumberFormat="1" applyFont="1" applyFill="1" applyBorder="1" applyAlignment="1">
      <alignment horizontal="center" vertical="center" wrapText="1"/>
    </xf>
    <xf numFmtId="0" fontId="47" fillId="37" borderId="28" xfId="0" applyNumberFormat="1" applyFont="1" applyFill="1" applyBorder="1" applyAlignment="1">
      <alignment horizontal="center" vertical="center" wrapText="1"/>
    </xf>
    <xf numFmtId="168" fontId="0" fillId="10" borderId="62" xfId="8" applyNumberFormat="1" applyFont="1" applyFill="1" applyBorder="1"/>
    <xf numFmtId="168" fontId="0" fillId="10" borderId="61" xfId="8" quotePrefix="1" applyNumberFormat="1" applyFont="1" applyFill="1" applyBorder="1" applyAlignment="1">
      <alignment horizontal="center"/>
    </xf>
    <xf numFmtId="168" fontId="0" fillId="10" borderId="4" xfId="8" quotePrefix="1" applyNumberFormat="1" applyFont="1" applyFill="1" applyBorder="1" applyAlignment="1">
      <alignment horizontal="center"/>
    </xf>
  </cellXfs>
  <cellStyles count="10">
    <cellStyle name="Énfasis1" xfId="4" builtinId="29"/>
    <cellStyle name="Hipervínculo" xfId="5" builtinId="8"/>
    <cellStyle name="Millares" xfId="3" builtinId="3"/>
    <cellStyle name="Millares 2" xfId="7"/>
    <cellStyle name="Millares 3" xfId="9"/>
    <cellStyle name="Moneda" xfId="8" builtinId="4"/>
    <cellStyle name="Normal" xfId="0" builtinId="0"/>
    <cellStyle name="Normal 2" xfId="6"/>
    <cellStyle name="Porcentaje" xfId="1" builtinId="5"/>
    <cellStyle name="Salida" xfId="2" builtinId="21"/>
  </cellStyles>
  <dxfs count="2544">
    <dxf>
      <font>
        <sz val="10"/>
      </font>
    </dxf>
    <dxf>
      <alignment horizontal="left" readingOrder="0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ill>
        <patternFill patternType="solid">
          <bgColor theme="4" tint="-0.499984740745262"/>
        </patternFill>
      </fill>
    </dxf>
    <dxf>
      <fill>
        <patternFill patternType="solid">
          <bgColor theme="4" tint="-0.499984740745262"/>
        </patternFill>
      </fill>
    </dxf>
    <dxf>
      <font>
        <color theme="0" tint="-4.9989318521683403E-2"/>
      </font>
    </dxf>
    <dxf>
      <font>
        <color theme="0" tint="-4.9989318521683403E-2"/>
      </font>
    </dxf>
    <dxf>
      <font>
        <b/>
      </font>
    </dxf>
    <dxf>
      <font>
        <b/>
      </font>
    </dxf>
    <dxf>
      <font>
        <color theme="0" tint="-4.9989318521683403E-2"/>
      </font>
    </dxf>
    <dxf>
      <font>
        <color theme="0" tint="-4.9989318521683403E-2"/>
      </font>
    </dxf>
    <dxf>
      <fill>
        <patternFill patternType="solid">
          <bgColor theme="4" tint="-0.499984740745262"/>
        </patternFill>
      </fill>
    </dxf>
    <dxf>
      <fill>
        <patternFill patternType="solid">
          <bgColor theme="4" tint="-0.499984740745262"/>
        </patternFill>
      </fill>
    </dxf>
    <dxf>
      <alignment horizont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font>
        <b/>
        <color theme="0" tint="-4.9989318521683403E-2"/>
      </font>
      <fill>
        <patternFill patternType="solid">
          <fgColor indexed="64"/>
          <bgColor theme="4" tint="-0.499984740745262"/>
        </patternFill>
      </fill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font>
        <b/>
        <color theme="0" tint="-4.9989318521683403E-2"/>
      </font>
      <fill>
        <patternFill patternType="solid">
          <fgColor indexed="64"/>
          <bgColor theme="4" tint="-0.499984740745262"/>
        </patternFill>
      </fill>
    </dxf>
    <dxf>
      <font>
        <b/>
        <color theme="0" tint="-4.9989318521683403E-2"/>
      </font>
      <fill>
        <patternFill patternType="solid">
          <fgColor indexed="64"/>
          <bgColor theme="4" tint="-0.499984740745262"/>
        </patternFill>
      </fill>
    </dxf>
    <dxf>
      <font>
        <color theme="1"/>
      </font>
    </dxf>
    <dxf>
      <font>
        <b/>
        <color theme="0" tint="-4.9989318521683403E-2"/>
      </font>
      <fill>
        <patternFill patternType="solid">
          <fgColor indexed="64"/>
          <bgColor theme="4" tint="-0.499984740745262"/>
        </patternFill>
      </fill>
    </dxf>
    <dxf>
      <font>
        <b/>
        <color theme="0" tint="-4.9989318521683403E-2"/>
      </font>
      <fill>
        <patternFill patternType="solid">
          <fgColor indexed="64"/>
          <bgColor theme="4" tint="-0.499984740745262"/>
        </patternFill>
      </fill>
    </dxf>
    <dxf>
      <font>
        <sz val="10"/>
      </font>
      <alignment horizontal="general" vertical="bottom" textRotation="0" wrapText="0" indent="0" justifyLastLine="0" shrinkToFit="0" readingOrder="0"/>
    </dxf>
    <dxf>
      <font>
        <b/>
        <sz val="9"/>
        <color theme="0" tint="-4.9989318521683403E-2"/>
      </font>
      <fill>
        <patternFill patternType="solid">
          <fgColor indexed="64"/>
          <bgColor theme="4" tint="-0.499984740745262"/>
        </patternFill>
      </fill>
      <alignment horizontal="center" readingOrder="0"/>
    </dxf>
    <dxf>
      <font>
        <color theme="1"/>
      </font>
    </dxf>
    <dxf>
      <font>
        <b/>
        <color theme="0" tint="-4.9989318521683403E-2"/>
      </font>
      <fill>
        <patternFill patternType="solid">
          <fgColor indexed="64"/>
          <bgColor theme="4" tint="-0.499984740745262"/>
        </patternFill>
      </fill>
    </dxf>
    <dxf>
      <font>
        <b/>
        <color theme="0" tint="-4.9989318521683403E-2"/>
      </font>
      <fill>
        <patternFill patternType="solid">
          <fgColor indexed="64"/>
          <bgColor theme="4" tint="-0.499984740745262"/>
        </patternFill>
      </fill>
    </dxf>
    <dxf>
      <font>
        <b/>
        <color theme="0" tint="-4.9989318521683403E-2"/>
      </font>
      <fill>
        <patternFill patternType="solid">
          <fgColor indexed="64"/>
          <bgColor theme="4" tint="-0.499984740745262"/>
        </patternFill>
      </fill>
    </dxf>
    <dxf>
      <font>
        <b/>
        <color theme="0" tint="-4.9989318521683403E-2"/>
      </font>
      <fill>
        <patternFill patternType="solid">
          <fgColor indexed="64"/>
          <bgColor theme="4" tint="-0.499984740745262"/>
        </patternFill>
      </fill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ont>
        <b/>
        <color theme="0" tint="-4.9989318521683403E-2"/>
      </font>
      <fill>
        <patternFill patternType="solid">
          <fgColor indexed="64"/>
          <bgColor theme="4" tint="-0.499984740745262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 readingOrder="0"/>
    </dxf>
    <dxf>
      <alignment wrapText="1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bgColor theme="7" tint="0.79998168889431442"/>
        </patternFill>
      </fill>
    </dxf>
    <dxf>
      <font>
        <b/>
      </font>
    </dxf>
    <dxf>
      <font>
        <b/>
      </font>
    </dxf>
    <dxf>
      <alignment wrapText="1" readingOrder="0"/>
    </dxf>
    <dxf>
      <alignment vertical="center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bgColor theme="7" tint="0.79998168889431442"/>
        </patternFill>
      </fill>
    </dxf>
    <dxf>
      <font>
        <b/>
      </font>
    </dxf>
    <dxf>
      <alignment vertical="center" readingOrder="0"/>
    </dxf>
    <dxf>
      <alignment wrapText="1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bgColor theme="7" tint="0.79998168889431442"/>
        </patternFill>
      </fill>
    </dxf>
    <dxf>
      <alignment wrapText="1" readingOrder="0"/>
    </dxf>
    <dxf>
      <alignment vertical="center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bgColor theme="7" tint="0.79998168889431442"/>
        </patternFill>
      </fill>
    </dxf>
    <dxf>
      <font>
        <b/>
      </font>
    </dxf>
    <dxf>
      <font>
        <b/>
      </font>
    </dxf>
    <dxf>
      <alignment vertical="center" readingOrder="0"/>
    </dxf>
    <dxf>
      <alignment wrapText="1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bgColor theme="7" tint="0.79998168889431442"/>
        </patternFill>
      </fill>
    </dxf>
    <dxf>
      <font>
        <b/>
      </font>
    </dxf>
    <dxf>
      <alignment wrapText="1" readingOrder="0"/>
    </dxf>
    <dxf>
      <alignment vertical="center" readingOrder="0"/>
    </dxf>
    <dxf>
      <fill>
        <patternFill patternType="solid">
          <bgColor theme="7" tint="0.79998168889431442"/>
        </patternFill>
      </fill>
    </dxf>
    <dxf>
      <font>
        <b/>
      </font>
    </dxf>
    <dxf>
      <fill>
        <patternFill>
          <bgColor theme="7" tint="0.79998168889431442"/>
        </patternFill>
      </fill>
    </dxf>
    <dxf>
      <font>
        <b/>
      </font>
    </dxf>
    <dxf>
      <alignment vertical="center" readingOrder="0"/>
    </dxf>
    <dxf>
      <alignment wrapText="1" readingOrder="0"/>
    </dxf>
    <dxf>
      <fill>
        <patternFill patternType="solid">
          <bgColor theme="7" tint="0.79998168889431442"/>
        </patternFill>
      </fill>
    </dxf>
    <dxf>
      <font>
        <b/>
      </font>
    </dxf>
    <dxf>
      <fill>
        <patternFill patternType="solid">
          <bgColor theme="7" tint="0.79998168889431442"/>
        </patternFill>
      </fill>
    </dxf>
    <dxf>
      <font>
        <b/>
      </font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alignment vertical="center" readingOrder="0"/>
    </dxf>
    <dxf>
      <alignment wrapText="1" readingOrder="0"/>
    </dxf>
    <dxf>
      <fill>
        <patternFill patternType="solid">
          <bgColor theme="5" tint="0.59999389629810485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z val="10"/>
      </font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border>
        <right style="medium">
          <color indexed="64"/>
        </right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color theme="0" tint="-4.9989318521683403E-2"/>
      </font>
      <fill>
        <patternFill patternType="solid">
          <fgColor indexed="64"/>
          <bgColor theme="4" tint="-0.49998474074526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border>
        <right style="medium">
          <color indexed="64"/>
        </right>
      </border>
    </dxf>
    <dxf>
      <border>
        <left style="medium">
          <color indexed="64"/>
        </left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top style="medium">
          <color indexed="64"/>
        </top>
      </border>
    </dxf>
    <dxf>
      <alignment wrapText="1" readingOrder="0"/>
    </dxf>
    <dxf>
      <font>
        <b/>
        <color theme="0" tint="-4.9989318521683403E-2"/>
      </font>
      <fill>
        <patternFill patternType="solid">
          <fgColor indexed="64"/>
          <bgColor theme="4" tint="-0.499984740745262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top style="medium">
          <color indexed="64"/>
        </top>
      </border>
    </dxf>
    <dxf>
      <fill>
        <patternFill patternType="solid"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alignment wrapText="1" readingOrder="0"/>
    </dxf>
    <dxf>
      <font>
        <b/>
        <color theme="0" tint="-4.9989318521683403E-2"/>
      </font>
      <fill>
        <patternFill patternType="solid">
          <fgColor indexed="64"/>
          <bgColor theme="4" tint="-0.499984740745262"/>
        </patternFill>
      </fill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fill>
        <patternFill patternType="solid">
          <bgColor theme="7" tint="0.79998168889431442"/>
        </patternFill>
      </fill>
    </dxf>
    <dxf>
      <border>
        <bottom style="medium">
          <color indexed="64"/>
        </bottom>
      </border>
    </dxf>
    <dxf>
      <border>
        <right style="medium">
          <color indexed="64"/>
        </right>
      </border>
    </dxf>
    <dxf>
      <border>
        <top style="medium">
          <color indexed="64"/>
        </top>
      </border>
    </dxf>
    <dxf>
      <font>
        <b/>
      </font>
    </dxf>
    <dxf>
      <font>
        <b/>
      </font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ill>
        <patternFill>
          <bgColor theme="4" tint="-0.499984740745262"/>
        </patternFill>
      </fill>
    </dxf>
    <dxf>
      <font>
        <color theme="0"/>
      </font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  <color theme="0"/>
      </font>
      <fill>
        <patternFill patternType="solid">
          <fgColor indexed="64"/>
          <bgColor theme="4" tint="-0.499984740745262"/>
        </patternFill>
      </fill>
    </dxf>
    <dxf>
      <alignment vertical="center" readingOrder="0"/>
    </dxf>
    <dxf>
      <alignment wrapText="1" readingOrder="0"/>
    </dxf>
    <dxf>
      <font>
        <b/>
      </font>
    </dxf>
    <dxf>
      <fill>
        <patternFill patternType="none">
          <fgColor indexed="64"/>
          <bgColor indexed="65"/>
        </patternFill>
      </fill>
      <alignment wrapText="1" readingOrder="0"/>
    </dxf>
    <dxf>
      <fill>
        <patternFill patternType="solid">
          <fgColor indexed="64"/>
          <bgColor theme="7" tint="0.79998168889431442"/>
        </patternFill>
      </fill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font>
        <b/>
      </font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color theme="0" tint="-4.9989318521683403E-2"/>
      </font>
      <fill>
        <patternFill>
          <bgColor indexed="64"/>
        </patternFill>
      </fill>
    </dxf>
    <dxf>
      <fill>
        <patternFill patternType="none">
          <fgColor indexed="64"/>
          <bgColor indexed="65"/>
        </patternFill>
      </fill>
      <alignment wrapText="1" readingOrder="0"/>
    </dxf>
    <dxf>
      <fill>
        <patternFill>
          <bgColor theme="4" tint="-0.499984740745262"/>
        </patternFill>
      </fill>
    </dxf>
    <dxf>
      <font>
        <color theme="0"/>
      </font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fill>
        <patternFill>
          <bgColor theme="4" tint="-0.499984740745262"/>
        </patternFill>
      </fill>
    </dxf>
    <dxf>
      <border>
        <bottom style="medium">
          <color indexed="64"/>
        </bottom>
      </border>
    </dxf>
    <dxf>
      <font>
        <b/>
      </font>
    </dxf>
    <dxf>
      <border>
        <top style="medium">
          <color indexed="64"/>
        </top>
      </border>
    </dxf>
    <dxf>
      <font>
        <sz val="9"/>
      </font>
    </dxf>
    <dxf>
      <font>
        <sz val="9"/>
      </font>
    </dxf>
    <dxf>
      <alignment horizontal="center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font>
        <sz val="8"/>
      </font>
    </dxf>
    <dxf>
      <font>
        <sz val="8"/>
      </font>
    </dxf>
    <dxf>
      <font>
        <sz val="8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ill>
        <patternFill>
          <bgColor theme="4" tint="-0.499984740745262"/>
        </patternFill>
      </fill>
    </dxf>
    <dxf>
      <fill>
        <patternFill>
          <bgColor theme="4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font>
        <name val="Calibri Light"/>
        <scheme val="major"/>
      </font>
    </dxf>
    <dxf>
      <font>
        <sz val="10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wrapText="1" readingOrder="0"/>
    </dxf>
    <dxf>
      <fill>
        <patternFill patternType="solid">
          <bgColor theme="4" tint="0.59999389629810485"/>
        </patternFill>
      </fill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border>
        <left/>
        <right/>
        <top/>
        <vertical/>
        <horizontal/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 style="thin">
          <color indexed="64"/>
        </left>
      </border>
    </dxf>
    <dxf>
      <border>
        <left/>
        <bottom/>
      </border>
    </dxf>
    <dxf>
      <font>
        <color auto="1"/>
      </font>
    </dxf>
    <dxf>
      <fill>
        <patternFill patternType="solid">
          <fgColor indexed="64"/>
          <bgColor theme="4" tint="0.59999389629810485"/>
        </patternFill>
      </fill>
      <alignment wrapText="1" readingOrder="0"/>
    </dxf>
    <dxf>
      <alignment horizontal="center" readingOrder="0"/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/>
        <top/>
        <bottom/>
      </border>
    </dxf>
    <dxf>
      <border>
        <top style="medium">
          <color indexed="64"/>
        </top>
        <bottom style="medium">
          <color indexed="64"/>
        </bottom>
      </border>
    </dxf>
    <dxf>
      <alignment wrapText="1" readingOrder="0"/>
    </dxf>
    <dxf>
      <alignment vertical="center" readingOrder="0"/>
    </dxf>
    <dxf>
      <alignment horizontal="center" readingOrder="0"/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fill>
        <patternFill patternType="solid">
          <fgColor indexed="64"/>
          <bgColor theme="4" tint="0.59999389629810485"/>
        </patternFill>
      </fill>
    </dxf>
    <dxf>
      <alignment horizontal="center" readingOrder="0"/>
    </dxf>
    <dxf>
      <alignment vertical="center" readingOrder="0"/>
    </dxf>
    <dxf>
      <alignment horizontal="center" readingOrder="0"/>
    </dxf>
    <dxf>
      <alignment wrapText="0" readingOrder="0"/>
    </dxf>
    <dxf>
      <alignment vertical="bottom" readingOrder="0"/>
    </dxf>
    <dxf>
      <alignment wrapText="1" readingOrder="0"/>
    </dxf>
    <dxf>
      <alignment horizontal="center" readingOrder="0"/>
    </dxf>
    <dxf>
      <alignment vertical="center" readingOrder="0"/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alignment wrapText="0" readingOrder="0"/>
    </dxf>
    <dxf>
      <alignment wrapText="0" readingOrder="0"/>
    </dxf>
    <dxf>
      <alignment horizontal="center" readingOrder="0"/>
    </dxf>
    <dxf>
      <alignment vertical="center" readingOrder="0"/>
    </dxf>
    <dxf>
      <alignment wrapText="1" readingOrder="0"/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alignment wrapText="0" readingOrder="0"/>
    </dxf>
    <dxf>
      <alignment wrapText="1" readingOrder="0"/>
    </dxf>
    <dxf>
      <alignment vertical="center" readingOrder="0"/>
    </dxf>
    <dxf>
      <alignment horizontal="center" readingOrder="0"/>
    </dxf>
    <dxf>
      <border>
        <right style="medium">
          <color indexed="64"/>
        </right>
        <top style="medium">
          <color indexed="64"/>
        </top>
      </border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vertical="bottom" readingOrder="0"/>
    </dxf>
    <dxf>
      <alignment horizontal="center" readingOrder="0"/>
    </dxf>
    <dxf>
      <alignment vertical="center" readingOrder="0"/>
    </dxf>
    <dxf>
      <alignment wrapText="1" readingOrder="0"/>
    </dxf>
    <dxf>
      <border>
        <right style="medium">
          <color indexed="64"/>
        </right>
        <top style="medium">
          <color indexed="64"/>
        </top>
      </border>
    </dxf>
    <dxf>
      <alignment horizontal="center" readingOrder="0"/>
    </dxf>
    <dxf>
      <alignment vertical="center" readingOrder="0"/>
    </dxf>
    <dxf>
      <alignment wrapText="1" readingOrder="0"/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alignment wrapText="0" readingOrder="0"/>
    </dxf>
    <dxf>
      <alignment vertical="bottom" readingOrder="0"/>
    </dxf>
    <dxf>
      <alignment horizontal="center" readingOrder="0"/>
    </dxf>
    <dxf>
      <alignment vertical="center" readingOrder="0"/>
    </dxf>
    <dxf>
      <alignment wrapText="1" readingOrder="0"/>
    </dxf>
    <dxf>
      <border>
        <right style="medium">
          <color indexed="64"/>
        </right>
        <top style="medium">
          <color indexed="64"/>
        </top>
      </border>
    </dxf>
    <dxf>
      <fill>
        <patternFill patternType="solid">
          <bgColor theme="0"/>
        </patternFill>
      </fill>
    </dxf>
    <dxf>
      <fill>
        <patternFill>
          <bgColor rgb="FF99FF66"/>
        </patternFill>
      </fill>
    </dxf>
    <dxf>
      <font>
        <b/>
      </font>
    </dxf>
    <dxf>
      <fill>
        <patternFill patternType="solid">
          <bgColor rgb="FF99FF66"/>
        </patternFill>
      </fill>
    </dxf>
    <dxf>
      <font>
        <b/>
      </font>
    </dxf>
    <dxf>
      <font>
        <b/>
      </font>
    </dxf>
    <dxf>
      <fill>
        <patternFill patternType="solid">
          <bgColor rgb="FF99FF66"/>
        </patternFill>
      </fill>
    </dxf>
    <dxf>
      <font>
        <b/>
      </font>
    </dxf>
    <dxf>
      <fill>
        <patternFill patternType="solid">
          <bgColor rgb="FF99FF66"/>
        </patternFill>
      </fill>
    </dxf>
    <dxf>
      <font>
        <b/>
      </font>
    </dxf>
    <dxf>
      <fill>
        <patternFill patternType="solid">
          <bgColor rgb="FF99FF66"/>
        </patternFill>
      </fill>
    </dxf>
    <dxf>
      <font>
        <b/>
      </font>
    </dxf>
    <dxf>
      <fill>
        <patternFill patternType="solid">
          <bgColor rgb="FF99FF66"/>
        </patternFill>
      </fill>
    </dxf>
    <dxf>
      <font>
        <b/>
      </font>
    </dxf>
    <dxf>
      <fill>
        <patternFill patternType="solid">
          <bgColor rgb="FF99FF66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alignment wrapText="1" readingOrder="0"/>
    </dxf>
    <dxf>
      <alignment horizontal="center" readingOrder="0"/>
    </dxf>
    <dxf>
      <alignment vertical="center" readingOrder="0"/>
    </dxf>
    <dxf>
      <border>
        <left style="medium">
          <color indexed="64"/>
        </left>
      </border>
    </dxf>
    <dxf>
      <border>
        <right style="medium">
          <color indexed="64"/>
        </right>
        <top style="medium">
          <color indexed="64"/>
        </top>
      </border>
    </dxf>
    <dxf>
      <fill>
        <patternFill patternType="solid">
          <bgColor theme="5" tint="0.59999389629810485"/>
        </patternFill>
      </fill>
    </dxf>
    <dxf>
      <font>
        <b/>
      </font>
    </dxf>
    <dxf>
      <font>
        <sz val="8"/>
      </font>
    </dxf>
    <dxf>
      <fill>
        <patternFill patternType="solid">
          <fgColor indexed="64"/>
          <bgColor theme="4" tint="0.59999389629810485"/>
        </patternFill>
      </fill>
    </dxf>
    <dxf>
      <alignment vertical="bottom" readingOrder="0"/>
    </dxf>
    <dxf>
      <alignment horizontal="center" vertical="center" wrapText="1" readingOrder="0"/>
    </dxf>
    <dxf>
      <border>
        <left style="medium">
          <color indexed="64"/>
        </left>
      </border>
    </dxf>
    <dxf>
      <fill>
        <patternFill>
          <bgColor theme="7" tint="0.79998168889431442"/>
        </patternFill>
      </fill>
    </dxf>
    <dxf>
      <border>
        <right style="medium">
          <color indexed="64"/>
        </right>
      </border>
    </dxf>
    <dxf>
      <fill>
        <patternFill patternType="solid">
          <fgColor indexed="64"/>
          <bgColor theme="4" tint="0.59999389629810485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top style="medium">
          <color indexed="64"/>
        </top>
      </border>
    </dxf>
    <dxf>
      <fill>
        <patternFill patternType="solid">
          <bgColor theme="3" tint="0.59999389629810485"/>
        </patternFill>
      </fill>
    </dxf>
    <dxf>
      <fill>
        <patternFill>
          <bgColor theme="4" tint="0.59999389629810485"/>
        </patternFill>
      </fill>
    </dxf>
    <dxf>
      <border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top style="medium">
          <color indexed="64"/>
        </top>
      </border>
    </dxf>
    <dxf>
      <alignment wrapText="1" readingOrder="0"/>
    </dxf>
    <dxf>
      <alignment vertical="center" readingOrder="0"/>
    </dxf>
    <dxf>
      <alignment horizontal="center" readingOrder="0"/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ont>
        <b/>
      </font>
    </dxf>
    <dxf>
      <fill>
        <patternFill>
          <bgColor theme="7" tint="0.79998168889431442"/>
        </patternFill>
      </fill>
    </dxf>
    <dxf>
      <font>
        <b/>
      </font>
    </dxf>
    <dxf>
      <fill>
        <patternFill patternType="solid">
          <fgColor indexed="64"/>
          <bgColor theme="4" tint="0.59999389629810485"/>
        </patternFill>
      </fill>
    </dxf>
    <dxf>
      <alignment wrapText="1" readingOrder="0"/>
    </dxf>
    <dxf>
      <alignment horizontal="center" readingOrder="0"/>
    </dxf>
    <dxf>
      <alignment vertical="center" readingOrder="0"/>
    </dxf>
    <dxf>
      <font>
        <b/>
      </font>
    </dxf>
    <dxf>
      <font>
        <b/>
      </font>
      <fill>
        <patternFill patternType="solid">
          <fgColor indexed="64"/>
          <bgColor theme="7" tint="0.79998168889431442"/>
        </patternFill>
      </fill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ill>
        <patternFill>
          <bgColor theme="9"/>
        </patternFill>
      </fill>
    </dxf>
    <dxf>
      <font>
        <color theme="0"/>
      </font>
    </dxf>
    <dxf>
      <fill>
        <patternFill>
          <bgColor theme="9"/>
        </patternFill>
      </fill>
    </dxf>
    <dxf>
      <font>
        <color theme="0"/>
      </font>
    </dxf>
    <dxf>
      <font>
        <b/>
      </font>
    </dxf>
    <dxf>
      <font>
        <b/>
      </font>
    </dxf>
    <dxf>
      <fill>
        <patternFill>
          <bgColor theme="9"/>
        </patternFill>
      </fill>
    </dxf>
    <dxf>
      <font>
        <color theme="0"/>
      </font>
    </dxf>
    <dxf>
      <font>
        <b/>
      </font>
    </dxf>
    <dxf>
      <fill>
        <patternFill>
          <bgColor theme="9"/>
        </patternFill>
      </fill>
    </dxf>
    <dxf>
      <font>
        <color theme="0"/>
      </font>
    </dxf>
    <dxf>
      <font>
        <b/>
      </font>
    </dxf>
    <dxf>
      <fill>
        <patternFill>
          <bgColor theme="9"/>
        </patternFill>
      </fill>
    </dxf>
    <dxf>
      <font>
        <color theme="0"/>
      </font>
    </dxf>
    <dxf>
      <font>
        <b/>
      </font>
    </dxf>
    <dxf>
      <fill>
        <patternFill>
          <bgColor theme="9"/>
        </patternFill>
      </fill>
    </dxf>
    <dxf>
      <font>
        <color theme="0"/>
      </font>
    </dxf>
    <dxf>
      <font>
        <b/>
      </font>
    </dxf>
    <dxf>
      <fill>
        <patternFill>
          <bgColor theme="9"/>
        </patternFill>
      </fill>
    </dxf>
    <dxf>
      <font>
        <color theme="0"/>
      </font>
    </dxf>
    <dxf>
      <fill>
        <patternFill>
          <bgColor theme="9"/>
        </patternFill>
      </fill>
    </dxf>
    <dxf>
      <font>
        <color theme="0"/>
      </font>
    </dxf>
    <dxf>
      <font>
        <b/>
      </font>
    </dxf>
    <dxf>
      <font>
        <b/>
      </font>
    </dxf>
    <dxf>
      <fill>
        <patternFill>
          <bgColor theme="9"/>
        </patternFill>
      </fill>
    </dxf>
    <dxf>
      <font>
        <color theme="0"/>
      </font>
    </dxf>
    <dxf>
      <font>
        <b/>
      </font>
    </dxf>
    <dxf>
      <fill>
        <patternFill>
          <bgColor theme="9"/>
        </patternFill>
      </fill>
    </dxf>
    <dxf>
      <font>
        <color theme="0"/>
      </font>
    </dxf>
    <dxf>
      <font>
        <b/>
      </font>
    </dxf>
    <dxf>
      <border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fill>
        <patternFill>
          <bgColor theme="7" tint="0.79998168889431442"/>
        </patternFill>
      </fill>
    </dxf>
    <dxf>
      <fill>
        <patternFill patternType="solid">
          <bgColor theme="9"/>
        </patternFill>
      </fill>
    </dxf>
    <dxf>
      <font>
        <color theme="0"/>
      </font>
    </dxf>
    <dxf>
      <font>
        <b val="0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9"/>
        </patternFill>
      </fill>
    </dxf>
    <dxf>
      <fill>
        <patternFill>
          <bgColor theme="7" tint="0.79998168889431442"/>
        </patternFill>
      </fill>
    </dxf>
    <dxf>
      <font>
        <b/>
      </font>
    </dxf>
    <dxf>
      <fill>
        <patternFill>
          <bgColor theme="9"/>
        </patternFill>
      </fill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font>
        <sz val="10"/>
      </font>
    </dxf>
    <dxf>
      <alignment horizontal="left" readingOrder="0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ill>
        <patternFill patternType="solid">
          <bgColor theme="4" tint="-0.499984740745262"/>
        </patternFill>
      </fill>
    </dxf>
    <dxf>
      <fill>
        <patternFill patternType="solid">
          <bgColor theme="4" tint="-0.499984740745262"/>
        </patternFill>
      </fill>
    </dxf>
    <dxf>
      <font>
        <color theme="0" tint="-4.9989318521683403E-2"/>
      </font>
    </dxf>
    <dxf>
      <font>
        <color theme="0" tint="-4.9989318521683403E-2"/>
      </font>
    </dxf>
    <dxf>
      <font>
        <b/>
      </font>
    </dxf>
    <dxf>
      <font>
        <b/>
      </font>
    </dxf>
    <dxf>
      <font>
        <color theme="0" tint="-4.9989318521683403E-2"/>
      </font>
    </dxf>
    <dxf>
      <font>
        <color theme="0" tint="-4.9989318521683403E-2"/>
      </font>
    </dxf>
    <dxf>
      <fill>
        <patternFill patternType="solid">
          <bgColor theme="4" tint="-0.499984740745262"/>
        </patternFill>
      </fill>
    </dxf>
    <dxf>
      <fill>
        <patternFill patternType="solid">
          <bgColor theme="4" tint="-0.499984740745262"/>
        </patternFill>
      </fill>
    </dxf>
    <dxf>
      <alignment horizont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font>
        <b/>
        <color theme="0" tint="-4.9989318521683403E-2"/>
      </font>
      <fill>
        <patternFill patternType="solid">
          <fgColor indexed="64"/>
          <bgColor theme="4" tint="-0.499984740745262"/>
        </patternFill>
      </fill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font>
        <b/>
        <color theme="0" tint="-4.9989318521683403E-2"/>
      </font>
      <fill>
        <patternFill patternType="solid">
          <fgColor indexed="64"/>
          <bgColor theme="4" tint="-0.499984740745262"/>
        </patternFill>
      </fill>
    </dxf>
    <dxf>
      <font>
        <b/>
        <color theme="0" tint="-4.9989318521683403E-2"/>
      </font>
      <fill>
        <patternFill patternType="solid">
          <fgColor indexed="64"/>
          <bgColor theme="4" tint="-0.499984740745262"/>
        </patternFill>
      </fill>
    </dxf>
    <dxf>
      <font>
        <color theme="1"/>
      </font>
    </dxf>
    <dxf>
      <font>
        <b/>
        <color theme="0" tint="-4.9989318521683403E-2"/>
      </font>
      <fill>
        <patternFill patternType="solid">
          <fgColor indexed="64"/>
          <bgColor theme="4" tint="-0.499984740745262"/>
        </patternFill>
      </fill>
    </dxf>
    <dxf>
      <font>
        <b/>
        <color theme="0" tint="-4.9989318521683403E-2"/>
      </font>
      <fill>
        <patternFill patternType="solid">
          <fgColor indexed="64"/>
          <bgColor theme="4" tint="-0.499984740745262"/>
        </patternFill>
      </fill>
    </dxf>
    <dxf>
      <font>
        <sz val="10"/>
      </font>
      <alignment horizontal="general" vertical="bottom" textRotation="0" wrapText="0" indent="0" justifyLastLine="0" shrinkToFit="0" readingOrder="0"/>
    </dxf>
    <dxf>
      <font>
        <b/>
        <sz val="9"/>
        <color theme="0" tint="-4.9989318521683403E-2"/>
      </font>
      <fill>
        <patternFill patternType="solid">
          <fgColor indexed="64"/>
          <bgColor theme="4" tint="-0.499984740745262"/>
        </patternFill>
      </fill>
      <alignment horizontal="center" readingOrder="0"/>
    </dxf>
    <dxf>
      <font>
        <color theme="1"/>
      </font>
    </dxf>
    <dxf>
      <font>
        <b/>
        <color theme="0" tint="-4.9989318521683403E-2"/>
      </font>
      <fill>
        <patternFill patternType="solid">
          <fgColor indexed="64"/>
          <bgColor theme="4" tint="-0.499984740745262"/>
        </patternFill>
      </fill>
    </dxf>
    <dxf>
      <font>
        <b/>
        <color theme="0" tint="-4.9989318521683403E-2"/>
      </font>
      <fill>
        <patternFill patternType="solid">
          <fgColor indexed="64"/>
          <bgColor theme="4" tint="-0.499984740745262"/>
        </patternFill>
      </fill>
    </dxf>
    <dxf>
      <font>
        <b/>
        <color theme="0" tint="-4.9989318521683403E-2"/>
      </font>
      <fill>
        <patternFill patternType="solid">
          <fgColor indexed="64"/>
          <bgColor theme="4" tint="-0.499984740745262"/>
        </patternFill>
      </fill>
    </dxf>
    <dxf>
      <font>
        <b/>
        <color theme="0" tint="-4.9989318521683403E-2"/>
      </font>
      <fill>
        <patternFill patternType="solid">
          <fgColor indexed="64"/>
          <bgColor theme="4" tint="-0.499984740745262"/>
        </patternFill>
      </fill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ont>
        <b/>
        <color theme="0" tint="-4.9989318521683403E-2"/>
      </font>
      <fill>
        <patternFill patternType="solid">
          <fgColor indexed="64"/>
          <bgColor theme="4" tint="-0.499984740745262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 readingOrder="0"/>
    </dxf>
    <dxf>
      <alignment wrapText="1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bgColor theme="7" tint="0.79998168889431442"/>
        </patternFill>
      </fill>
    </dxf>
    <dxf>
      <font>
        <b/>
      </font>
    </dxf>
    <dxf>
      <font>
        <b/>
      </font>
    </dxf>
    <dxf>
      <alignment wrapText="1" readingOrder="0"/>
    </dxf>
    <dxf>
      <alignment vertical="center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bgColor theme="7" tint="0.79998168889431442"/>
        </patternFill>
      </fill>
    </dxf>
    <dxf>
      <font>
        <b/>
      </font>
    </dxf>
    <dxf>
      <alignment vertical="center" readingOrder="0"/>
    </dxf>
    <dxf>
      <alignment wrapText="1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bgColor theme="7" tint="0.79998168889431442"/>
        </patternFill>
      </fill>
    </dxf>
    <dxf>
      <alignment wrapText="1" readingOrder="0"/>
    </dxf>
    <dxf>
      <alignment vertical="center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bgColor theme="7" tint="0.79998168889431442"/>
        </patternFill>
      </fill>
    </dxf>
    <dxf>
      <font>
        <b/>
      </font>
    </dxf>
    <dxf>
      <font>
        <b/>
      </font>
    </dxf>
    <dxf>
      <alignment vertical="center" readingOrder="0"/>
    </dxf>
    <dxf>
      <alignment wrapText="1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bgColor theme="7" tint="0.79998168889431442"/>
        </patternFill>
      </fill>
    </dxf>
    <dxf>
      <font>
        <b/>
      </font>
    </dxf>
    <dxf>
      <alignment wrapText="1" readingOrder="0"/>
    </dxf>
    <dxf>
      <alignment vertical="center" readingOrder="0"/>
    </dxf>
    <dxf>
      <fill>
        <patternFill patternType="solid">
          <bgColor theme="7" tint="0.79998168889431442"/>
        </patternFill>
      </fill>
    </dxf>
    <dxf>
      <font>
        <b/>
      </font>
    </dxf>
    <dxf>
      <fill>
        <patternFill>
          <bgColor theme="7" tint="0.79998168889431442"/>
        </patternFill>
      </fill>
    </dxf>
    <dxf>
      <font>
        <b/>
      </font>
    </dxf>
    <dxf>
      <alignment vertical="center" readingOrder="0"/>
    </dxf>
    <dxf>
      <alignment wrapText="1" readingOrder="0"/>
    </dxf>
    <dxf>
      <fill>
        <patternFill patternType="solid">
          <bgColor theme="7" tint="0.79998168889431442"/>
        </patternFill>
      </fill>
    </dxf>
    <dxf>
      <font>
        <b/>
      </font>
    </dxf>
    <dxf>
      <fill>
        <patternFill patternType="solid">
          <bgColor theme="7" tint="0.79998168889431442"/>
        </patternFill>
      </fill>
    </dxf>
    <dxf>
      <font>
        <b/>
      </font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alignment vertical="center" readingOrder="0"/>
    </dxf>
    <dxf>
      <alignment wrapText="1" readingOrder="0"/>
    </dxf>
    <dxf>
      <fill>
        <patternFill patternType="solid">
          <bgColor theme="5" tint="0.59999389629810485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z val="10"/>
      </font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border>
        <right style="medium">
          <color indexed="64"/>
        </right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color theme="0" tint="-4.9989318521683403E-2"/>
      </font>
      <fill>
        <patternFill patternType="solid">
          <fgColor indexed="64"/>
          <bgColor theme="4" tint="-0.49998474074526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border>
        <right style="medium">
          <color indexed="64"/>
        </right>
      </border>
    </dxf>
    <dxf>
      <border>
        <left style="medium">
          <color indexed="64"/>
        </left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top style="medium">
          <color indexed="64"/>
        </top>
      </border>
    </dxf>
    <dxf>
      <alignment wrapText="1" readingOrder="0"/>
    </dxf>
    <dxf>
      <font>
        <b/>
        <color theme="0" tint="-4.9989318521683403E-2"/>
      </font>
      <fill>
        <patternFill patternType="solid">
          <fgColor indexed="64"/>
          <bgColor theme="4" tint="-0.499984740745262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top style="medium">
          <color indexed="64"/>
        </top>
      </border>
    </dxf>
    <dxf>
      <fill>
        <patternFill patternType="solid"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alignment wrapText="1" readingOrder="0"/>
    </dxf>
    <dxf>
      <font>
        <b/>
        <color theme="0" tint="-4.9989318521683403E-2"/>
      </font>
      <fill>
        <patternFill patternType="solid">
          <fgColor indexed="64"/>
          <bgColor theme="4" tint="-0.499984740745262"/>
        </patternFill>
      </fill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fill>
        <patternFill patternType="solid">
          <bgColor theme="7" tint="0.79998168889431442"/>
        </patternFill>
      </fill>
    </dxf>
    <dxf>
      <border>
        <bottom style="medium">
          <color indexed="64"/>
        </bottom>
      </border>
    </dxf>
    <dxf>
      <border>
        <right style="medium">
          <color indexed="64"/>
        </right>
      </border>
    </dxf>
    <dxf>
      <border>
        <top style="medium">
          <color indexed="64"/>
        </top>
      </border>
    </dxf>
    <dxf>
      <font>
        <b/>
      </font>
    </dxf>
    <dxf>
      <font>
        <b/>
      </font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ill>
        <patternFill>
          <bgColor theme="4" tint="-0.499984740745262"/>
        </patternFill>
      </fill>
    </dxf>
    <dxf>
      <font>
        <color theme="0"/>
      </font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  <color theme="0"/>
      </font>
      <fill>
        <patternFill patternType="solid">
          <fgColor indexed="64"/>
          <bgColor theme="4" tint="-0.499984740745262"/>
        </patternFill>
      </fill>
    </dxf>
    <dxf>
      <alignment vertical="center" readingOrder="0"/>
    </dxf>
    <dxf>
      <alignment wrapText="1" readingOrder="0"/>
    </dxf>
    <dxf>
      <font>
        <b/>
      </font>
    </dxf>
    <dxf>
      <fill>
        <patternFill patternType="none">
          <fgColor indexed="64"/>
          <bgColor indexed="65"/>
        </patternFill>
      </fill>
      <alignment wrapText="1" readingOrder="0"/>
    </dxf>
    <dxf>
      <fill>
        <patternFill patternType="solid">
          <fgColor indexed="64"/>
          <bgColor theme="7" tint="0.79998168889431442"/>
        </patternFill>
      </fill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font>
        <b/>
      </font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color theme="0" tint="-4.9989318521683403E-2"/>
      </font>
      <fill>
        <patternFill>
          <bgColor indexed="64"/>
        </patternFill>
      </fill>
    </dxf>
    <dxf>
      <fill>
        <patternFill patternType="none">
          <fgColor indexed="64"/>
          <bgColor indexed="65"/>
        </patternFill>
      </fill>
      <alignment wrapText="1" readingOrder="0"/>
    </dxf>
    <dxf>
      <fill>
        <patternFill>
          <bgColor theme="4" tint="-0.499984740745262"/>
        </patternFill>
      </fill>
    </dxf>
    <dxf>
      <font>
        <color theme="0"/>
      </font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fill>
        <patternFill>
          <bgColor theme="4" tint="-0.499984740745262"/>
        </patternFill>
      </fill>
    </dxf>
    <dxf>
      <border>
        <bottom style="medium">
          <color indexed="64"/>
        </bottom>
      </border>
    </dxf>
    <dxf>
      <font>
        <b/>
      </font>
    </dxf>
    <dxf>
      <border>
        <top style="medium">
          <color indexed="64"/>
        </top>
      </border>
    </dxf>
    <dxf>
      <font>
        <sz val="9"/>
      </font>
    </dxf>
    <dxf>
      <font>
        <sz val="9"/>
      </font>
    </dxf>
    <dxf>
      <alignment horizontal="center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font>
        <sz val="8"/>
      </font>
    </dxf>
    <dxf>
      <font>
        <sz val="8"/>
      </font>
    </dxf>
    <dxf>
      <font>
        <sz val="8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ill>
        <patternFill>
          <bgColor theme="4" tint="-0.499984740745262"/>
        </patternFill>
      </fill>
    </dxf>
    <dxf>
      <fill>
        <patternFill>
          <bgColor theme="4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font>
        <name val="Calibri Light"/>
        <scheme val="major"/>
      </font>
    </dxf>
    <dxf>
      <font>
        <sz val="10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wrapText="1" readingOrder="0"/>
    </dxf>
    <dxf>
      <fill>
        <patternFill patternType="solid">
          <bgColor theme="4" tint="0.59999389629810485"/>
        </patternFill>
      </fill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border>
        <left/>
        <right/>
        <top/>
        <vertical/>
        <horizontal/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 style="thin">
          <color indexed="64"/>
        </left>
      </border>
    </dxf>
    <dxf>
      <border>
        <left/>
        <bottom/>
      </border>
    </dxf>
    <dxf>
      <font>
        <color auto="1"/>
      </font>
    </dxf>
    <dxf>
      <fill>
        <patternFill patternType="solid">
          <fgColor indexed="64"/>
          <bgColor theme="4" tint="0.59999389629810485"/>
        </patternFill>
      </fill>
      <alignment wrapText="1" readingOrder="0"/>
    </dxf>
    <dxf>
      <alignment horizontal="center" readingOrder="0"/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/>
        <top/>
        <bottom/>
      </border>
    </dxf>
    <dxf>
      <border>
        <top style="medium">
          <color indexed="64"/>
        </top>
        <bottom style="medium">
          <color indexed="64"/>
        </bottom>
      </border>
    </dxf>
    <dxf>
      <alignment wrapText="1" readingOrder="0"/>
    </dxf>
    <dxf>
      <alignment vertical="center" readingOrder="0"/>
    </dxf>
    <dxf>
      <alignment horizontal="center" readingOrder="0"/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fill>
        <patternFill patternType="solid">
          <fgColor indexed="64"/>
          <bgColor theme="4" tint="0.59999389629810485"/>
        </patternFill>
      </fill>
    </dxf>
    <dxf>
      <alignment horizontal="center" readingOrder="0"/>
    </dxf>
    <dxf>
      <alignment vertical="center" readingOrder="0"/>
    </dxf>
    <dxf>
      <alignment horizontal="center" readingOrder="0"/>
    </dxf>
    <dxf>
      <alignment wrapText="0" readingOrder="0"/>
    </dxf>
    <dxf>
      <alignment vertical="bottom" readingOrder="0"/>
    </dxf>
    <dxf>
      <alignment wrapText="1" readingOrder="0"/>
    </dxf>
    <dxf>
      <alignment horizontal="center" readingOrder="0"/>
    </dxf>
    <dxf>
      <alignment vertical="center" readingOrder="0"/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alignment wrapText="0" readingOrder="0"/>
    </dxf>
    <dxf>
      <alignment wrapText="0" readingOrder="0"/>
    </dxf>
    <dxf>
      <alignment horizontal="center" readingOrder="0"/>
    </dxf>
    <dxf>
      <alignment vertical="center" readingOrder="0"/>
    </dxf>
    <dxf>
      <alignment wrapText="1" readingOrder="0"/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alignment wrapText="0" readingOrder="0"/>
    </dxf>
    <dxf>
      <alignment wrapText="1" readingOrder="0"/>
    </dxf>
    <dxf>
      <alignment vertical="center" readingOrder="0"/>
    </dxf>
    <dxf>
      <alignment horizontal="center" readingOrder="0"/>
    </dxf>
    <dxf>
      <border>
        <right style="medium">
          <color indexed="64"/>
        </right>
        <top style="medium">
          <color indexed="64"/>
        </top>
      </border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vertical="bottom" readingOrder="0"/>
    </dxf>
    <dxf>
      <alignment horizontal="center" readingOrder="0"/>
    </dxf>
    <dxf>
      <alignment vertical="center" readingOrder="0"/>
    </dxf>
    <dxf>
      <alignment wrapText="1" readingOrder="0"/>
    </dxf>
    <dxf>
      <border>
        <right style="medium">
          <color indexed="64"/>
        </right>
        <top style="medium">
          <color indexed="64"/>
        </top>
      </border>
    </dxf>
    <dxf>
      <alignment horizontal="center" readingOrder="0"/>
    </dxf>
    <dxf>
      <alignment vertical="center" readingOrder="0"/>
    </dxf>
    <dxf>
      <alignment wrapText="1" readingOrder="0"/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alignment wrapText="0" readingOrder="0"/>
    </dxf>
    <dxf>
      <alignment vertical="bottom" readingOrder="0"/>
    </dxf>
    <dxf>
      <alignment horizontal="center" readingOrder="0"/>
    </dxf>
    <dxf>
      <alignment vertical="center" readingOrder="0"/>
    </dxf>
    <dxf>
      <alignment wrapText="1" readingOrder="0"/>
    </dxf>
    <dxf>
      <border>
        <right style="medium">
          <color indexed="64"/>
        </right>
        <top style="medium">
          <color indexed="64"/>
        </top>
      </border>
    </dxf>
    <dxf>
      <fill>
        <patternFill patternType="solid">
          <bgColor theme="0"/>
        </patternFill>
      </fill>
    </dxf>
    <dxf>
      <fill>
        <patternFill>
          <bgColor rgb="FF99FF66"/>
        </patternFill>
      </fill>
    </dxf>
    <dxf>
      <font>
        <b/>
      </font>
    </dxf>
    <dxf>
      <fill>
        <patternFill patternType="solid">
          <bgColor rgb="FF99FF66"/>
        </patternFill>
      </fill>
    </dxf>
    <dxf>
      <font>
        <b/>
      </font>
    </dxf>
    <dxf>
      <font>
        <b/>
      </font>
    </dxf>
    <dxf>
      <fill>
        <patternFill patternType="solid">
          <bgColor rgb="FF99FF66"/>
        </patternFill>
      </fill>
    </dxf>
    <dxf>
      <font>
        <b/>
      </font>
    </dxf>
    <dxf>
      <fill>
        <patternFill patternType="solid">
          <bgColor rgb="FF99FF66"/>
        </patternFill>
      </fill>
    </dxf>
    <dxf>
      <font>
        <b/>
      </font>
    </dxf>
    <dxf>
      <fill>
        <patternFill patternType="solid">
          <bgColor rgb="FF99FF66"/>
        </patternFill>
      </fill>
    </dxf>
    <dxf>
      <font>
        <b/>
      </font>
    </dxf>
    <dxf>
      <fill>
        <patternFill patternType="solid">
          <bgColor rgb="FF99FF66"/>
        </patternFill>
      </fill>
    </dxf>
    <dxf>
      <font>
        <b/>
      </font>
    </dxf>
    <dxf>
      <fill>
        <patternFill patternType="solid">
          <bgColor rgb="FF99FF66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alignment wrapText="1" readingOrder="0"/>
    </dxf>
    <dxf>
      <alignment horizontal="center" readingOrder="0"/>
    </dxf>
    <dxf>
      <alignment vertical="center" readingOrder="0"/>
    </dxf>
    <dxf>
      <border>
        <left style="medium">
          <color indexed="64"/>
        </left>
      </border>
    </dxf>
    <dxf>
      <border>
        <right style="medium">
          <color indexed="64"/>
        </right>
        <top style="medium">
          <color indexed="64"/>
        </top>
      </border>
    </dxf>
    <dxf>
      <fill>
        <patternFill patternType="solid">
          <bgColor theme="5" tint="0.59999389629810485"/>
        </patternFill>
      </fill>
    </dxf>
    <dxf>
      <font>
        <b/>
      </font>
    </dxf>
    <dxf>
      <font>
        <sz val="8"/>
      </font>
    </dxf>
    <dxf>
      <fill>
        <patternFill patternType="solid">
          <fgColor indexed="64"/>
          <bgColor theme="4" tint="0.59999389629810485"/>
        </patternFill>
      </fill>
    </dxf>
    <dxf>
      <alignment vertical="bottom" readingOrder="0"/>
    </dxf>
    <dxf>
      <alignment horizontal="center" vertical="center" wrapText="1" readingOrder="0"/>
    </dxf>
    <dxf>
      <border>
        <left style="medium">
          <color indexed="64"/>
        </left>
      </border>
    </dxf>
    <dxf>
      <fill>
        <patternFill>
          <bgColor theme="7" tint="0.79998168889431442"/>
        </patternFill>
      </fill>
    </dxf>
    <dxf>
      <border>
        <right style="medium">
          <color indexed="64"/>
        </right>
      </border>
    </dxf>
    <dxf>
      <fill>
        <patternFill patternType="solid">
          <fgColor indexed="64"/>
          <bgColor theme="4" tint="0.59999389629810485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top style="medium">
          <color indexed="64"/>
        </top>
      </border>
    </dxf>
    <dxf>
      <fill>
        <patternFill patternType="solid">
          <bgColor theme="3" tint="0.59999389629810485"/>
        </patternFill>
      </fill>
    </dxf>
    <dxf>
      <fill>
        <patternFill>
          <bgColor theme="4" tint="0.59999389629810485"/>
        </patternFill>
      </fill>
    </dxf>
    <dxf>
      <border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top style="medium">
          <color indexed="64"/>
        </top>
      </border>
    </dxf>
    <dxf>
      <alignment wrapText="1" readingOrder="0"/>
    </dxf>
    <dxf>
      <alignment vertical="center" readingOrder="0"/>
    </dxf>
    <dxf>
      <alignment horizontal="center" readingOrder="0"/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ont>
        <b/>
      </font>
    </dxf>
    <dxf>
      <fill>
        <patternFill>
          <bgColor theme="7" tint="0.79998168889431442"/>
        </patternFill>
      </fill>
    </dxf>
    <dxf>
      <font>
        <b/>
      </font>
    </dxf>
    <dxf>
      <fill>
        <patternFill patternType="solid">
          <fgColor indexed="64"/>
          <bgColor theme="4" tint="0.59999389629810485"/>
        </patternFill>
      </fill>
    </dxf>
    <dxf>
      <alignment wrapText="1" readingOrder="0"/>
    </dxf>
    <dxf>
      <alignment horizontal="center" readingOrder="0"/>
    </dxf>
    <dxf>
      <alignment vertical="center" readingOrder="0"/>
    </dxf>
    <dxf>
      <font>
        <b/>
      </font>
    </dxf>
    <dxf>
      <font>
        <b/>
      </font>
      <fill>
        <patternFill patternType="solid">
          <fgColor indexed="64"/>
          <bgColor theme="7" tint="0.79998168889431442"/>
        </patternFill>
      </fill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ill>
        <patternFill>
          <bgColor theme="9"/>
        </patternFill>
      </fill>
    </dxf>
    <dxf>
      <font>
        <color theme="0"/>
      </font>
    </dxf>
    <dxf>
      <fill>
        <patternFill>
          <bgColor theme="9"/>
        </patternFill>
      </fill>
    </dxf>
    <dxf>
      <font>
        <color theme="0"/>
      </font>
    </dxf>
    <dxf>
      <font>
        <b/>
      </font>
    </dxf>
    <dxf>
      <font>
        <b/>
      </font>
    </dxf>
    <dxf>
      <fill>
        <patternFill>
          <bgColor theme="9"/>
        </patternFill>
      </fill>
    </dxf>
    <dxf>
      <font>
        <color theme="0"/>
      </font>
    </dxf>
    <dxf>
      <font>
        <b/>
      </font>
    </dxf>
    <dxf>
      <fill>
        <patternFill>
          <bgColor theme="9"/>
        </patternFill>
      </fill>
    </dxf>
    <dxf>
      <font>
        <color theme="0"/>
      </font>
    </dxf>
    <dxf>
      <font>
        <b/>
      </font>
    </dxf>
    <dxf>
      <fill>
        <patternFill>
          <bgColor theme="9"/>
        </patternFill>
      </fill>
    </dxf>
    <dxf>
      <font>
        <color theme="0"/>
      </font>
    </dxf>
    <dxf>
      <font>
        <b/>
      </font>
    </dxf>
    <dxf>
      <fill>
        <patternFill>
          <bgColor theme="9"/>
        </patternFill>
      </fill>
    </dxf>
    <dxf>
      <font>
        <color theme="0"/>
      </font>
    </dxf>
    <dxf>
      <font>
        <b/>
      </font>
    </dxf>
    <dxf>
      <fill>
        <patternFill>
          <bgColor theme="9"/>
        </patternFill>
      </fill>
    </dxf>
    <dxf>
      <font>
        <color theme="0"/>
      </font>
    </dxf>
    <dxf>
      <fill>
        <patternFill>
          <bgColor theme="9"/>
        </patternFill>
      </fill>
    </dxf>
    <dxf>
      <font>
        <color theme="0"/>
      </font>
    </dxf>
    <dxf>
      <font>
        <b/>
      </font>
    </dxf>
    <dxf>
      <font>
        <b/>
      </font>
    </dxf>
    <dxf>
      <fill>
        <patternFill>
          <bgColor theme="9"/>
        </patternFill>
      </fill>
    </dxf>
    <dxf>
      <font>
        <color theme="0"/>
      </font>
    </dxf>
    <dxf>
      <font>
        <b/>
      </font>
    </dxf>
    <dxf>
      <fill>
        <patternFill>
          <bgColor theme="9"/>
        </patternFill>
      </fill>
    </dxf>
    <dxf>
      <font>
        <color theme="0"/>
      </font>
    </dxf>
    <dxf>
      <font>
        <b/>
      </font>
    </dxf>
    <dxf>
      <border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fill>
        <patternFill>
          <bgColor theme="7" tint="0.79998168889431442"/>
        </patternFill>
      </fill>
    </dxf>
    <dxf>
      <fill>
        <patternFill patternType="solid">
          <bgColor theme="9"/>
        </patternFill>
      </fill>
    </dxf>
    <dxf>
      <font>
        <color theme="0"/>
      </font>
    </dxf>
    <dxf>
      <font>
        <b val="0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9"/>
        </patternFill>
      </fill>
    </dxf>
    <dxf>
      <fill>
        <patternFill>
          <bgColor theme="7" tint="0.79998168889431442"/>
        </patternFill>
      </fill>
    </dxf>
    <dxf>
      <font>
        <b/>
      </font>
    </dxf>
    <dxf>
      <fill>
        <patternFill>
          <bgColor theme="9"/>
        </patternFill>
      </fill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fill>
        <patternFill>
          <bgColor theme="9"/>
        </patternFill>
      </fill>
    </dxf>
    <dxf>
      <font>
        <b/>
      </font>
    </dxf>
    <dxf>
      <fill>
        <patternFill>
          <bgColor theme="7" tint="0.79998168889431442"/>
        </patternFill>
      </fill>
    </dxf>
    <dxf>
      <fill>
        <patternFill>
          <bgColor theme="9"/>
        </patternFill>
      </fill>
    </dxf>
    <dxf>
      <border>
        <top style="medium">
          <color indexed="64"/>
        </top>
      </border>
    </dxf>
    <dxf>
      <font>
        <b/>
      </font>
    </dxf>
    <dxf>
      <border>
        <bottom style="medium">
          <color indexed="64"/>
        </bottom>
      </border>
    </dxf>
    <dxf>
      <fill>
        <patternFill>
          <bgColor theme="4" tint="-0.499984740745262"/>
        </patternFill>
      </fill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font>
        <color theme="0"/>
      </font>
    </dxf>
    <dxf>
      <fill>
        <patternFill>
          <bgColor theme="4" tint="-0.499984740745262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b val="0"/>
      </font>
    </dxf>
    <dxf>
      <font>
        <color theme="0"/>
      </font>
    </dxf>
    <dxf>
      <fill>
        <patternFill patternType="solid">
          <bgColor theme="9"/>
        </patternFill>
      </fill>
    </dxf>
    <dxf>
      <fill>
        <patternFill>
          <bgColor theme="7" tint="0.79998168889431442"/>
        </patternFill>
      </fill>
    </dxf>
    <dxf>
      <border>
        <right style="medium">
          <color indexed="64"/>
        </right>
        <top style="medium">
          <color indexed="64"/>
        </top>
      </border>
    </dxf>
    <dxf>
      <border>
        <top style="medium">
          <color indexed="64"/>
        </top>
      </border>
    </dxf>
    <dxf>
      <font>
        <b/>
      </font>
    </dxf>
    <dxf>
      <font>
        <color theme="0"/>
      </font>
    </dxf>
    <dxf>
      <fill>
        <patternFill>
          <bgColor theme="9"/>
        </patternFill>
      </fill>
    </dxf>
    <dxf>
      <font>
        <b/>
      </font>
    </dxf>
    <dxf>
      <font>
        <color theme="0"/>
      </font>
    </dxf>
    <dxf>
      <fill>
        <patternFill>
          <bgColor theme="9"/>
        </patternFill>
      </fill>
    </dxf>
    <dxf>
      <font>
        <b/>
      </font>
    </dxf>
    <dxf>
      <font>
        <b/>
      </font>
    </dxf>
    <dxf>
      <font>
        <color theme="0"/>
      </font>
    </dxf>
    <dxf>
      <fill>
        <patternFill>
          <bgColor theme="9"/>
        </patternFill>
      </fill>
    </dxf>
    <dxf>
      <font>
        <color theme="0"/>
      </font>
    </dxf>
    <dxf>
      <fill>
        <patternFill>
          <bgColor theme="9"/>
        </patternFill>
      </fill>
    </dxf>
    <dxf>
      <font>
        <b/>
      </font>
    </dxf>
    <dxf>
      <font>
        <color theme="0"/>
      </font>
    </dxf>
    <dxf>
      <fill>
        <patternFill>
          <bgColor theme="9"/>
        </patternFill>
      </fill>
    </dxf>
    <dxf>
      <font>
        <b/>
      </font>
    </dxf>
    <dxf>
      <font>
        <color theme="0"/>
      </font>
    </dxf>
    <dxf>
      <fill>
        <patternFill>
          <bgColor theme="9"/>
        </patternFill>
      </fill>
    </dxf>
    <dxf>
      <font>
        <b/>
      </font>
    </dxf>
    <dxf>
      <font>
        <color theme="0"/>
      </font>
    </dxf>
    <dxf>
      <fill>
        <patternFill>
          <bgColor theme="9"/>
        </patternFill>
      </fill>
    </dxf>
    <dxf>
      <font>
        <sz val="9"/>
      </font>
    </dxf>
    <dxf>
      <font>
        <sz val="9"/>
      </font>
    </dxf>
    <dxf>
      <alignment horizontal="center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font>
        <sz val="8"/>
      </font>
    </dxf>
    <dxf>
      <font>
        <sz val="8"/>
      </font>
    </dxf>
    <dxf>
      <font>
        <sz val="8"/>
      </font>
    </dxf>
    <dxf>
      <font>
        <name val="Arial Black"/>
        <scheme val="none"/>
      </font>
    </dxf>
    <dxf>
      <font>
        <name val="Arial Black"/>
        <scheme val="none"/>
      </font>
    </dxf>
    <dxf>
      <font>
        <name val="Arial Black"/>
        <scheme val="none"/>
      </font>
    </dxf>
    <dxf>
      <fill>
        <patternFill>
          <bgColor theme="4" tint="-0.499984740745262"/>
        </patternFill>
      </fill>
    </dxf>
    <dxf>
      <fill>
        <patternFill>
          <bgColor theme="4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font>
        <name val="Calibri Light"/>
        <scheme val="major"/>
      </font>
    </dxf>
    <dxf>
      <font>
        <sz val="10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wrapText="1" readingOrder="0"/>
    </dxf>
    <dxf>
      <fill>
        <patternFill patternType="solid">
          <bgColor theme="4" tint="0.59999389629810485"/>
        </patternFill>
      </fill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</dxf>
    <dxf>
      <border>
        <left/>
        <right/>
        <top/>
        <vertical/>
        <horizontal/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 style="thin">
          <color indexed="64"/>
        </left>
      </border>
    </dxf>
    <dxf>
      <border>
        <left/>
        <bottom/>
      </border>
    </dxf>
    <dxf>
      <font>
        <color auto="1"/>
      </font>
    </dxf>
    <dxf>
      <fill>
        <patternFill patternType="solid">
          <fgColor indexed="64"/>
          <bgColor theme="4" tint="0.59999389629810485"/>
        </patternFill>
      </fill>
      <alignment wrapText="1" readingOrder="0"/>
    </dxf>
    <dxf>
      <alignment horizontal="center" readingOrder="0"/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/>
        <top/>
        <bottom/>
      </border>
    </dxf>
    <dxf>
      <border>
        <top style="medium">
          <color indexed="64"/>
        </top>
        <bottom style="medium">
          <color indexed="64"/>
        </bottom>
      </border>
    </dxf>
    <dxf>
      <alignment wrapText="1" readingOrder="0"/>
    </dxf>
    <dxf>
      <alignment vertical="center" readingOrder="0"/>
    </dxf>
    <dxf>
      <alignment horizontal="center" readingOrder="0"/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fill>
        <patternFill patternType="solid">
          <fgColor indexed="64"/>
          <bgColor theme="4" tint="0.59999389629810485"/>
        </patternFill>
      </fill>
    </dxf>
    <dxf>
      <alignment horizontal="center" readingOrder="0"/>
    </dxf>
    <dxf>
      <alignment vertical="center" readingOrder="0"/>
    </dxf>
    <dxf>
      <alignment horizontal="center" readingOrder="0"/>
    </dxf>
    <dxf>
      <alignment wrapText="0" readingOrder="0"/>
    </dxf>
    <dxf>
      <alignment vertical="bottom" readingOrder="0"/>
    </dxf>
    <dxf>
      <alignment wrapText="1" readingOrder="0"/>
    </dxf>
    <dxf>
      <alignment horizontal="center" readingOrder="0"/>
    </dxf>
    <dxf>
      <alignment vertical="center" readingOrder="0"/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alignment wrapText="0" readingOrder="0"/>
    </dxf>
    <dxf>
      <alignment wrapText="0" readingOrder="0"/>
    </dxf>
    <dxf>
      <alignment horizontal="center" readingOrder="0"/>
    </dxf>
    <dxf>
      <alignment vertical="center" readingOrder="0"/>
    </dxf>
    <dxf>
      <alignment wrapText="1" readingOrder="0"/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alignment wrapText="0" readingOrder="0"/>
    </dxf>
    <dxf>
      <alignment wrapText="1" readingOrder="0"/>
    </dxf>
    <dxf>
      <alignment vertical="center" readingOrder="0"/>
    </dxf>
    <dxf>
      <alignment horizontal="center" readingOrder="0"/>
    </dxf>
    <dxf>
      <border>
        <right style="medium">
          <color indexed="64"/>
        </right>
        <top style="medium">
          <color indexed="64"/>
        </top>
      </border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vertical="bottom" readingOrder="0"/>
    </dxf>
    <dxf>
      <alignment horizontal="center" readingOrder="0"/>
    </dxf>
    <dxf>
      <alignment vertical="center" readingOrder="0"/>
    </dxf>
    <dxf>
      <alignment wrapText="1" readingOrder="0"/>
    </dxf>
    <dxf>
      <border>
        <right style="medium">
          <color indexed="64"/>
        </right>
        <top style="medium">
          <color indexed="64"/>
        </top>
      </border>
    </dxf>
    <dxf>
      <alignment horizontal="center" readingOrder="0"/>
    </dxf>
    <dxf>
      <alignment vertical="center" readingOrder="0"/>
    </dxf>
    <dxf>
      <alignment wrapText="1" readingOrder="0"/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alignment wrapText="0" readingOrder="0"/>
    </dxf>
    <dxf>
      <alignment vertical="bottom" readingOrder="0"/>
    </dxf>
    <dxf>
      <alignment horizontal="center" readingOrder="0"/>
    </dxf>
    <dxf>
      <alignment vertical="center" readingOrder="0"/>
    </dxf>
    <dxf>
      <alignment wrapText="1" readingOrder="0"/>
    </dxf>
    <dxf>
      <border>
        <right style="medium">
          <color indexed="64"/>
        </right>
        <top style="medium">
          <color indexed="64"/>
        </top>
      </border>
    </dxf>
    <dxf>
      <fill>
        <patternFill patternType="solid">
          <bgColor theme="0"/>
        </patternFill>
      </fill>
    </dxf>
    <dxf>
      <fill>
        <patternFill>
          <bgColor rgb="FF99FF66"/>
        </patternFill>
      </fill>
    </dxf>
    <dxf>
      <font>
        <b/>
      </font>
    </dxf>
    <dxf>
      <fill>
        <patternFill patternType="solid">
          <bgColor rgb="FF99FF66"/>
        </patternFill>
      </fill>
    </dxf>
    <dxf>
      <font>
        <b/>
      </font>
    </dxf>
    <dxf>
      <font>
        <b/>
      </font>
    </dxf>
    <dxf>
      <fill>
        <patternFill patternType="solid">
          <bgColor rgb="FF99FF66"/>
        </patternFill>
      </fill>
    </dxf>
    <dxf>
      <font>
        <b/>
      </font>
    </dxf>
    <dxf>
      <fill>
        <patternFill patternType="solid">
          <bgColor rgb="FF99FF66"/>
        </patternFill>
      </fill>
    </dxf>
    <dxf>
      <font>
        <b/>
      </font>
    </dxf>
    <dxf>
      <fill>
        <patternFill patternType="solid">
          <bgColor rgb="FF99FF66"/>
        </patternFill>
      </fill>
    </dxf>
    <dxf>
      <font>
        <b/>
      </font>
    </dxf>
    <dxf>
      <fill>
        <patternFill patternType="solid">
          <bgColor rgb="FF99FF66"/>
        </patternFill>
      </fill>
    </dxf>
    <dxf>
      <font>
        <b/>
      </font>
    </dxf>
    <dxf>
      <fill>
        <patternFill patternType="solid">
          <bgColor rgb="FF99FF66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alignment wrapText="1" readingOrder="0"/>
    </dxf>
    <dxf>
      <alignment horizontal="center" readingOrder="0"/>
    </dxf>
    <dxf>
      <alignment vertical="center" readingOrder="0"/>
    </dxf>
    <dxf>
      <border>
        <left style="medium">
          <color indexed="64"/>
        </left>
      </border>
    </dxf>
    <dxf>
      <border>
        <right style="medium">
          <color indexed="64"/>
        </right>
        <top style="medium">
          <color indexed="64"/>
        </top>
      </border>
    </dxf>
    <dxf>
      <fill>
        <patternFill patternType="solid">
          <bgColor theme="5" tint="0.59999389629810485"/>
        </patternFill>
      </fill>
    </dxf>
    <dxf>
      <font>
        <b/>
      </font>
    </dxf>
    <dxf>
      <font>
        <sz val="8"/>
      </font>
    </dxf>
    <dxf>
      <fill>
        <patternFill patternType="solid">
          <fgColor indexed="64"/>
          <bgColor theme="4" tint="0.59999389629810485"/>
        </patternFill>
      </fill>
    </dxf>
    <dxf>
      <alignment vertical="bottom" readingOrder="0"/>
    </dxf>
    <dxf>
      <alignment horizontal="center" vertical="center" wrapText="1" readingOrder="0"/>
    </dxf>
    <dxf>
      <border>
        <left style="medium">
          <color indexed="64"/>
        </left>
      </border>
    </dxf>
    <dxf>
      <fill>
        <patternFill>
          <bgColor theme="7" tint="0.79998168889431442"/>
        </patternFill>
      </fill>
    </dxf>
    <dxf>
      <border>
        <right style="medium">
          <color indexed="64"/>
        </right>
      </border>
    </dxf>
    <dxf>
      <fill>
        <patternFill patternType="solid">
          <fgColor indexed="64"/>
          <bgColor theme="4" tint="0.59999389629810485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top style="medium">
          <color indexed="64"/>
        </top>
      </border>
    </dxf>
    <dxf>
      <fill>
        <patternFill patternType="solid">
          <bgColor theme="3" tint="0.59999389629810485"/>
        </patternFill>
      </fill>
    </dxf>
    <dxf>
      <fill>
        <patternFill>
          <bgColor theme="4" tint="0.59999389629810485"/>
        </patternFill>
      </fill>
    </dxf>
    <dxf>
      <border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top style="medium">
          <color indexed="64"/>
        </top>
      </border>
    </dxf>
    <dxf>
      <alignment wrapText="1" readingOrder="0"/>
    </dxf>
    <dxf>
      <alignment vertical="center" readingOrder="0"/>
    </dxf>
    <dxf>
      <alignment horizontal="center" readingOrder="0"/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ont>
        <b/>
      </font>
    </dxf>
    <dxf>
      <fill>
        <patternFill>
          <bgColor theme="7" tint="0.79998168889431442"/>
        </patternFill>
      </fill>
    </dxf>
    <dxf>
      <font>
        <b/>
      </font>
    </dxf>
    <dxf>
      <fill>
        <patternFill patternType="solid">
          <fgColor indexed="64"/>
          <bgColor theme="4" tint="0.59999389629810485"/>
        </patternFill>
      </fill>
    </dxf>
    <dxf>
      <alignment wrapText="1" readingOrder="0"/>
    </dxf>
    <dxf>
      <alignment horizontal="center" readingOrder="0"/>
    </dxf>
    <dxf>
      <alignment vertical="center" readingOrder="0"/>
    </dxf>
    <dxf>
      <font>
        <b/>
      </font>
    </dxf>
    <dxf>
      <font>
        <b/>
      </font>
      <fill>
        <patternFill patternType="solid">
          <fgColor indexed="64"/>
          <bgColor theme="7" tint="0.79998168889431442"/>
        </patternFill>
      </fill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ill>
        <patternFill>
          <bgColor theme="9"/>
        </patternFill>
      </fill>
    </dxf>
    <dxf>
      <font>
        <color theme="0"/>
      </font>
    </dxf>
    <dxf>
      <fill>
        <patternFill>
          <bgColor theme="9"/>
        </patternFill>
      </fill>
    </dxf>
    <dxf>
      <font>
        <color theme="0"/>
      </font>
    </dxf>
    <dxf>
      <font>
        <b/>
      </font>
    </dxf>
    <dxf>
      <font>
        <b/>
      </font>
    </dxf>
    <dxf>
      <fill>
        <patternFill>
          <bgColor theme="9"/>
        </patternFill>
      </fill>
    </dxf>
    <dxf>
      <font>
        <color theme="0"/>
      </font>
    </dxf>
    <dxf>
      <font>
        <b/>
      </font>
    </dxf>
    <dxf>
      <fill>
        <patternFill patternType="none">
          <fgColor indexed="64"/>
          <bgColor indexed="65"/>
        </patternFill>
      </fill>
      <alignment wrapText="1" readingOrder="0"/>
    </dxf>
    <dxf>
      <font>
        <color theme="0" tint="-4.9989318521683403E-2"/>
      </font>
      <fill>
        <patternFill>
          <bgColor indexed="64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indexed="65"/>
        </patternFill>
      </fill>
      <alignment wrapText="1" readingOrder="0"/>
    </dxf>
    <dxf>
      <font>
        <b/>
      </font>
    </dxf>
    <dxf>
      <alignment wrapText="1" readingOrder="0"/>
    </dxf>
    <dxf>
      <alignment vertical="center" readingOrder="0"/>
    </dxf>
    <dxf>
      <font>
        <b/>
        <color theme="0"/>
      </font>
      <fill>
        <patternFill patternType="solid">
          <fgColor indexed="64"/>
          <bgColor theme="4" tint="-0.49998474074526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b/>
        <i val="0"/>
        <strike val="0"/>
        <color theme="8"/>
      </font>
    </dxf>
    <dxf>
      <font>
        <color rgb="FF9C0006"/>
      </font>
    </dxf>
    <dxf>
      <font>
        <b/>
        <i val="0"/>
        <strike val="0"/>
        <color theme="8"/>
      </font>
    </dxf>
    <dxf>
      <font>
        <color rgb="FF9C0006"/>
      </font>
    </dxf>
    <dxf>
      <font>
        <b/>
        <i val="0"/>
        <strike val="0"/>
        <color theme="8"/>
      </font>
    </dxf>
    <dxf>
      <font>
        <color rgb="FF9C0006"/>
      </font>
    </dxf>
    <dxf>
      <font>
        <b/>
        <i val="0"/>
        <strike val="0"/>
        <color theme="8"/>
      </font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 outline="0"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color theme="0"/>
      </font>
    </dxf>
    <dxf>
      <fill>
        <patternFill>
          <bgColor theme="4" tint="-0.49998474074526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</dxf>
    <dxf>
      <font>
        <b/>
      </font>
    </dxf>
    <dxf>
      <border>
        <top style="medium">
          <color indexed="64"/>
        </top>
      </border>
    </dxf>
    <dxf>
      <border>
        <right style="medium">
          <color indexed="64"/>
        </right>
      </border>
    </dxf>
    <dxf>
      <border>
        <bottom style="medium">
          <color indexed="64"/>
        </bottom>
      </border>
    </dxf>
    <dxf>
      <fill>
        <patternFill patternType="solid">
          <bgColor theme="7" tint="0.79998168889431442"/>
        </patternFill>
      </fill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font>
        <b/>
        <color theme="0" tint="-4.9989318521683403E-2"/>
      </font>
      <fill>
        <patternFill patternType="solid">
          <fgColor indexed="64"/>
          <bgColor theme="4" tint="-0.499984740745262"/>
        </patternFill>
      </fill>
    </dxf>
    <dxf>
      <alignment wrapText="1" readingOrder="0"/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border>
        <top style="medium">
          <color indexed="64"/>
        </top>
      </border>
    </dxf>
    <dxf>
      <border>
        <left style="medium">
          <color indexed="64"/>
        </left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color theme="0" tint="-4.9989318521683403E-2"/>
      </font>
      <fill>
        <patternFill patternType="solid">
          <fgColor indexed="64"/>
          <bgColor theme="4" tint="-0.499984740745262"/>
        </patternFill>
      </fill>
    </dxf>
    <dxf>
      <alignment wrapText="1" readingOrder="0"/>
    </dxf>
    <dxf>
      <border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</border>
    </dxf>
    <dxf>
      <border>
        <right style="medium">
          <color indexed="64"/>
        </right>
      </border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  <color theme="0" tint="-4.9989318521683403E-2"/>
      </font>
      <fill>
        <patternFill patternType="solid">
          <fgColor indexed="64"/>
          <bgColor theme="4" tint="-0.499984740745262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right style="medium">
          <color indexed="64"/>
        </right>
      </border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sz val="10"/>
      </font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</dxf>
    <dxf>
      <font>
        <b/>
      </font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theme="5" tint="0.59999389629810485"/>
        </patternFill>
      </fill>
    </dxf>
    <dxf>
      <alignment wrapText="1" readingOrder="0"/>
    </dxf>
    <dxf>
      <alignment vertical="center" readingOrder="0"/>
    </dxf>
    <dxf>
      <border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</dxf>
    <dxf>
      <fill>
        <patternFill patternType="solid">
          <bgColor theme="7" tint="0.79998168889431442"/>
        </patternFill>
      </fill>
    </dxf>
    <dxf>
      <font>
        <b/>
      </font>
    </dxf>
    <dxf>
      <fill>
        <patternFill patternType="solid">
          <bgColor theme="7" tint="0.79998168889431442"/>
        </patternFill>
      </fill>
    </dxf>
    <dxf>
      <alignment wrapText="1" readingOrder="0"/>
    </dxf>
    <dxf>
      <alignment vertical="center" readingOrder="0"/>
    </dxf>
    <dxf>
      <font>
        <b/>
      </font>
    </dxf>
    <dxf>
      <fill>
        <patternFill>
          <bgColor theme="7" tint="0.79998168889431442"/>
        </patternFill>
      </fill>
    </dxf>
    <dxf>
      <font>
        <b/>
      </font>
    </dxf>
    <dxf>
      <fill>
        <patternFill patternType="solid">
          <bgColor theme="7" tint="0.79998168889431442"/>
        </patternFill>
      </fill>
    </dxf>
    <dxf>
      <alignment vertical="center" readingOrder="0"/>
    </dxf>
    <dxf>
      <alignment wrapText="1" readingOrder="0"/>
    </dxf>
    <dxf>
      <font>
        <b/>
      </font>
    </dxf>
    <dxf>
      <fill>
        <patternFill patternType="solid">
          <bgColor theme="7" tint="0.79998168889431442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wrapText="1" readingOrder="0"/>
    </dxf>
    <dxf>
      <alignment vertical="center" readingOrder="0"/>
    </dxf>
    <dxf>
      <font>
        <b/>
      </font>
    </dxf>
    <dxf>
      <font>
        <b/>
      </font>
    </dxf>
    <dxf>
      <fill>
        <patternFill patternType="solid">
          <bgColor theme="7" tint="0.79998168889431442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 readingOrder="0"/>
    </dxf>
    <dxf>
      <alignment wrapText="1" readingOrder="0"/>
    </dxf>
    <dxf>
      <fill>
        <patternFill patternType="solid">
          <bgColor theme="7" tint="0.79998168889431442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wrapText="1" readingOrder="0"/>
    </dxf>
    <dxf>
      <alignment vertical="center" readingOrder="0"/>
    </dxf>
    <dxf>
      <font>
        <b/>
      </font>
    </dxf>
    <dxf>
      <fill>
        <patternFill patternType="solid">
          <bgColor theme="7" tint="0.79998168889431442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 readingOrder="0"/>
    </dxf>
    <dxf>
      <alignment wrapText="1" readingOrder="0"/>
    </dxf>
    <dxf>
      <font>
        <b/>
      </font>
    </dxf>
    <dxf>
      <font>
        <b/>
      </font>
    </dxf>
    <dxf>
      <fill>
        <patternFill patternType="solid">
          <bgColor theme="7" tint="0.79998168889431442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wrapText="1" readingOrder="0"/>
    </dxf>
    <dxf>
      <alignment vertical="center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color theme="0" tint="-4.9989318521683403E-2"/>
      </font>
      <fill>
        <patternFill patternType="solid">
          <fgColor indexed="64"/>
          <bgColor theme="4" tint="-0.499984740745262"/>
        </patternFill>
      </fill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ont>
        <b/>
        <color theme="0" tint="-4.9989318521683403E-2"/>
      </font>
      <fill>
        <patternFill patternType="solid">
          <fgColor indexed="64"/>
          <bgColor theme="4" tint="-0.499984740745262"/>
        </patternFill>
      </fill>
    </dxf>
    <dxf>
      <font>
        <b/>
        <color theme="0" tint="-4.9989318521683403E-2"/>
      </font>
      <fill>
        <patternFill patternType="solid">
          <fgColor indexed="64"/>
          <bgColor theme="4" tint="-0.499984740745262"/>
        </patternFill>
      </fill>
    </dxf>
    <dxf>
      <font>
        <b/>
        <color theme="0" tint="-4.9989318521683403E-2"/>
      </font>
      <fill>
        <patternFill patternType="solid">
          <fgColor indexed="64"/>
          <bgColor theme="4" tint="-0.499984740745262"/>
        </patternFill>
      </fill>
    </dxf>
    <dxf>
      <font>
        <b/>
        <color theme="0" tint="-4.9989318521683403E-2"/>
      </font>
      <fill>
        <patternFill patternType="solid">
          <fgColor indexed="64"/>
          <bgColor theme="4" tint="-0.499984740745262"/>
        </patternFill>
      </fill>
    </dxf>
    <dxf>
      <font>
        <color theme="1"/>
      </font>
    </dxf>
    <dxf>
      <font>
        <b/>
        <sz val="9"/>
        <color theme="0" tint="-4.9989318521683403E-2"/>
      </font>
      <fill>
        <patternFill patternType="solid">
          <fgColor indexed="64"/>
          <bgColor theme="4" tint="-0.499984740745262"/>
        </patternFill>
      </fill>
      <alignment horizontal="center" readingOrder="0"/>
    </dxf>
    <dxf>
      <font>
        <sz val="10"/>
      </font>
      <alignment horizontal="general" vertical="bottom" textRotation="0" wrapText="0" indent="0" justifyLastLine="0" shrinkToFit="0" readingOrder="0"/>
    </dxf>
    <dxf>
      <font>
        <b/>
        <color theme="0" tint="-4.9989318521683403E-2"/>
      </font>
      <fill>
        <patternFill patternType="solid">
          <fgColor indexed="64"/>
          <bgColor theme="4" tint="-0.499984740745262"/>
        </patternFill>
      </fill>
    </dxf>
    <dxf>
      <font>
        <b/>
        <color theme="0" tint="-4.9989318521683403E-2"/>
      </font>
      <fill>
        <patternFill patternType="solid">
          <fgColor indexed="64"/>
          <bgColor theme="4" tint="-0.499984740745262"/>
        </patternFill>
      </fill>
    </dxf>
    <dxf>
      <font>
        <color theme="1"/>
      </font>
    </dxf>
    <dxf>
      <font>
        <b/>
        <color theme="0" tint="-4.9989318521683403E-2"/>
      </font>
      <fill>
        <patternFill patternType="solid">
          <fgColor indexed="64"/>
          <bgColor theme="4" tint="-0.499984740745262"/>
        </patternFill>
      </fill>
    </dxf>
    <dxf>
      <font>
        <b/>
        <color theme="0" tint="-4.9989318521683403E-2"/>
      </font>
      <fill>
        <patternFill patternType="solid">
          <fgColor indexed="64"/>
          <bgColor theme="4" tint="-0.499984740745262"/>
        </patternFill>
      </fill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font>
        <b/>
        <color theme="0" tint="-4.9989318521683403E-2"/>
      </font>
      <fill>
        <patternFill patternType="solid">
          <fgColor indexed="64"/>
          <bgColor theme="4" tint="-0.499984740745262"/>
        </patternFill>
      </fill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readingOrder="0"/>
    </dxf>
    <dxf>
      <alignment horizontal="center" readingOrder="0"/>
    </dxf>
    <dxf>
      <fill>
        <patternFill patternType="solid">
          <bgColor theme="4" tint="-0.499984740745262"/>
        </patternFill>
      </fill>
    </dxf>
    <dxf>
      <fill>
        <patternFill patternType="solid">
          <bgColor theme="4" tint="-0.499984740745262"/>
        </patternFill>
      </fill>
    </dxf>
    <dxf>
      <font>
        <color theme="0" tint="-4.9989318521683403E-2"/>
      </font>
    </dxf>
    <dxf>
      <font>
        <color theme="0" tint="-4.9989318521683403E-2"/>
      </font>
    </dxf>
    <dxf>
      <font>
        <b/>
      </font>
    </dxf>
    <dxf>
      <font>
        <b/>
      </font>
    </dxf>
    <dxf>
      <font>
        <color theme="0" tint="-4.9989318521683403E-2"/>
      </font>
    </dxf>
    <dxf>
      <font>
        <color theme="0" tint="-4.9989318521683403E-2"/>
      </font>
    </dxf>
    <dxf>
      <fill>
        <patternFill patternType="solid">
          <bgColor theme="4" tint="-0.499984740745262"/>
        </patternFill>
      </fill>
    </dxf>
    <dxf>
      <fill>
        <patternFill patternType="solid">
          <bgColor theme="4" tint="-0.499984740745262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horizontal="left" readingOrder="0"/>
    </dxf>
    <dxf>
      <font>
        <sz val="10"/>
      </font>
    </dxf>
    <dxf>
      <numFmt numFmtId="3" formatCode="#,##0"/>
    </dxf>
    <dxf>
      <font>
        <b/>
      </font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 readingOrder="0"/>
    </dxf>
    <dxf>
      <alignment horizontal="center" readingOrder="0"/>
    </dxf>
    <dxf>
      <alignment wrapText="1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5" tint="0.79998168889431442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numFmt numFmtId="2" formatCode="0.0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 readingOrder="0"/>
    </dxf>
    <dxf>
      <alignment horizontal="center" readingOrder="0"/>
    </dxf>
    <dxf>
      <font>
        <b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2" formatCode="mmm\-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2" formatCode="mmm\-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2" formatCode="mmm\-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FFFFCC"/>
      <color rgb="FFCCECFF"/>
      <color rgb="FF99CCFF"/>
      <color rgb="FFFF3300"/>
      <color rgb="FF0066FF"/>
      <color rgb="FF00FFCC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5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microsoft.com/office/2007/relationships/slicerCache" Target="slicerCaches/slicerCache3.xml"/><Relationship Id="rId47" Type="http://schemas.microsoft.com/office/2007/relationships/slicerCache" Target="slicerCaches/slicerCache8.xml"/><Relationship Id="rId50" Type="http://schemas.microsoft.com/office/2007/relationships/slicerCache" Target="slicerCaches/slicerCache11.xml"/><Relationship Id="rId55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4.xml"/><Relationship Id="rId46" Type="http://schemas.microsoft.com/office/2007/relationships/slicerCache" Target="slicerCaches/slicerCache7.xml"/><Relationship Id="rId59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7/relationships/slicerCache" Target="slicerCaches/slicerCache2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3.xml"/><Relationship Id="rId40" Type="http://schemas.microsoft.com/office/2007/relationships/slicerCache" Target="slicerCaches/slicerCache1.xml"/><Relationship Id="rId45" Type="http://schemas.microsoft.com/office/2007/relationships/slicerCache" Target="slicerCaches/slicerCache6.xml"/><Relationship Id="rId53" Type="http://schemas.microsoft.com/office/2007/relationships/slicerCache" Target="slicerCaches/slicerCache14.xml"/><Relationship Id="rId58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pivotCacheDefinition" Target="pivotCache/pivotCacheDefinition2.xml"/><Relationship Id="rId49" Type="http://schemas.microsoft.com/office/2007/relationships/slicerCache" Target="slicerCaches/slicerCache10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7/relationships/slicerCache" Target="slicerCaches/slicerCache5.xml"/><Relationship Id="rId52" Type="http://schemas.microsoft.com/office/2007/relationships/slicerCache" Target="slicerCaches/slicerCache13.xml"/><Relationship Id="rId6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pivotCacheDefinition" Target="pivotCache/pivotCacheDefinition1.xml"/><Relationship Id="rId43" Type="http://schemas.microsoft.com/office/2007/relationships/slicerCache" Target="slicerCaches/slicerCache4.xml"/><Relationship Id="rId48" Type="http://schemas.microsoft.com/office/2007/relationships/slicerCache" Target="slicerCaches/slicerCache9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7/relationships/slicerCache" Target="slicerCaches/slicerCache12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Recursos - Proyecto061017.xlsm]Cuadro Rentabilidades!Tabla dinámica1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RENTABILIDADES</a:t>
            </a:r>
            <a:r>
              <a:rPr lang="en-US" baseline="0"/>
              <a:t> POR PROYECTO</a:t>
            </a:r>
            <a:endParaRPr lang="en-US"/>
          </a:p>
        </c:rich>
      </c:tx>
      <c:layout>
        <c:manualLayout>
          <c:xMode val="edge"/>
          <c:yMode val="edge"/>
          <c:x val="0.43899238508559318"/>
          <c:y val="2.81859006715975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layout/>
          <c:numFmt formatCode="0%" sourceLinked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oundRectCallout">
                  <a:avLst/>
                </a:prstGeom>
                <a:noFill/>
                <a:ln>
                  <a:noFill/>
                </a:ln>
              </c15:spPr>
              <c15:layout/>
            </c:ext>
          </c:extLst>
        </c:dLbl>
      </c:pivotFmt>
      <c:pivotFmt>
        <c:idx val="2"/>
      </c:pivotFmt>
    </c:pivotFmts>
    <c:plotArea>
      <c:layout>
        <c:manualLayout>
          <c:layoutTarget val="inner"/>
          <c:xMode val="edge"/>
          <c:yMode val="edge"/>
          <c:x val="4.8764771314954117E-2"/>
          <c:y val="7.9026984053866975E-2"/>
          <c:w val="0.93995034205791195"/>
          <c:h val="0.73553798490508737"/>
        </c:manualLayout>
      </c:layout>
      <c:lineChart>
        <c:grouping val="standard"/>
        <c:varyColors val="0"/>
        <c:ser>
          <c:idx val="0"/>
          <c:order val="0"/>
          <c:tx>
            <c:strRef>
              <c:f>'Cuadro Rentabilidades'!$G$18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numFmt formatCode="0%" sourceLinked="0"/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'Cuadro Rentabilidades'!$F$19:$F$67</c:f>
              <c:multiLvlStrCache>
                <c:ptCount val="24"/>
                <c:lvl>
                  <c:pt idx="0">
                    <c:v>CRECER</c:v>
                  </c:pt>
                  <c:pt idx="1">
                    <c:v>HYTERA</c:v>
                  </c:pt>
                  <c:pt idx="2">
                    <c:v>HYTERA</c:v>
                  </c:pt>
                  <c:pt idx="3">
                    <c:v>COSMOS</c:v>
                  </c:pt>
                  <c:pt idx="4">
                    <c:v>CAJA AREQ.</c:v>
                  </c:pt>
                  <c:pt idx="5">
                    <c:v>SUSALUD</c:v>
                  </c:pt>
                  <c:pt idx="6">
                    <c:v>SUSALUD</c:v>
                  </c:pt>
                  <c:pt idx="7">
                    <c:v>UPC</c:v>
                  </c:pt>
                  <c:pt idx="8">
                    <c:v>CARDIF</c:v>
                  </c:pt>
                  <c:pt idx="9">
                    <c:v>CARDIF</c:v>
                  </c:pt>
                  <c:pt idx="10">
                    <c:v>CARDIF</c:v>
                  </c:pt>
                  <c:pt idx="11">
                    <c:v>CRECER</c:v>
                  </c:pt>
                  <c:pt idx="12">
                    <c:v>PROTECTA</c:v>
                  </c:pt>
                  <c:pt idx="13">
                    <c:v>CRECER</c:v>
                  </c:pt>
                  <c:pt idx="14">
                    <c:v>PALABRITAS</c:v>
                  </c:pt>
                  <c:pt idx="15">
                    <c:v>ABB</c:v>
                  </c:pt>
                  <c:pt idx="16">
                    <c:v>PROTECTA</c:v>
                  </c:pt>
                  <c:pt idx="17">
                    <c:v>SUSALUD</c:v>
                  </c:pt>
                  <c:pt idx="18">
                    <c:v>PROTECTA</c:v>
                  </c:pt>
                  <c:pt idx="19">
                    <c:v>PROTECTA</c:v>
                  </c:pt>
                  <c:pt idx="20">
                    <c:v>AMERICA TV</c:v>
                  </c:pt>
                  <c:pt idx="21">
                    <c:v>ABB</c:v>
                  </c:pt>
                  <c:pt idx="22">
                    <c:v>CARDIF</c:v>
                  </c:pt>
                  <c:pt idx="23">
                    <c:v>ABB</c:v>
                  </c:pt>
                </c:lvl>
                <c:lvl>
                  <c:pt idx="0">
                    <c:v>P0001</c:v>
                  </c:pt>
                  <c:pt idx="1">
                    <c:v>P0002</c:v>
                  </c:pt>
                  <c:pt idx="2">
                    <c:v>P0003</c:v>
                  </c:pt>
                  <c:pt idx="3">
                    <c:v>P0005</c:v>
                  </c:pt>
                  <c:pt idx="4">
                    <c:v>P0006</c:v>
                  </c:pt>
                  <c:pt idx="5">
                    <c:v>P0008</c:v>
                  </c:pt>
                  <c:pt idx="6">
                    <c:v>P0009</c:v>
                  </c:pt>
                  <c:pt idx="7">
                    <c:v>P0010</c:v>
                  </c:pt>
                  <c:pt idx="8">
                    <c:v>P0011</c:v>
                  </c:pt>
                  <c:pt idx="9">
                    <c:v>P0012</c:v>
                  </c:pt>
                  <c:pt idx="10">
                    <c:v>P0013</c:v>
                  </c:pt>
                  <c:pt idx="11">
                    <c:v>P0014</c:v>
                  </c:pt>
                  <c:pt idx="12">
                    <c:v>P0015</c:v>
                  </c:pt>
                  <c:pt idx="13">
                    <c:v>P0017</c:v>
                  </c:pt>
                  <c:pt idx="14">
                    <c:v>P0018</c:v>
                  </c:pt>
                  <c:pt idx="15">
                    <c:v>P0020</c:v>
                  </c:pt>
                  <c:pt idx="16">
                    <c:v>P0022</c:v>
                  </c:pt>
                  <c:pt idx="17">
                    <c:v>P0024</c:v>
                  </c:pt>
                  <c:pt idx="18">
                    <c:v>P0025</c:v>
                  </c:pt>
                  <c:pt idx="19">
                    <c:v>P0026</c:v>
                  </c:pt>
                  <c:pt idx="20">
                    <c:v>P0029</c:v>
                  </c:pt>
                  <c:pt idx="21">
                    <c:v>P0030</c:v>
                  </c:pt>
                  <c:pt idx="22">
                    <c:v>P0032</c:v>
                  </c:pt>
                  <c:pt idx="23">
                    <c:v>P0034</c:v>
                  </c:pt>
                </c:lvl>
              </c:multiLvlStrCache>
            </c:multiLvlStrRef>
          </c:cat>
          <c:val>
            <c:numRef>
              <c:f>'Cuadro Rentabilidades'!$G$19:$G$67</c:f>
              <c:numCache>
                <c:formatCode>0%</c:formatCode>
                <c:ptCount val="24"/>
                <c:pt idx="0">
                  <c:v>0.6485989351557534</c:v>
                </c:pt>
                <c:pt idx="1">
                  <c:v>0.47644947644947638</c:v>
                </c:pt>
                <c:pt idx="2">
                  <c:v>0.72126638793305464</c:v>
                </c:pt>
                <c:pt idx="3">
                  <c:v>-0.81784287611335049</c:v>
                </c:pt>
                <c:pt idx="4">
                  <c:v>0.80246123203869679</c:v>
                </c:pt>
                <c:pt idx="5">
                  <c:v>0.40627995624890251</c:v>
                </c:pt>
                <c:pt idx="6">
                  <c:v>0.5738290132359819</c:v>
                </c:pt>
                <c:pt idx="7">
                  <c:v>8.6590393733250878E-2</c:v>
                </c:pt>
                <c:pt idx="8">
                  <c:v>0.79707792207792205</c:v>
                </c:pt>
                <c:pt idx="9">
                  <c:v>0.4717936638794018</c:v>
                </c:pt>
                <c:pt idx="10">
                  <c:v>-0.37259345628803869</c:v>
                </c:pt>
                <c:pt idx="11">
                  <c:v>0.90859500805152982</c:v>
                </c:pt>
                <c:pt idx="12">
                  <c:v>0.63982683982683985</c:v>
                </c:pt>
                <c:pt idx="13">
                  <c:v>0.59412452902036239</c:v>
                </c:pt>
                <c:pt idx="14">
                  <c:v>-0.21550416764696684</c:v>
                </c:pt>
                <c:pt idx="15">
                  <c:v>-0.36090398489802039</c:v>
                </c:pt>
                <c:pt idx="16">
                  <c:v>0.37050449550449549</c:v>
                </c:pt>
                <c:pt idx="17">
                  <c:v>0.68782245788253082</c:v>
                </c:pt>
                <c:pt idx="18">
                  <c:v>0.97868230544340806</c:v>
                </c:pt>
                <c:pt idx="19">
                  <c:v>-0.32730823195250075</c:v>
                </c:pt>
                <c:pt idx="20">
                  <c:v>0.38775510204081631</c:v>
                </c:pt>
                <c:pt idx="21">
                  <c:v>-0.25634057971014501</c:v>
                </c:pt>
                <c:pt idx="22">
                  <c:v>0.49034090909090911</c:v>
                </c:pt>
                <c:pt idx="23">
                  <c:v>0.4554235209235209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60495616"/>
        <c:axId val="260496008"/>
      </c:lineChart>
      <c:catAx>
        <c:axId val="260495616"/>
        <c:scaling>
          <c:orientation val="minMax"/>
        </c:scaling>
        <c:delete val="0"/>
        <c:axPos val="b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60496008"/>
        <c:crosses val="autoZero"/>
        <c:auto val="1"/>
        <c:lblAlgn val="ctr"/>
        <c:lblOffset val="100"/>
        <c:noMultiLvlLbl val="0"/>
      </c:catAx>
      <c:valAx>
        <c:axId val="260496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60495616"/>
        <c:crossesAt val="1"/>
        <c:crossBetween val="between"/>
      </c:val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</c:dTable>
      <c:spPr>
        <a:noFill/>
        <a:ln w="63500">
          <a:solidFill>
            <a:schemeClr val="accent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PE" b="1" i="1" u="sng">
                <a:solidFill>
                  <a:schemeClr val="tx1"/>
                </a:solidFill>
              </a:rPr>
              <a:t>Distrubución</a:t>
            </a:r>
            <a:r>
              <a:rPr lang="es-PE" b="1" i="1" u="sng" baseline="0">
                <a:solidFill>
                  <a:schemeClr val="tx1"/>
                </a:solidFill>
              </a:rPr>
              <a:t> de horas - Efitec</a:t>
            </a:r>
            <a:endParaRPr lang="es-PE" b="1" i="1" u="sng">
              <a:solidFill>
                <a:schemeClr val="tx1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>
        <c:manualLayout>
          <c:layoutTarget val="inner"/>
          <c:xMode val="edge"/>
          <c:yMode val="edge"/>
          <c:x val="0.13263831222632697"/>
          <c:y val="0.13002634701181023"/>
          <c:w val="0.79153520302400393"/>
          <c:h val="0.5389807829701861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Distribucion_horas!$B$8</c:f>
              <c:strCache>
                <c:ptCount val="1"/>
                <c:pt idx="0">
                  <c:v>PROYECTO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Distribucion_horas!$C$7:$K$7</c:f>
              <c:strCache>
                <c:ptCount val="9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Setiembre</c:v>
                </c:pt>
              </c:strCache>
            </c:strRef>
          </c:cat>
          <c:val>
            <c:numRef>
              <c:f>Distribucion_horas!$C$8:$K$8</c:f>
              <c:numCache>
                <c:formatCode>0</c:formatCode>
                <c:ptCount val="9"/>
                <c:pt idx="0">
                  <c:v>7185</c:v>
                </c:pt>
                <c:pt idx="1">
                  <c:v>6740</c:v>
                </c:pt>
                <c:pt idx="2">
                  <c:v>7431.5</c:v>
                </c:pt>
                <c:pt idx="3">
                  <c:v>5672</c:v>
                </c:pt>
                <c:pt idx="4">
                  <c:v>7741.5</c:v>
                </c:pt>
                <c:pt idx="5">
                  <c:v>7315</c:v>
                </c:pt>
                <c:pt idx="6">
                  <c:v>6045</c:v>
                </c:pt>
                <c:pt idx="7">
                  <c:v>6659</c:v>
                </c:pt>
                <c:pt idx="8">
                  <c:v>6610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FCD-42E1-A3BC-83571E95F5A3}"/>
            </c:ext>
          </c:extLst>
        </c:ser>
        <c:ser>
          <c:idx val="2"/>
          <c:order val="2"/>
          <c:tx>
            <c:strRef>
              <c:f>Distribucion_horas!$B$10</c:f>
              <c:strCache>
                <c:ptCount val="1"/>
                <c:pt idx="0">
                  <c:v>PROPUESTA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Distribucion_horas!$C$7:$K$7</c:f>
              <c:strCache>
                <c:ptCount val="9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Setiembre</c:v>
                </c:pt>
              </c:strCache>
            </c:strRef>
          </c:cat>
          <c:val>
            <c:numRef>
              <c:f>Distribucion_horas!$C$10:$K$10</c:f>
              <c:numCache>
                <c:formatCode>0</c:formatCode>
                <c:ptCount val="9"/>
                <c:pt idx="0">
                  <c:v>50.5</c:v>
                </c:pt>
                <c:pt idx="1">
                  <c:v>28</c:v>
                </c:pt>
                <c:pt idx="2">
                  <c:v>29</c:v>
                </c:pt>
                <c:pt idx="3">
                  <c:v>63</c:v>
                </c:pt>
                <c:pt idx="4">
                  <c:v>239</c:v>
                </c:pt>
                <c:pt idx="5">
                  <c:v>209</c:v>
                </c:pt>
                <c:pt idx="6">
                  <c:v>100</c:v>
                </c:pt>
                <c:pt idx="7">
                  <c:v>140</c:v>
                </c:pt>
                <c:pt idx="8">
                  <c:v>180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FCD-42E1-A3BC-83571E95F5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313675264"/>
        <c:axId val="313674872"/>
      </c:barChart>
      <c:lineChart>
        <c:grouping val="standard"/>
        <c:varyColors val="0"/>
        <c:ser>
          <c:idx val="1"/>
          <c:order val="1"/>
          <c:tx>
            <c:strRef>
              <c:f>Distribucion_horas!$B$9</c:f>
              <c:strCache>
                <c:ptCount val="1"/>
                <c:pt idx="0">
                  <c:v>NO FACT.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Distribucion_horas!$C$7:$K$7</c:f>
              <c:strCache>
                <c:ptCount val="9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Setiembre</c:v>
                </c:pt>
              </c:strCache>
            </c:strRef>
          </c:cat>
          <c:val>
            <c:numRef>
              <c:f>Distribucion_horas!$C$9:$K$9</c:f>
              <c:numCache>
                <c:formatCode>0</c:formatCode>
                <c:ptCount val="9"/>
                <c:pt idx="0">
                  <c:v>310.5</c:v>
                </c:pt>
                <c:pt idx="1">
                  <c:v>430</c:v>
                </c:pt>
                <c:pt idx="2">
                  <c:v>715.5</c:v>
                </c:pt>
                <c:pt idx="3">
                  <c:v>585</c:v>
                </c:pt>
                <c:pt idx="4">
                  <c:v>128</c:v>
                </c:pt>
                <c:pt idx="5">
                  <c:v>136</c:v>
                </c:pt>
                <c:pt idx="6" formatCode="General">
                  <c:v>247</c:v>
                </c:pt>
                <c:pt idx="7" formatCode="General">
                  <c:v>181</c:v>
                </c:pt>
                <c:pt idx="8" formatCode="General">
                  <c:v>57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FCD-42E1-A3BC-83571E95F5A3}"/>
            </c:ext>
          </c:extLst>
        </c:ser>
        <c:ser>
          <c:idx val="3"/>
          <c:order val="3"/>
          <c:tx>
            <c:strRef>
              <c:f>Distribucion_horas!$B$11</c:f>
              <c:strCache>
                <c:ptCount val="1"/>
                <c:pt idx="0">
                  <c:v>VACACIONES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Distribucion_horas!$C$7:$K$7</c:f>
              <c:strCache>
                <c:ptCount val="9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Setiembre</c:v>
                </c:pt>
              </c:strCache>
            </c:strRef>
          </c:cat>
          <c:val>
            <c:numRef>
              <c:f>Distribucion_horas!$C$11:$K$11</c:f>
              <c:numCache>
                <c:formatCode>0</c:formatCode>
                <c:ptCount val="9"/>
                <c:pt idx="0">
                  <c:v>560</c:v>
                </c:pt>
                <c:pt idx="1">
                  <c:v>242</c:v>
                </c:pt>
                <c:pt idx="2">
                  <c:v>144</c:v>
                </c:pt>
                <c:pt idx="3">
                  <c:v>128</c:v>
                </c:pt>
                <c:pt idx="4">
                  <c:v>112</c:v>
                </c:pt>
                <c:pt idx="5">
                  <c:v>44</c:v>
                </c:pt>
                <c:pt idx="6">
                  <c:v>72</c:v>
                </c:pt>
                <c:pt idx="7">
                  <c:v>320</c:v>
                </c:pt>
                <c:pt idx="8">
                  <c:v>264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65-4DFA-9F8D-3DAAED4BED19}"/>
            </c:ext>
          </c:extLst>
        </c:ser>
        <c:ser>
          <c:idx val="4"/>
          <c:order val="4"/>
          <c:tx>
            <c:strRef>
              <c:f>Distribucion_horas!$B$12</c:f>
              <c:strCache>
                <c:ptCount val="1"/>
                <c:pt idx="0">
                  <c:v>INASISTENCIAS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Distribucion_horas!$C$7:$K$7</c:f>
              <c:strCache>
                <c:ptCount val="9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Setiembre</c:v>
                </c:pt>
              </c:strCache>
            </c:strRef>
          </c:cat>
          <c:val>
            <c:numRef>
              <c:f>Distribucion_horas!$C$12:$K$12</c:f>
              <c:numCache>
                <c:formatCode>0</c:formatCode>
                <c:ptCount val="9"/>
                <c:pt idx="0">
                  <c:v>72</c:v>
                </c:pt>
                <c:pt idx="1">
                  <c:v>8</c:v>
                </c:pt>
                <c:pt idx="2">
                  <c:v>40</c:v>
                </c:pt>
                <c:pt idx="3">
                  <c:v>72</c:v>
                </c:pt>
                <c:pt idx="4">
                  <c:v>78</c:v>
                </c:pt>
                <c:pt idx="5">
                  <c:v>112</c:v>
                </c:pt>
                <c:pt idx="6">
                  <c:v>64</c:v>
                </c:pt>
                <c:pt idx="7">
                  <c:v>52</c:v>
                </c:pt>
                <c:pt idx="8">
                  <c:v>40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65-4DFA-9F8D-3DAAED4BED19}"/>
            </c:ext>
          </c:extLst>
        </c:ser>
        <c:ser>
          <c:idx val="5"/>
          <c:order val="5"/>
          <c:tx>
            <c:strRef>
              <c:f>Distribucion_horas!$B$13</c:f>
              <c:strCache>
                <c:ptCount val="1"/>
                <c:pt idx="0">
                  <c:v>INASISTENCIAS JUSTIFICADAS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Distribucion_horas!$C$7:$K$7</c:f>
              <c:strCache>
                <c:ptCount val="9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Setiembre</c:v>
                </c:pt>
              </c:strCache>
            </c:strRef>
          </c:cat>
          <c:val>
            <c:numRef>
              <c:f>Distribucion_horas!$C$13:$K$13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96</c:v>
                </c:pt>
                <c:pt idx="8">
                  <c:v>16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Distribucion_horas!$B$14</c:f>
              <c:strCache>
                <c:ptCount val="1"/>
                <c:pt idx="0">
                  <c:v>GESTION DE PROYECTOS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Distribucion_horas!$C$7:$K$7</c:f>
              <c:strCache>
                <c:ptCount val="9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Setiembre</c:v>
                </c:pt>
              </c:strCache>
            </c:strRef>
          </c:cat>
          <c:val>
            <c:numRef>
              <c:f>Distribucion_horas!$C$14:$K$14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160</c:v>
                </c:pt>
                <c:pt idx="7">
                  <c:v>216</c:v>
                </c:pt>
                <c:pt idx="8">
                  <c:v>209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642856"/>
        <c:axId val="314642464"/>
      </c:lineChart>
      <c:valAx>
        <c:axId val="3136748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 sz="900" b="1">
                    <a:solidFill>
                      <a:schemeClr val="tx1"/>
                    </a:solidFill>
                  </a:rPr>
                  <a:t>HRS EJECUTADAS</a:t>
                </a:r>
                <a:r>
                  <a:rPr lang="es-PE" sz="900" b="1" baseline="0">
                    <a:solidFill>
                      <a:schemeClr val="tx1"/>
                    </a:solidFill>
                  </a:rPr>
                  <a:t> POR MES</a:t>
                </a:r>
                <a:endParaRPr lang="es-PE" sz="900" b="1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4.573023950019648E-2"/>
              <c:y val="0.239799739056528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13675264"/>
        <c:crosses val="max"/>
        <c:crossBetween val="between"/>
      </c:valAx>
      <c:catAx>
        <c:axId val="313675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13674872"/>
        <c:crosses val="autoZero"/>
        <c:auto val="1"/>
        <c:lblAlgn val="ctr"/>
        <c:lblOffset val="100"/>
        <c:noMultiLvlLbl val="0"/>
      </c:catAx>
      <c:valAx>
        <c:axId val="314642464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14642856"/>
        <c:crosses val="autoZero"/>
        <c:crossBetween val="between"/>
      </c:valAx>
      <c:catAx>
        <c:axId val="314642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14642464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75405</xdr:rowOff>
    </xdr:from>
    <xdr:to>
      <xdr:col>25</xdr:col>
      <xdr:colOff>480801</xdr:colOff>
      <xdr:row>32</xdr:row>
      <xdr:rowOff>188183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25</xdr:col>
      <xdr:colOff>590550</xdr:colOff>
      <xdr:row>0</xdr:row>
      <xdr:rowOff>183092</xdr:rowOff>
    </xdr:from>
    <xdr:to>
      <xdr:col>27</xdr:col>
      <xdr:colOff>846667</xdr:colOff>
      <xdr:row>8</xdr:row>
      <xdr:rowOff>31749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STADO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95633" y="183092"/>
              <a:ext cx="1907117" cy="13726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25</xdr:col>
      <xdr:colOff>632883</xdr:colOff>
      <xdr:row>8</xdr:row>
      <xdr:rowOff>130175</xdr:rowOff>
    </xdr:from>
    <xdr:to>
      <xdr:col>27</xdr:col>
      <xdr:colOff>810683</xdr:colOff>
      <xdr:row>21</xdr:row>
      <xdr:rowOff>177800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LIENTES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S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137966" y="16541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1</xdr:row>
      <xdr:rowOff>0</xdr:rowOff>
    </xdr:from>
    <xdr:to>
      <xdr:col>5</xdr:col>
      <xdr:colOff>66675</xdr:colOff>
      <xdr:row>2</xdr:row>
      <xdr:rowOff>85725</xdr:rowOff>
    </xdr:to>
    <xdr:sp macro="[0]!sumar_mes" textlink="">
      <xdr:nvSpPr>
        <xdr:cNvPr id="2" name="Rectángulo redondeado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1047750" y="152400"/>
          <a:ext cx="1076325" cy="238125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Total Hrs</a:t>
          </a:r>
          <a:r>
            <a:rPr lang="es-PE" sz="1100" b="1" baseline="0"/>
            <a:t>/Mes</a:t>
          </a:r>
          <a:endParaRPr lang="es-PE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484066</xdr:colOff>
      <xdr:row>17</xdr:row>
      <xdr:rowOff>44309</xdr:rowOff>
    </xdr:from>
    <xdr:to>
      <xdr:col>17</xdr:col>
      <xdr:colOff>44302</xdr:colOff>
      <xdr:row>40</xdr:row>
      <xdr:rowOff>11076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238124</xdr:colOff>
      <xdr:row>4</xdr:row>
      <xdr:rowOff>104775</xdr:rowOff>
    </xdr:from>
    <xdr:to>
      <xdr:col>13</xdr:col>
      <xdr:colOff>323849</xdr:colOff>
      <xdr:row>20</xdr:row>
      <xdr:rowOff>57150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RESPONSABLE 1">
              <a:extLst>
                <a:ext uri="{FF2B5EF4-FFF2-40B4-BE49-F238E27FC236}">
                  <a16:creationId xmlns:a16="http://schemas.microsoft.com/office/drawing/2014/main" xmlns="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SPONSABLE 1"/>
            </a:graphicData>
          </a:graphic>
        </xdr:graphicFrame>
      </mc:Choice>
      <mc:Fallback xmlns="">
        <xdr:sp macro="" textlink="">
          <xdr:nvSpPr>
            <xdr:cNvPr id="2" name="1 Rectángulo"/>
            <xdr:cNvSpPr>
              <a:spLocks noTextEdit="1"/>
            </xdr:cNvSpPr>
          </xdr:nvSpPr>
          <xdr:spPr>
            <a:xfrm>
              <a:off x="11639549" y="866775"/>
              <a:ext cx="2371725" cy="3000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10</xdr:col>
      <xdr:colOff>238124</xdr:colOff>
      <xdr:row>20</xdr:row>
      <xdr:rowOff>161925</xdr:rowOff>
    </xdr:from>
    <xdr:to>
      <xdr:col>13</xdr:col>
      <xdr:colOff>323849</xdr:colOff>
      <xdr:row>33</xdr:row>
      <xdr:rowOff>133350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CLIENTES 1">
              <a:extLst>
                <a:ext uri="{FF2B5EF4-FFF2-40B4-BE49-F238E27FC236}">
                  <a16:creationId xmlns:a16="http://schemas.microsoft.com/office/drawing/2014/main" xmlns="" id="{00000000-0008-0000-03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S 1"/>
            </a:graphicData>
          </a:graphic>
        </xdr:graphicFrame>
      </mc:Choice>
      <mc:Fallback xmlns="">
        <xdr:sp macro="" textlink="">
          <xdr:nvSpPr>
            <xdr:cNvPr id="3" name="2 Rectángulo"/>
            <xdr:cNvSpPr>
              <a:spLocks noTextEdit="1"/>
            </xdr:cNvSpPr>
          </xdr:nvSpPr>
          <xdr:spPr>
            <a:xfrm>
              <a:off x="11639549" y="3971925"/>
              <a:ext cx="2371725" cy="2447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1280584</xdr:colOff>
      <xdr:row>0</xdr:row>
      <xdr:rowOff>31751</xdr:rowOff>
    </xdr:from>
    <xdr:to>
      <xdr:col>3</xdr:col>
      <xdr:colOff>814918</xdr:colOff>
      <xdr:row>14</xdr:row>
      <xdr:rowOff>84667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RESPONSABLE">
              <a:extLst>
                <a:ext uri="{FF2B5EF4-FFF2-40B4-BE49-F238E27FC236}">
                  <a16:creationId xmlns:a16="http://schemas.microsoft.com/office/drawing/2014/main" xmlns="" id="{00000000-0008-0000-0500-000003000000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SPONSABL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96584" y="31751"/>
              <a:ext cx="3439584" cy="224366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74083</xdr:colOff>
      <xdr:row>0</xdr:row>
      <xdr:rowOff>48683</xdr:rowOff>
    </xdr:from>
    <xdr:to>
      <xdr:col>1</xdr:col>
      <xdr:colOff>1164167</xdr:colOff>
      <xdr:row>5</xdr:row>
      <xdr:rowOff>148166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STADO">
              <a:extLst>
                <a:ext uri="{FF2B5EF4-FFF2-40B4-BE49-F238E27FC236}">
                  <a16:creationId xmlns:a16="http://schemas.microsoft.com/office/drawing/2014/main" xmlns="" id="{00000000-0008-0000-0500-000002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083" y="48683"/>
              <a:ext cx="2106084" cy="9567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180975</xdr:colOff>
      <xdr:row>0</xdr:row>
      <xdr:rowOff>28575</xdr:rowOff>
    </xdr:from>
    <xdr:to>
      <xdr:col>12</xdr:col>
      <xdr:colOff>190500</xdr:colOff>
      <xdr:row>12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Clientes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s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049125" y="285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171450</xdr:colOff>
      <xdr:row>14</xdr:row>
      <xdr:rowOff>133350</xdr:rowOff>
    </xdr:from>
    <xdr:to>
      <xdr:col>13</xdr:col>
      <xdr:colOff>466726</xdr:colOff>
      <xdr:row>34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RESPONSABLE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SPONSABL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039600" y="3009900"/>
              <a:ext cx="2714626" cy="3676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66676</xdr:rowOff>
    </xdr:from>
    <xdr:to>
      <xdr:col>1</xdr:col>
      <xdr:colOff>1809750</xdr:colOff>
      <xdr:row>7</xdr:row>
      <xdr:rowOff>84667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EST. PROYECTO">
              <a:extLst>
                <a:ext uri="{FF2B5EF4-FFF2-40B4-BE49-F238E27FC236}">
                  <a16:creationId xmlns:a16="http://schemas.microsoft.com/office/drawing/2014/main" xmlns="" id="{00000000-0008-0000-06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. PROYE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5833" y="66676"/>
              <a:ext cx="2571749" cy="184890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2</xdr:col>
      <xdr:colOff>144989</xdr:colOff>
      <xdr:row>0</xdr:row>
      <xdr:rowOff>101600</xdr:rowOff>
    </xdr:from>
    <xdr:to>
      <xdr:col>6</xdr:col>
      <xdr:colOff>328082</xdr:colOff>
      <xdr:row>11</xdr:row>
      <xdr:rowOff>105832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LIENTES">
              <a:extLst>
                <a:ext uri="{FF2B5EF4-FFF2-40B4-BE49-F238E27FC236}">
                  <a16:creationId xmlns:a16="http://schemas.microsoft.com/office/drawing/2014/main" xmlns="" id="{00000000-0008-0000-0600-000003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13489" y="101600"/>
              <a:ext cx="3231093" cy="184573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154515</xdr:colOff>
      <xdr:row>0</xdr:row>
      <xdr:rowOff>80434</xdr:rowOff>
    </xdr:from>
    <xdr:to>
      <xdr:col>15</xdr:col>
      <xdr:colOff>21167</xdr:colOff>
      <xdr:row>11</xdr:row>
      <xdr:rowOff>74083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ESCRIPCION">
              <a:extLst>
                <a:ext uri="{FF2B5EF4-FFF2-40B4-BE49-F238E27FC236}">
                  <a16:creationId xmlns:a16="http://schemas.microsoft.com/office/drawing/2014/main" xmlns="" id="{00000000-0008-0000-0600-000004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57015" y="80434"/>
              <a:ext cx="4650319" cy="18351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116414</xdr:colOff>
      <xdr:row>7</xdr:row>
      <xdr:rowOff>92075</xdr:rowOff>
    </xdr:from>
    <xdr:to>
      <xdr:col>18</xdr:col>
      <xdr:colOff>751417</xdr:colOff>
      <xdr:row>11</xdr:row>
      <xdr:rowOff>127000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OBSERVACIONES">
              <a:extLst>
                <a:ext uri="{FF2B5EF4-FFF2-40B4-BE49-F238E27FC236}">
                  <a16:creationId xmlns:a16="http://schemas.microsoft.com/office/drawing/2014/main" xmlns="" id="{00000000-0008-0000-06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BSERVACION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02581" y="1298575"/>
              <a:ext cx="2899836" cy="669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423334</xdr:colOff>
      <xdr:row>0</xdr:row>
      <xdr:rowOff>95249</xdr:rowOff>
    </xdr:from>
    <xdr:to>
      <xdr:col>9</xdr:col>
      <xdr:colOff>95250</xdr:colOff>
      <xdr:row>11</xdr:row>
      <xdr:rowOff>116416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PROYECTO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YECT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39834" y="95249"/>
              <a:ext cx="1957916" cy="186266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161925</xdr:colOff>
      <xdr:row>0</xdr:row>
      <xdr:rowOff>114300</xdr:rowOff>
    </xdr:from>
    <xdr:to>
      <xdr:col>16</xdr:col>
      <xdr:colOff>428625</xdr:colOff>
      <xdr:row>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STADO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268700" y="114300"/>
              <a:ext cx="1790700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guel.Chavez/Desktop/Control%20de%20Proyectos/Lista%20de%20Proyec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sourcing"/>
      <sheetName val="Proyectos"/>
      <sheetName val="P0001"/>
      <sheetName val="P0002"/>
      <sheetName val="P0003"/>
      <sheetName val="P0005"/>
      <sheetName val="P0006"/>
      <sheetName val="P0007"/>
      <sheetName val="P0008"/>
      <sheetName val="P0009"/>
      <sheetName val="P0010"/>
      <sheetName val="P0011"/>
      <sheetName val="P0012"/>
      <sheetName val="P0013"/>
      <sheetName val="P0015"/>
      <sheetName val="P0019"/>
      <sheetName val="P0022"/>
      <sheetName val="P0023"/>
      <sheetName val="P0024"/>
      <sheetName val="P0020"/>
      <sheetName val="P0021"/>
      <sheetName val="Detalle"/>
      <sheetName val="Format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>
        <row r="12">
          <cell r="C12" t="str">
            <v xml:space="preserve"> 8 Aplicaciones Móviles Universidades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guel Chavez" refreshedDate="42948.477304745371" createdVersion="5" refreshedVersion="5" minRefreshableVersion="3" recordCount="148">
  <cacheSource type="worksheet">
    <worksheetSource ref="C7:J242" sheet="tareo"/>
  </cacheSource>
  <cacheFields count="8">
    <cacheField name="RESPONSABLE" numFmtId="17">
      <sharedItems count="62">
        <s v="Hernani Lau Patricia Rosa"/>
        <s v="Benito Bendezú Marco Antonio"/>
        <s v="Padilla Vega Cindy"/>
        <s v="P.Victor"/>
        <s v="Z.Jose"/>
        <s v="T.Jesus"/>
        <s v="C.Rafael"/>
        <s v="Alvarez Vera Daniel"/>
        <s v="Chavez Miguel Angel"/>
        <s v="Huaman Ramos Moises"/>
        <s v="Girano Corbera Cristian"/>
        <s v="Velasquez Quispe Lizbet"/>
        <s v="Torres Gonzales Rogger Adrian"/>
        <s v="Cordova Lozano Renzo Abbel"/>
        <s v="Chura Ingalla Percy"/>
        <s v="Fernandez Esquen Miguel Angel"/>
        <s v="Garay Vilchez Mario Martin"/>
        <s v="Laurencio Ambrosio Luis"/>
        <s v="Arrascue Acosta Leslye Jacslyn"/>
        <s v="Ayala Chira Juan Carlos "/>
        <s v="Guzman Arteaga Joseph Michael"/>
        <s v="Chuquisana Mendoza Jhonatan"/>
        <s v="Meneses Sanchez Jesus"/>
        <s v="Olarte Leon Jeff"/>
        <s v="Giovanni Agustin Rivera Carrasco"/>
        <s v="Freddy Peralta Boza"/>
        <s v="Palomino Lanchipa"/>
        <s v="Mendoza Ballona Erick"/>
        <s v="Atanacio Gonzales Demetrio Jesus"/>
        <s v="De la Cruz Hurtado Dany"/>
        <s v="Becerra Robles Daniel"/>
        <s v="Calderon Vilchez, Renzo Pablo"/>
        <s v="Aricochea Marcelo Anthony"/>
        <s v="Perez Cristobal Cristobal "/>
        <s v="Escobedo Martinez Angel"/>
        <s v="Lopez Borja Amadeo Felix"/>
        <s v="Zenteno Espinoza Alex"/>
        <s v="Arce Miguel Aljeandro"/>
        <s v="Gallegos Flores Pool Jhonatan"/>
        <s v="Torres Brousset Pacheco, Gutenberg Alexis"/>
        <s v="Salazar Rojas Javier Fernando"/>
        <s v="M.Olga"/>
        <s v="Alejos Yamamoto Arturo Ricardo"/>
        <s v="Huanes Bautista César"/>
        <s v="Empresa tercerizada"/>
        <s v="Pérez Montemayor Jose Javier"/>
        <s v="Pizarro Saldaña Jorge Gabriel"/>
        <s v="Revilla Casalino Pablo"/>
        <s v="C.Manuel"/>
        <s v="Chamorro Rojas Pierre Nestor"/>
        <s v="Garcia Gutierrez Alan David"/>
        <s v="Villanueva Melgarejo Andres Angel"/>
        <s v="Fernandez Sanchez Walter Jose"/>
        <s v="Capactinta Bonifacio Luis Reynaldo"/>
        <s v="Barbaran Broncales Emanuel"/>
        <s v="Galvez Aguilar Arturo Jesus"/>
        <s v="Gonzales Scarlen"/>
        <s v="Uceda Cristian"/>
        <s v="Salinas Vasquez Juan Rafael"/>
        <s v="Sotelo Hugo"/>
        <s v="Cespedes Levano Edwin Israel"/>
        <s v="Somoza Francisco Javier"/>
      </sharedItems>
    </cacheField>
    <cacheField name="ESTADO" numFmtId="17">
      <sharedItems count="2">
        <s v="VIGENTE"/>
        <s v="CESADO"/>
      </sharedItems>
    </cacheField>
    <cacheField name="CLIENTES" numFmtId="0">
      <sharedItems/>
    </cacheField>
    <cacheField name="EST. PROYECTO" numFmtId="17">
      <sharedItems containsBlank="1"/>
    </cacheField>
    <cacheField name="OBSERVACIONES" numFmtId="17">
      <sharedItems containsBlank="1"/>
    </cacheField>
    <cacheField name="PROYECTOS" numFmtId="0">
      <sharedItems/>
    </cacheField>
    <cacheField name="DESCRIPCION" numFmtId="0">
      <sharedItems/>
    </cacheField>
    <cacheField name="RESPONSABLE2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iguel Chavez" refreshedDate="42949.493008217592" createdVersion="5" refreshedVersion="5" minRefreshableVersion="3" recordCount="148">
  <cacheSource type="worksheet">
    <worksheetSource ref="C7:AS242" sheet="tareo"/>
  </cacheSource>
  <cacheFields count="43">
    <cacheField name="RESPONSABLE" numFmtId="17">
      <sharedItems count="62">
        <s v="Hernani Lau Patricia Rosa"/>
        <s v="Benito Bendezú Marco Antonio"/>
        <s v="Padilla Vega Cindy"/>
        <s v="P.Victor"/>
        <s v="Z.Jose"/>
        <s v="T.Jesus"/>
        <s v="C.Rafael"/>
        <s v="Alvarez Vera Daniel"/>
        <s v="Chavez Miguel Angel"/>
        <s v="Huaman Ramos Moises"/>
        <s v="Girano Corbera Cristian"/>
        <s v="Velasquez Quispe Lizbet"/>
        <s v="Torres Gonzales Rogger Adrian"/>
        <s v="Cordova Lozano Renzo Abbel"/>
        <s v="Chura Ingalla Percy"/>
        <s v="Fernandez Esquen Miguel Angel"/>
        <s v="Garay Vilchez Mario Martin"/>
        <s v="Laurencio Ambrosio Luis"/>
        <s v="Arrascue Acosta Leslye Jacslyn"/>
        <s v="Ayala Chira Juan Carlos "/>
        <s v="Guzman Arteaga Joseph Michael"/>
        <s v="Chuquisana Mendoza Jhonatan"/>
        <s v="Meneses Sanchez Jesus"/>
        <s v="Olarte Leon Jeff"/>
        <s v="Giovanni Agustin Rivera Carrasco"/>
        <s v="Freddy Peralta Boza"/>
        <s v="Palomino Lanchipa"/>
        <s v="Mendoza Ballona Erick"/>
        <s v="Atanacio Gonzales Demetrio Jesus"/>
        <s v="De la Cruz Hurtado Dany"/>
        <s v="Becerra Robles Daniel"/>
        <s v="Calderon Vilchez, Renzo Pablo"/>
        <s v="Aricochea Marcelo Anthony"/>
        <s v="Perez Cristobal Cristobal "/>
        <s v="Escobedo Martinez Angel"/>
        <s v="Lopez Borja Amadeo Felix"/>
        <s v="Zenteno Espinoza Alex"/>
        <s v="Arce Miguel Aljeandro"/>
        <s v="Gallegos Flores Pool Jhonatan"/>
        <s v="Torres Brousset Pacheco, Gutenberg Alexis"/>
        <s v="Salazar Rojas Javier Fernando"/>
        <s v="M.Olga"/>
        <s v="Alejos Yamamoto Arturo Ricardo"/>
        <s v="Huanes Bautista César"/>
        <s v="Empresa tercerizada"/>
        <s v="Pérez Montemayor Jose Javier"/>
        <s v="Pizarro Saldaña Jorge Gabriel"/>
        <s v="Revilla Casalino Pablo"/>
        <s v="C.Manuel"/>
        <s v="Chamorro Rojas Pierre Nestor"/>
        <s v="Garcia Gutierrez Alan David"/>
        <s v="Villanueva Melgarejo Andres Angel"/>
        <s v="Fernandez Sanchez Walter Jose"/>
        <s v="Capactinta Bonifacio Luis Reynaldo"/>
        <s v="Barbaran Broncales Emanuel"/>
        <s v="Galvez Aguilar Arturo Jesus"/>
        <s v="Gonzales Scarlen"/>
        <s v="Uceda Cristian"/>
        <s v="Salinas Vasquez Juan Rafael"/>
        <s v="Sotelo Hugo"/>
        <s v="Cespedes Levano Edwin Israel"/>
        <s v="Somoza Francisco Javier"/>
      </sharedItems>
    </cacheField>
    <cacheField name="ESTADO" numFmtId="17">
      <sharedItems count="2">
        <s v="VIGENTE"/>
        <s v="CESADO"/>
      </sharedItems>
    </cacheField>
    <cacheField name="CLIENTES" numFmtId="0">
      <sharedItems count="21">
        <s v="CRECER"/>
        <s v="CARDIF"/>
        <s v="LA POSITIVA"/>
        <s v="ABB"/>
        <s v="NO FACT."/>
        <s v="VACACIONES"/>
        <s v="PROPUESTA"/>
        <s v="INASISTENCIAS"/>
        <s v="COSMOS"/>
        <s v="PROTECTA"/>
        <s v="SUSALUD"/>
        <s v="CLARIANT"/>
        <s v="MOLY-COP"/>
        <s v="UPC"/>
        <s v="AMERICATEL"/>
        <s v="HYTERA"/>
        <s v="CALIDDA"/>
        <s v="CAJA AREQ."/>
        <s v="AMERICA TV"/>
        <s v="PALABRITAS"/>
        <s v="EDUCA_D"/>
      </sharedItems>
    </cacheField>
    <cacheField name="EST. PROYECTO" numFmtId="17">
      <sharedItems containsBlank="1" count="4">
        <s v="ABIERTO"/>
        <s v="PROCESO"/>
        <m/>
        <s v="CERRADO"/>
      </sharedItems>
    </cacheField>
    <cacheField name="OBSERVACIONES" numFmtId="17">
      <sharedItems containsBlank="1" count="2">
        <m/>
        <s v="OBSERVACIONES"/>
      </sharedItems>
    </cacheField>
    <cacheField name="PROYECTOS" numFmtId="0">
      <sharedItems count="33">
        <s v="P0001"/>
        <s v="P0013"/>
        <s v="MP004"/>
        <s v="P0020"/>
        <s v="NO FACT."/>
        <s v="VACACIONES"/>
        <s v="PROPUESTA"/>
        <s v="INASISTENCIAS"/>
        <s v="P0005"/>
        <s v="P0026"/>
        <s v="P0008"/>
        <s v="MP002"/>
        <s v="MP003"/>
        <s v="MP005-1"/>
        <s v="P0010"/>
        <s v="P0025"/>
        <s v="MP001"/>
        <s v="P0011"/>
        <s v="P0012"/>
        <s v="P0002"/>
        <s v="P0007"/>
        <s v="P0006"/>
        <s v="P0003"/>
        <s v="P0024"/>
        <s v="P0019"/>
        <s v="P0014"/>
        <s v="P0018"/>
        <s v="P0009"/>
        <s v="P0023"/>
        <s v="P0015"/>
        <s v="P0022"/>
        <s v="P0027"/>
        <s v="MP005-2" u="1"/>
      </sharedItems>
    </cacheField>
    <cacheField name="DESCRIPCION" numFmtId="0">
      <sharedItems count="33">
        <s v="Evaluacion Sistema Integrado de Polizas - SDP"/>
        <s v="Reportes SBS"/>
        <s v="Software Factory"/>
        <s v="Fabrica de Software"/>
        <s v="No facturable"/>
        <s v="Vacaciones"/>
        <s v="Propuesta"/>
        <s v="Inasistencias"/>
        <s v="Implementación del Sistema de Certificados de Retenciones"/>
        <s v="Implementación de Extractores de Gestión TABELAU "/>
        <s v="Aplicativo para la consulta de expedientes de SAREFIS y SADERECHOS con DNI electrónico"/>
        <s v="Soporte Tecnico"/>
        <s v="Fabrica de Proyectos"/>
        <s v="Soporte de Analista de Calidad"/>
        <s v="Implementación de Indicadores de Gestión TABELAU "/>
        <s v="Analista Programador Java Python"/>
        <s v="outsourcing  de configuración de productos BBVA"/>
        <s v="Configuración de productos PIMS"/>
        <s v="Implementación del Módulo Básico de Interconexión Radios - Tetra Server - BD PNP"/>
        <s v="Up Grade Web de Licitaciones Calidda"/>
        <s v="Implementación y despliegue de Pagos Masivos para Caja Arequipa"/>
        <s v="Implementación de los Módulos para la interconexión de los Radios - Tetra Server - BD PNP"/>
        <s v="Totem Digital"/>
        <s v="Servicios de soporte de segundo nivel sobre Linux en Cloud Softlayer_x000a_"/>
        <s v="Fabrica de Software 1° Etapa"/>
        <s v="Palabritas"/>
        <s v="Aplicativo SUSALUD contigo IOS"/>
        <s v=" 8 Aplicaciones Móviles Universidades"/>
        <s v="Mejoras funcionales SOAT Operaciones y RQ de automatización cierre contable"/>
        <s v="Adecuacion SISWEP-Cargas Masivas"/>
        <s v="Implementacion del Sistema BackOffice SOAT"/>
        <s v="Fábrica de software" u="1"/>
        <s v="Fabrica softwre" u="1"/>
      </sharedItems>
    </cacheField>
    <cacheField name="RESPONSABLE2" numFmtId="0">
      <sharedItems/>
    </cacheField>
    <cacheField name="Enero  02 - 06" numFmtId="0">
      <sharedItems containsSemiMixedTypes="0" containsString="0" containsNumber="1" minValue="0" maxValue="52" count="16">
        <n v="10"/>
        <n v="0"/>
        <n v="30"/>
        <n v="28"/>
        <n v="40"/>
        <n v="8"/>
        <n v="16"/>
        <n v="32"/>
        <n v="41"/>
        <n v="49"/>
        <n v="24"/>
        <n v="42"/>
        <n v="43.5"/>
        <n v="52"/>
        <n v="6"/>
        <n v="12"/>
      </sharedItems>
    </cacheField>
    <cacheField name="Enero  09 - 13" numFmtId="0">
      <sharedItems containsSemiMixedTypes="0" containsString="0" containsNumber="1" minValue="0" maxValue="42.5"/>
    </cacheField>
    <cacheField name="Enero  16 - 20" numFmtId="0">
      <sharedItems containsSemiMixedTypes="0" containsString="0" containsNumber="1" minValue="0" maxValue="50"/>
    </cacheField>
    <cacheField name="Enero  23 - 27" numFmtId="0">
      <sharedItems containsSemiMixedTypes="0" containsString="0" containsNumber="1" minValue="0" maxValue="50"/>
    </cacheField>
    <cacheField name="Enero  30 - 31" numFmtId="0">
      <sharedItems containsSemiMixedTypes="0" containsString="0" containsNumber="1" minValue="0" maxValue="20"/>
    </cacheField>
    <cacheField name="Febrero  01 - 03" numFmtId="0">
      <sharedItems containsSemiMixedTypes="0" containsString="0" containsNumber="1" containsInteger="1" minValue="0" maxValue="30"/>
    </cacheField>
    <cacheField name="Febrero  06 - 10" numFmtId="0">
      <sharedItems containsSemiMixedTypes="0" containsString="0" containsNumber="1" containsInteger="1" minValue="0" maxValue="44"/>
    </cacheField>
    <cacheField name="Febrero  13 - 17" numFmtId="0">
      <sharedItems containsSemiMixedTypes="0" containsString="0" containsNumber="1" containsInteger="1" minValue="0" maxValue="68"/>
    </cacheField>
    <cacheField name="Febrero  20 - 24" numFmtId="0">
      <sharedItems containsSemiMixedTypes="0" containsString="0" containsNumber="1" minValue="0" maxValue="76"/>
    </cacheField>
    <cacheField name="Febrero  27 - 28" numFmtId="0">
      <sharedItems containsSemiMixedTypes="0" containsString="0" containsNumber="1" containsInteger="1" minValue="0" maxValue="18"/>
    </cacheField>
    <cacheField name="Marzo  01 - 03" numFmtId="0">
      <sharedItems containsSemiMixedTypes="0" containsString="0" containsNumber="1" minValue="0" maxValue="34"/>
    </cacheField>
    <cacheField name="Marzo  06 - 10" numFmtId="0">
      <sharedItems containsSemiMixedTypes="0" containsString="0" containsNumber="1" containsInteger="1" minValue="0" maxValue="42"/>
    </cacheField>
    <cacheField name="Marzo  13 - 17" numFmtId="0">
      <sharedItems containsSemiMixedTypes="0" containsString="0" containsNumber="1" containsInteger="1" minValue="0" maxValue="51"/>
    </cacheField>
    <cacheField name="Marzo  20 - 24" numFmtId="0">
      <sharedItems containsSemiMixedTypes="0" containsString="0" containsNumber="1" containsInteger="1" minValue="0" maxValue="51"/>
    </cacheField>
    <cacheField name="Marzo  27 - 31" numFmtId="0">
      <sharedItems containsSemiMixedTypes="0" containsString="0" containsNumber="1" containsInteger="1" minValue="0" maxValue="50"/>
    </cacheField>
    <cacheField name="Abril  03 - 07" numFmtId="0">
      <sharedItems containsSemiMixedTypes="0" containsString="0" containsNumber="1" minValue="0" maxValue="52"/>
    </cacheField>
    <cacheField name="Abril  10 - 12" numFmtId="0">
      <sharedItems containsSemiMixedTypes="0" containsString="0" containsNumber="1" containsInteger="1" minValue="0" maxValue="26"/>
    </cacheField>
    <cacheField name="Abril  17 - 21" numFmtId="0">
      <sharedItems containsSemiMixedTypes="0" containsString="0" containsNumber="1" containsInteger="1" minValue="0" maxValue="44"/>
    </cacheField>
    <cacheField name="Abril  24 - 28" numFmtId="0">
      <sharedItems containsSemiMixedTypes="0" containsString="0" containsNumber="1" containsInteger="1" minValue="0" maxValue="60"/>
    </cacheField>
    <cacheField name="Mayo  02 - 05" numFmtId="0">
      <sharedItems containsSemiMixedTypes="0" containsString="0" containsNumber="1" containsInteger="1" minValue="0" maxValue="56"/>
    </cacheField>
    <cacheField name="Mayo  08 - 12" numFmtId="0">
      <sharedItems containsSemiMixedTypes="0" containsString="0" containsNumber="1" containsInteger="1" minValue="0" maxValue="40"/>
    </cacheField>
    <cacheField name="Mayo  15 - 19" numFmtId="0">
      <sharedItems containsSemiMixedTypes="0" containsString="0" containsNumber="1" minValue="0" maxValue="47.5"/>
    </cacheField>
    <cacheField name="Mayo  22 - 26" numFmtId="0">
      <sharedItems containsSemiMixedTypes="0" containsString="0" containsNumber="1" minValue="0" maxValue="47.5"/>
    </cacheField>
    <cacheField name="Mayo  29 - 31" numFmtId="0">
      <sharedItems containsSemiMixedTypes="0" containsString="0" containsNumber="1" containsInteger="1" minValue="0" maxValue="24"/>
    </cacheField>
    <cacheField name="Junio  01-02" numFmtId="0">
      <sharedItems containsSemiMixedTypes="0" containsString="0" containsNumber="1" containsInteger="1" minValue="0" maxValue="16"/>
    </cacheField>
    <cacheField name="Junio  05-09" numFmtId="0">
      <sharedItems containsSemiMixedTypes="0" containsString="0" containsNumber="1" containsInteger="1" minValue="0" maxValue="40"/>
    </cacheField>
    <cacheField name="Junio  12-16" numFmtId="0">
      <sharedItems containsSemiMixedTypes="0" containsString="0" containsNumber="1" containsInteger="1" minValue="0" maxValue="40"/>
    </cacheField>
    <cacheField name="Junio  19-23" numFmtId="0">
      <sharedItems containsSemiMixedTypes="0" containsString="0" containsNumber="1" containsInteger="1" minValue="0" maxValue="40"/>
    </cacheField>
    <cacheField name="Junio  26-30" numFmtId="0">
      <sharedItems containsSemiMixedTypes="0" containsString="0" containsNumber="1" containsInteger="1" minValue="0" maxValue="56"/>
    </cacheField>
    <cacheField name="Julio  03-07" numFmtId="0">
      <sharedItems containsSemiMixedTypes="0" containsString="0" containsNumber="1" containsInteger="1" minValue="0" maxValue="40"/>
    </cacheField>
    <cacheField name="Julio  10-14" numFmtId="0">
      <sharedItems containsSemiMixedTypes="0" containsString="0" containsNumber="1" containsInteger="1" minValue="0" maxValue="40"/>
    </cacheField>
    <cacheField name="Julio  17-21" numFmtId="0">
      <sharedItems containsSemiMixedTypes="0" containsString="0" containsNumber="1" minValue="0" maxValue="50"/>
    </cacheField>
    <cacheField name="Julio  24-28" numFmtId="0">
      <sharedItems containsString="0" containsBlank="1" containsNumber="1" containsInteger="1" minValue="0" maxValue="40"/>
    </cacheField>
    <cacheField name="Julio  24-282" numFmtId="0">
      <sharedItems containsSemiMixedTypes="0" containsString="0" containsNumber="1" containsInteger="1" minValue="0" maxValue="0"/>
    </cacheField>
    <cacheField name="Julio  31-" numFmtId="0">
      <sharedItems containsSemiMixedTypes="0" containsString="0" containsNumber="1" containsInteger="1" minValue="0" maxValue="8"/>
    </cacheField>
  </cacheFields>
  <extLst>
    <ext xmlns:x14="http://schemas.microsoft.com/office/spreadsheetml/2009/9/main" uri="{725AE2AE-9491-48be-B2B4-4EB974FC3084}">
      <x14:pivotCacheDefinition pivotCacheId="8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Jean Cespedes" refreshedDate="42961.625738425922" createdVersion="5" refreshedVersion="5" minRefreshableVersion="3" recordCount="195">
  <cacheSource type="worksheet">
    <worksheetSource ref="B2:AO194" sheet="BackCosto"/>
  </cacheSource>
  <cacheFields count="41">
    <cacheField name="RESPONSABLE" numFmtId="0">
      <sharedItems count="65">
        <s v="Alejos Yamamoto Arturo Ricardo"/>
        <s v="Alvarez Vera Daniel"/>
        <s v="Arce Portocarrero Alejandro Miguel"/>
        <s v="Aricochea Marcelo Anthony Dante"/>
        <s v="Arrascue Acosta Leslye"/>
        <s v="Atanacio Gonzales Demetrio Jesus"/>
        <s v="Ayala chira Juan Carlos"/>
        <s v="Barbaran Broncales Emanuel"/>
        <s v="Becerra Robles Daniel"/>
        <s v="Benito Bendezú Marco Antonio"/>
        <s v="Calderon Vilchez Renzo Pablo"/>
        <s v="Capactinta Bonifacio Luis Reynaldo"/>
        <s v="Carrillo Roque Rafael"/>
        <s v="Cespedes Levano Edwin Israel"/>
        <s v="Cespedes Pasion Jean Franco"/>
        <s v="Chamorro Rojas Pierre Nestor"/>
        <s v="Chavez Guillen Miguel Angel"/>
        <s v="Chuquisana Mendoza Jhonatan Alexander"/>
        <s v="Chura Ingalla Percy William"/>
        <s v="Cordova Lozano Renzo Abel"/>
        <s v="Cruzado Canal Manuel Enrique"/>
        <s v="De la Cruz Hurtado Dany"/>
        <s v="Empresa tercerizada"/>
        <s v="Escobedo Martinez Angel"/>
        <s v="Fernandez Esquen Miguel Angel"/>
        <s v="Fernandez Sanchez Walter Jose"/>
        <s v="Gallegos Flores Pool Jhonatan"/>
        <s v="Galvez Aguilar Arturo Jesus"/>
        <s v="Garay Vilchez Mario Martin"/>
        <s v="Garcia Gutierrez Alan David"/>
        <s v="Girano Corbera Cristiam Alberto"/>
        <s v="Gonzales Chunga Scarlen Odalis"/>
        <s v="Guzman Arteaga Joseph"/>
        <s v="Hernani Lau Patricia Rosa"/>
        <s v="Huaman Ramos Moises"/>
        <s v="Huanes Bautista Cesar Alfredo"/>
        <s v="Laurencio Ambrosio Luis"/>
        <s v="Lopez Borja Amadeo Felix"/>
        <s v="Marin Soriano Olga Beatriz"/>
        <s v="Mendoza Ballona Erick Wilfredo"/>
        <s v="Meneses Sanchez Jesus Daniel"/>
        <s v="Olarte Leon Jeff"/>
        <s v="Padilla Vega Cindy Victoria"/>
        <s v="Palomino Ferroa Victor Isaias"/>
        <s v="Palomino Lanchipa Everth Roman"/>
        <s v="Peralta Boza Julio Freddy"/>
        <s v="Pérez Cristobal Angel Marcel "/>
        <s v="Pérez Montemayor Jose Javier"/>
        <s v="Pizarro Saldaña Jorge Gabriel"/>
        <s v="Revilla Casalino Pablo"/>
        <s v="Rivera Carrasco Giovanni "/>
        <s v="Salazar Rojas Javier Fernando"/>
        <s v="Salinas Vasquez Juan Rafael"/>
        <s v="Somoza Francisco Javier"/>
        <s v="Sotelo Marcos Victor Hugo"/>
        <s v="Taipe Aylas Ronald David"/>
        <s v="Tarazona Falcon Jesus "/>
        <s v="Torres Brousset Pacheco, Gutenberg Alexis"/>
        <s v="Torres Gonzales Rogger Adrian"/>
        <s v="Trujillo Mochcco Alex"/>
        <s v="Uceda Rentería Cristhian Daniel"/>
        <s v="Velasquez Quispe Lizbet Nataly"/>
        <s v="Villanueva Melgarejo Andres Angel"/>
        <s v="Zenteno Espinoza Alex"/>
        <s v="Zuñiga Santillan Jose Eduardo"/>
      </sharedItems>
    </cacheField>
    <cacheField name="PROYECTO" numFmtId="0">
      <sharedItems/>
    </cacheField>
    <cacheField name="Clientes" numFmtId="0">
      <sharedItems count="21">
        <s v="CALIDDA"/>
        <s v="SUSALUD"/>
        <s v="CAJA AREQ."/>
        <s v="HYTERA"/>
        <s v="ABB"/>
        <s v="AMERICA TV"/>
        <s v="PROPUESTA"/>
        <s v="INASISTENCIAS"/>
        <s v="NO FACT."/>
        <s v="LA POSITIVA"/>
        <s v="VACACIONES"/>
        <s v="CARDIF"/>
        <s v="AMERICATEL"/>
        <s v="COSMOS"/>
        <s v="PROTECTA"/>
        <s v="CLARIANT"/>
        <s v="MOLY-COP"/>
        <s v="UPC"/>
        <s v="PALABRITAS"/>
        <s v="EDUCA_D"/>
        <s v="CRECER"/>
      </sharedItems>
    </cacheField>
    <cacheField name="x" numFmtId="0">
      <sharedItems count="40">
        <s v="P0007-Up Grade Web de Licitaciones Calidda"/>
        <s v="P0008-Aplicativo para la consulta de expedientes de SAREFIS y SADERECHOS con DNI electrónico"/>
        <s v="P0006-Implementación y despliegue de Pagos Masivos para Caja Arequipa"/>
        <s v="P0002-Implementación del Módulo Básico de Interconexión Radios - Tetra Server - BD PNP"/>
        <s v="P0003-Implementación de los Módulos para la interconexión de los Radios - Tetra Server - BD PNP"/>
        <s v="P0024-Totem Digital"/>
        <s v="P0020-Fabrica de Software"/>
        <s v="P0019-Servicios de soporte de segundo nivel sobre Linux en Cloud Softlayer_x000a_"/>
        <s v="PROPUESTA-Propuesta"/>
        <s v="INASISTENCIAS-Inasistencias"/>
        <s v="NO FACT.-No facturable"/>
        <s v="P0031-Servicios de Analisis y Desarrollo"/>
        <s v="MP004-Software Factory"/>
        <s v="VACACIONES-Vacaciones"/>
        <s v="P0013-Reportes SBS"/>
        <s v="MP001-Analista Programador Java Python"/>
        <s v="P0005-Implementación del Sistema de Certificados de Retenciones"/>
        <s v="P0026-Implementación de Extractores de Gestión TABELAU "/>
        <s v="MP002-Soporte Tecnico"/>
        <s v="MP003-Soporte Tecnico"/>
        <s v="P0010-Soporte de Analista de Calidad"/>
        <s v="P0018-Palabritas"/>
        <s v="P0009-Aplicativo SUSALUD contigo IOS"/>
        <s v="P0023- 8 Aplicaciones Móviles Universidades"/>
        <s v="P0027-Implementacion del Sistema BackOffice SOAT"/>
        <s v="P0015-Mejoras funcionales SOAT Operaciones y RQ de automatización cierre contable"/>
        <s v="P0001-Evaluacion Sistema Integrado de Polizas - SDP"/>
        <s v="P0030-Servicios de Elaboracion REF - GA"/>
        <s v="P0011-outsourcing  de configuración de productos BBVA"/>
        <s v="P0014-REQUERIMIENTO CORE URGENCIA ALTA:DOC REQ.FUNCIONAL 100% FINALIZADO"/>
        <s v="P0017-Análisis Funcional - Requerimientos"/>
        <s v="P0025-Implementación de Indicadores de Gestión TABELAU "/>
        <s v="P0022-Adecuacion SISWEP-Cargas Masivas"/>
        <s v="P0033-Mejoras Sistema V-Time"/>
        <s v="P0012-Configuración de productos PIMS"/>
        <s v="P0032-Configuración de nuevos productos PIMS"/>
        <s v="P0008-Aplicativo para la consulta de expedientes de SAREFIS " u="1"/>
        <s v="P0033-V-Time" u="1"/>
        <s v="P0005-Implementación del Sistema de Certificados R" u="1"/>
        <s v="P0099-V-Time" u="1"/>
      </sharedItems>
    </cacheField>
    <cacheField name="DESCRIPCION" numFmtId="0">
      <sharedItems/>
    </cacheField>
    <cacheField name="TOTAL HRS ENERO" numFmtId="0">
      <sharedItems containsSemiMixedTypes="0" containsString="0" containsNumber="1" minValue="0" maxValue="176"/>
    </cacheField>
    <cacheField name="TOTAL HRS FEBRERO" numFmtId="0">
      <sharedItems containsSemiMixedTypes="0" containsString="0" containsNumber="1" containsInteger="1" minValue="0" maxValue="160"/>
    </cacheField>
    <cacheField name="TOTAL HRS MARZO" numFmtId="0">
      <sharedItems containsSemiMixedTypes="0" containsString="0" containsNumber="1" minValue="0" maxValue="184"/>
    </cacheField>
    <cacheField name="TOTAL HRS ABRIL" numFmtId="0">
      <sharedItems containsSemiMixedTypes="0" containsString="0" containsNumber="1" containsInteger="1" minValue="0" maxValue="144"/>
    </cacheField>
    <cacheField name="TOTAL HRS MAYO" numFmtId="0">
      <sharedItems containsSemiMixedTypes="0" containsString="0" containsNumber="1" minValue="0" maxValue="176"/>
    </cacheField>
    <cacheField name="TOTAL HRS JUNIO" numFmtId="0">
      <sharedItems containsSemiMixedTypes="0" containsString="0" containsNumber="1" containsInteger="1" minValue="0" maxValue="168"/>
    </cacheField>
    <cacheField name="TOTAL HRS JULIO" numFmtId="0">
      <sharedItems containsSemiMixedTypes="0" containsString="0" containsNumber="1" minValue="0" maxValue="160"/>
    </cacheField>
    <cacheField name="TOTAL HRS AGOSTO" numFmtId="0">
      <sharedItems containsSemiMixedTypes="0" containsString="0" containsNumber="1" containsInteger="1" minValue="0" maxValue="32"/>
    </cacheField>
    <cacheField name="TOTAL HRS SETIEMBRE" numFmtId="0">
      <sharedItems containsSemiMixedTypes="0" containsString="0" containsNumber="1" containsInteger="1" minValue="0" maxValue="0"/>
    </cacheField>
    <cacheField name="TOTAL HRS OCTUBRE" numFmtId="0">
      <sharedItems containsSemiMixedTypes="0" containsString="0" containsNumber="1" containsInteger="1" minValue="0" maxValue="0"/>
    </cacheField>
    <cacheField name="TOTAL HRS NOVIEMBRE" numFmtId="0">
      <sharedItems containsSemiMixedTypes="0" containsString="0" containsNumber="1" containsInteger="1" minValue="0" maxValue="0"/>
    </cacheField>
    <cacheField name="TOTAL HRS DICIEMBRE" numFmtId="0">
      <sharedItems containsSemiMixedTypes="0" containsString="0" containsNumber="1" containsInteger="1" minValue="0" maxValue="0"/>
    </cacheField>
    <cacheField name="COSTOXHORA ENERO" numFmtId="0">
      <sharedItems containsSemiMixedTypes="0" containsString="0" containsNumber="1" minValue="0" maxValue="74.349999999999994"/>
    </cacheField>
    <cacheField name="COSTOXHORA FEBRERO" numFmtId="0">
      <sharedItems containsSemiMixedTypes="0" containsString="0" containsNumber="1" minValue="0" maxValue="81.78125"/>
    </cacheField>
    <cacheField name="COSTOXHORA MARZO" numFmtId="0">
      <sharedItems containsSemiMixedTypes="0" containsString="0" containsNumber="1" minValue="0" maxValue="71.114130434782609"/>
    </cacheField>
    <cacheField name="COSTOXHORA ABRIL" numFmtId="0">
      <sharedItems containsSemiMixedTypes="0" containsString="0" containsNumber="1" minValue="0" maxValue="79.010416666666671"/>
    </cacheField>
    <cacheField name="COSTOXHORA MAYO" numFmtId="0">
      <sharedItems containsSemiMixedTypes="0" containsString="0" containsNumber="1" minValue="0" maxValue="56.81818181818182"/>
    </cacheField>
    <cacheField name="COSTOXHORA  JUNIO" numFmtId="0">
      <sharedItems containsSemiMixedTypes="0" containsString="0" containsNumber="1" minValue="0" maxValue="59.523809523809526"/>
    </cacheField>
    <cacheField name="COSTOXHORA JULIO" numFmtId="0">
      <sharedItems containsSemiMixedTypes="0" containsString="0" containsNumber="1" minValue="0" maxValue="62.5"/>
    </cacheField>
    <cacheField name="COSTOXHORA AGOSTO" numFmtId="0">
      <sharedItems containsNonDate="0" containsString="0" containsBlank="1"/>
    </cacheField>
    <cacheField name="COSTOXHORA SETIEMBRE" numFmtId="0">
      <sharedItems containsNonDate="0" containsString="0" containsBlank="1"/>
    </cacheField>
    <cacheField name="COSTOXHORA OCTUBRE" numFmtId="0">
      <sharedItems containsNonDate="0" containsString="0" containsBlank="1"/>
    </cacheField>
    <cacheField name="COSTOXHORA NOVIEMBRE" numFmtId="0">
      <sharedItems containsNonDate="0" containsString="0" containsBlank="1"/>
    </cacheField>
    <cacheField name="COSTOXHORA DICIEMBRE" numFmtId="0">
      <sharedItems containsNonDate="0" containsString="0" containsBlank="1"/>
    </cacheField>
    <cacheField name="COSTO ENERO" numFmtId="2">
      <sharedItems containsSemiMixedTypes="0" containsString="0" containsNumber="1" minValue="0" maxValue="11249.92"/>
    </cacheField>
    <cacheField name="COSTO FEBRERO" numFmtId="2">
      <sharedItems containsSemiMixedTypes="0" containsString="0" containsNumber="1" minValue="0" maxValue="11377.6"/>
    </cacheField>
    <cacheField name="COSTO MARZO" numFmtId="2">
      <sharedItems containsSemiMixedTypes="0" containsString="0" containsNumber="1" minValue="0" maxValue="11377.5"/>
    </cacheField>
    <cacheField name="COSTO ABRIL" numFmtId="2">
      <sharedItems containsSemiMixedTypes="0" containsString="0" containsNumber="1" minValue="0" maxValue="11377.5"/>
    </cacheField>
    <cacheField name="COSTO MAYO" numFmtId="2">
      <sharedItems containsSemiMixedTypes="0" containsString="0" containsNumber="1" minValue="0" maxValue="9500"/>
    </cacheField>
    <cacheField name="COSTO JUNIO" numFmtId="2">
      <sharedItems containsSemiMixedTypes="0" containsString="0" containsNumber="1" minValue="0" maxValue="9500"/>
    </cacheField>
    <cacheField name="COSTO JULIO" numFmtId="2">
      <sharedItems containsSemiMixedTypes="0" containsString="0" containsNumber="1" minValue="0" maxValue="9000"/>
    </cacheField>
    <cacheField name="COSTO AGOSTO" numFmtId="2">
      <sharedItems containsSemiMixedTypes="0" containsString="0" containsNumber="1" containsInteger="1" minValue="0" maxValue="0"/>
    </cacheField>
    <cacheField name="COSTO SETIEMBRE" numFmtId="2">
      <sharedItems containsSemiMixedTypes="0" containsString="0" containsNumber="1" containsInteger="1" minValue="0" maxValue="0"/>
    </cacheField>
    <cacheField name="COSTO OCTUBRE" numFmtId="2">
      <sharedItems containsSemiMixedTypes="0" containsString="0" containsNumber="1" containsInteger="1" minValue="0" maxValue="0"/>
    </cacheField>
    <cacheField name="COSTO NOVIEMBRE" numFmtId="2">
      <sharedItems containsSemiMixedTypes="0" containsString="0" containsNumber="1" containsInteger="1" minValue="0" maxValue="0"/>
    </cacheField>
    <cacheField name="COSTO DICIEMBRE" numFmtId="2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 pivotCacheId="1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Jean Cespedes" refreshedDate="43017.632405208336" createdVersion="5" refreshedVersion="5" minRefreshableVersion="3" recordCount="36">
  <cacheSource type="worksheet">
    <worksheetSource ref="B3:L39" sheet="Resumen"/>
  </cacheSource>
  <cacheFields count="11">
    <cacheField name="PROYECTOS" numFmtId="0">
      <sharedItems count="38">
        <s v="MP001"/>
        <s v="MP002"/>
        <s v="MP003"/>
        <s v="MP004"/>
        <s v="MP006"/>
        <s v="MP007"/>
        <s v="P0001"/>
        <s v="P0002"/>
        <s v="P0003"/>
        <s v="P0005"/>
        <s v="P0006"/>
        <s v="P0007"/>
        <s v="P0008"/>
        <s v="P0009"/>
        <s v="P0010"/>
        <s v="P0011"/>
        <s v="P0012"/>
        <s v="P0013"/>
        <s v="P0014"/>
        <s v="P0015"/>
        <s v="P0016"/>
        <s v="P0017"/>
        <s v="P0018"/>
        <s v="P0019"/>
        <s v="P0020"/>
        <s v="P0022"/>
        <s v="P0023"/>
        <s v="P0024"/>
        <s v="P0025"/>
        <s v="P0026"/>
        <s v="P0027"/>
        <s v="P0029"/>
        <s v="P0030"/>
        <s v="P0032"/>
        <s v="P0033"/>
        <s v="P0034"/>
        <s v="P0031" u="1"/>
        <s v="P0028" u="1"/>
      </sharedItems>
    </cacheField>
    <cacheField name="ESTADO" numFmtId="0">
      <sharedItems count="3">
        <s v="PROCESO"/>
        <s v="CERRADO"/>
        <s v="ABIERTO"/>
      </sharedItems>
    </cacheField>
    <cacheField name="CLIENTES" numFmtId="0">
      <sharedItems count="17">
        <s v="AMERICATEL"/>
        <s v="CLARIANT"/>
        <s v="MOLY-COP"/>
        <s v="LA POSITIVA"/>
        <s v="UPC"/>
        <s v="ABB"/>
        <s v="CRECER"/>
        <s v="HYTERA"/>
        <s v="COSMOS"/>
        <s v="CAJA AREQ."/>
        <s v="CALIDDA"/>
        <s v="SUSALUD"/>
        <s v="CARDIF"/>
        <s v="PROTECTA"/>
        <s v="PALABRITAS"/>
        <s v="AMERICA TV"/>
        <s v="EDUCA_D"/>
      </sharedItems>
    </cacheField>
    <cacheField name="DESCRIPCION" numFmtId="0">
      <sharedItems/>
    </cacheField>
    <cacheField name="Ingresos" numFmtId="167">
      <sharedItems containsSemiMixedTypes="0" containsString="0" containsNumber="1" minValue="0" maxValue="2543139.66"/>
    </cacheField>
    <cacheField name="Gastos Real M.O" numFmtId="167">
      <sharedItems containsSemiMixedTypes="0" containsString="0" containsNumber="1" minValue="0" maxValue="1376914.4404957965"/>
    </cacheField>
    <cacheField name="Gastos Proyectados M.O" numFmtId="167">
      <sharedItems containsString="0" containsBlank="1" containsNumber="1" minValue="0" maxValue="139748"/>
    </cacheField>
    <cacheField name="Sub Contratas" numFmtId="167">
      <sharedItems containsSemiMixedTypes="0" containsString="0" containsNumber="1" containsInteger="1" minValue="0" maxValue="187150"/>
    </cacheField>
    <cacheField name="Utilidad Bruta" numFmtId="167">
      <sharedItems containsSemiMixedTypes="0" containsString="0" containsNumber="1" minValue="-41461.438906926407" maxValue="979075.21950420365"/>
    </cacheField>
    <cacheField name="Falta Facturar" numFmtId="167">
      <sharedItems containsString="0" containsBlank="1" containsNumber="1" minValue="-4142" maxValue="203080.8"/>
    </cacheField>
    <cacheField name="Margen" numFmtId="9">
      <sharedItems containsSemiMixedTypes="0" containsString="0" containsNumber="1" minValue="-0.81784287611335049" maxValue="1"/>
    </cacheField>
  </cacheFields>
  <extLst>
    <ext xmlns:x14="http://schemas.microsoft.com/office/spreadsheetml/2009/9/main" uri="{725AE2AE-9491-48be-B2B4-4EB974FC3084}">
      <x14:pivotCacheDefinition pivotCacheId="1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Jean Cespedes" refreshedDate="43017.632824074077" createdVersion="5" refreshedVersion="5" minRefreshableVersion="3" recordCount="235">
  <cacheSource type="worksheet">
    <worksheetSource ref="C7:CE242" sheet="tareo"/>
  </cacheSource>
  <cacheFields count="81">
    <cacheField name="RESPONSABLE" numFmtId="17">
      <sharedItems containsBlank="1" count="117">
        <s v="Hernani Lau Patricia Rosa"/>
        <s v="Benito Bendezú Marco Antonio"/>
        <s v="Palomino Ferroa Victor Isaias"/>
        <s v="Zuñiga Santillan Jose Eduardo"/>
        <s v="Tarazona Falcon Jesus "/>
        <s v="Carrillo Roque Rafael"/>
        <s v="Alvarez Vera Daniel"/>
        <s v="Chavez Guillen Miguel Angel"/>
        <s v="Huaman Ramos Moises"/>
        <s v="Girano Corbera Cristiam Alberto"/>
        <s v="Velasquez Quispe Lizbet Nataly"/>
        <s v="Torres Gonzales Rogger Adrián"/>
        <s v="Cordova Lozano Renzo Abel"/>
        <s v="Chura Ingalla Percy William"/>
        <s v="Fernandez Esquen Miguel Angel"/>
        <s v="Garay Vilchez Mario Martin"/>
        <s v="Laurencio Ambrosio Luis"/>
        <s v="Arrascue Acosta Leslye"/>
        <s v="Ayala chira Juan Carlos"/>
        <s v="Guzman Arteaga Joseph"/>
        <s v="Chuquisana Mendoza Jhonatan Alexander"/>
        <s v="Meneses Sanchez Jesus Daniel"/>
        <s v="Olarte Leon Jeff"/>
        <s v="Rivera Carrasco Giovanni "/>
        <s v="Peralta Boza Julio Freddy"/>
        <s v="Palomino Lanchipa Everth Roman"/>
        <s v="Mendoza Ballona Erick Wilfredo"/>
        <s v="Atanacio Gonzales Demetrio Jesus"/>
        <s v="De la Cruz Hurtado Dany"/>
        <s v="Becerra Robles Daniel"/>
        <s v="Padilla Vega Cindy Victoria"/>
        <s v="Calderon Vilchez Renzo Pablo"/>
        <s v="Aricochea Marcelo Anthony Dante"/>
        <s v="Pérez Cristobal Angel Marcel "/>
        <s v="Escobedo Martinez Ángel"/>
        <s v="Lopez Borja Amadeo Felix"/>
        <s v="Zenteno Espinoza Alex"/>
        <s v="Arce Portocarrero Alejandro Miguel"/>
        <s v="Gallegos Flores Pool Jhonatan"/>
        <s v="Torres Brousset Pacheco, Gutenberg Alexis"/>
        <s v="Salazar Rojas Javier Fernando"/>
        <s v="Marin Soriano Olga Beatriz"/>
        <s v="Castillo Cardenas Jose Hildebrando"/>
        <s v="Alejos Yamamoto Arturo Ricardo"/>
        <s v="Huanes Bautista Cesar Alfredo"/>
        <s v="Empresa tercerizada"/>
        <s v="Pérez Montemayor Jose Javier"/>
        <s v="Pizarro Saldaña Jorge Gabriel"/>
        <s v="Revilla Casalino Pablo"/>
        <s v="Cruzado Canal Manuel Enrique"/>
        <s v="Chamorro Rojas Pierre Nestor"/>
        <s v="Garcia Gutierrez Alan David"/>
        <s v="Capactinta Bonifacio Luis Reynaldo"/>
        <s v="Villanueva Melgarejo Andres Angel "/>
        <s v="Fernandez Sanchez Walter Jose"/>
        <s v="Rodas Alanya Victor Eliezer"/>
        <s v="Barbaran Broncales Emanuel"/>
        <s v="Galvez Aguilar Arturo Jesus"/>
        <s v="Taipe Aylas Ronald David"/>
        <s v="Cumpa Miguel Angel"/>
        <s v="Serrano Escalona Armando Jose"/>
        <s v="Lozano Jose Luiz"/>
        <s v="Gonzales Chunga Scarlen Odalis"/>
        <s v="Uceda Rentería Cristhian Daniel"/>
        <s v="Salinas Vasquez Juan Rafael"/>
        <s v="Sotelo Marcos Victor Hugo"/>
        <s v="Cordova Miranda Missel Krujel"/>
        <s v="Gomez Cantuarias Yoana Jaqueline"/>
        <s v="Ticona Pinto Hector Alexader"/>
        <s v="Vascones Sandova Jose Antonio"/>
        <s v="Cespedes Pasion Jean Franco"/>
        <s v="Trujillo Mochcco Alex"/>
        <s v="La Rosa Wilfredo"/>
        <s v="Cespedes Levano Edwin Israel"/>
        <s v="Somoza Francisco Javier"/>
        <m u="1"/>
        <s v="Velasquez Quispe Lizbet" u="1"/>
        <s v="Aricochea Marcelo Anthony" u="1"/>
        <s v="Torres Gonzales Rogger Adrian" u="1"/>
        <s v="Ticona Hector" u="1"/>
        <s v="Padilla Vega Cindy" u="1"/>
        <s v="Chavez Miguel Angel" u="1"/>
        <s v="Perez Cristobal Angel" u="1"/>
        <s v="Mendoza Ballona Erick" u="1"/>
        <s v="Escobedo Martinez Angel" u="1"/>
        <s v="Gonzales Scarlen" u="1"/>
        <s v="Meneses Sanchez Jesus" u="1"/>
        <s v="Alex Trujillo Mochcco" u="1"/>
        <s v="Guzman Arteaga Joseph Michael" u="1"/>
        <s v="M.Olga" u="1"/>
        <s v="Arce Miguel Aljeandro" u="1"/>
        <s v="Perez Cristobal Cristobal " u="1"/>
        <s v="C.Rafael" u="1"/>
        <s v="Ayala Chira Juan Carlos " u="1"/>
        <s v="T.Jesus" u="1"/>
        <s v="Taype Ronald" u="1"/>
        <s v="Calderon Vilchez, Renzo Pablo" u="1"/>
        <s v="Giovanni Agustin Rivera Carrasco" u="1"/>
        <s v="Zuñiga Jose" u="1"/>
        <s v="Palomino Lanchipa" u="1"/>
        <s v="Freddy Peralta Boza" u="1"/>
        <s v="Cordova Miranda Missel" u="1"/>
        <s v="Chuquisana Mendoza Jhonatan" u="1"/>
        <s v="Chura Ingalla Percy" u="1"/>
        <s v="Z.Jose" u="1"/>
        <s v="Uceda Cristian" u="1"/>
        <s v="Vascones Jose Antonio" u="1"/>
        <s v="Cordova Lozano Renzo Abbel" u="1"/>
        <s v="Tarazona Falcon Jesus" u="1"/>
        <s v="Villanueva Melgarejo Andres Angel" u="1"/>
        <s v="C.Manuel" u="1"/>
        <s v="P.Victor" u="1"/>
        <s v="Sotelo Hugo" u="1"/>
        <s v="Girano Corbera Cristian" u="1"/>
        <s v="Arrascue Acosta Leslye Jacslyn" u="1"/>
        <s v="Palomino Ferroa Victor" u="1"/>
        <s v="Huanes Bautista César" u="1"/>
      </sharedItems>
    </cacheField>
    <cacheField name="ESTADO" numFmtId="17">
      <sharedItems containsBlank="1" count="3">
        <s v="VIGENTE"/>
        <s v="CESADO"/>
        <m u="1"/>
      </sharedItems>
    </cacheField>
    <cacheField name="CLIENTES" numFmtId="0">
      <sharedItems containsBlank="1" count="25">
        <s v="CRECER"/>
        <s v="CARDIF"/>
        <s v="LA POSITIVA"/>
        <s v="NO FACT."/>
        <s v="VACACIONES"/>
        <s v="PROPUESTA"/>
        <s v="INASISTENCIAS"/>
        <s v="COSMOS"/>
        <s v="PROTECTA"/>
        <s v="SUSALUD"/>
        <s v="CLARIANT"/>
        <s v="MOLY-COP"/>
        <s v="ABB"/>
        <s v="UPC"/>
        <s v="INASISTENCIAS JUSTIFICADAS"/>
        <s v="AMERICATEL"/>
        <s v="HYTERA"/>
        <s v="CALIDDA"/>
        <s v="CAJA AREQ."/>
        <s v="AMERICA TV"/>
        <s v="PALABRITAS"/>
        <s v="EDUCA_D"/>
        <s v="GESTION DE PROYECTOS"/>
        <m u="1"/>
        <s v="PROYECTO INTERNO" u="1"/>
      </sharedItems>
    </cacheField>
    <cacheField name="EST. PROYECTO" numFmtId="17">
      <sharedItems containsDate="1" containsBlank="1" containsMixedTypes="1" minDate="1899-12-30T00:00:00" maxDate="1899-12-31T00:00:00" count="6">
        <s v="CERRADO"/>
        <s v="PROCESO"/>
        <m/>
        <s v="ABIERTO"/>
        <s v="OBSERVACIONES" u="1"/>
        <d v="1899-12-30T00:00:00" u="1"/>
      </sharedItems>
    </cacheField>
    <cacheField name="OBSERVACIONES" numFmtId="17">
      <sharedItems containsBlank="1" count="2">
        <m/>
        <s v="OBSERVACIONES"/>
      </sharedItems>
    </cacheField>
    <cacheField name="PROYECTOS" numFmtId="0">
      <sharedItems containsBlank="1" count="49">
        <s v="P0001"/>
        <s v="P0013"/>
        <s v="MP004"/>
        <s v="NO FACT."/>
        <s v="VACACIONES"/>
        <s v="PROPUESTA"/>
        <s v="INASISTENCIAS"/>
        <s v="P0005"/>
        <s v="P0026"/>
        <s v="P0008"/>
        <s v="MP002"/>
        <s v="MP003"/>
        <s v="P0020"/>
        <s v="P0010"/>
        <s v="P0027"/>
        <s v="P0022"/>
        <s v="INASISTENCIAS JUSTIFICADAS"/>
        <s v="P0033"/>
        <s v="P0035"/>
        <s v="MP001"/>
        <s v="P0011"/>
        <s v="P0030"/>
        <s v="P0012"/>
        <s v="P0014"/>
        <s v="P0017"/>
        <s v="P0002"/>
        <s v="P0032"/>
        <s v="P0007"/>
        <s v="P0006"/>
        <s v="P0003"/>
        <s v="P0024"/>
        <s v="P0034"/>
        <s v="P0019"/>
        <s v="P0018"/>
        <s v="P0009"/>
        <s v="P0023"/>
        <s v="MP006"/>
        <s v="GESTION DE PROYECTOS"/>
        <s v="P0015"/>
        <s v="P0025"/>
        <s v="MP007"/>
        <m u="1"/>
        <s v="P0031" u="1"/>
        <s v="P0028" u="1"/>
        <s v="P0099" u="1"/>
        <s v="MP005-1" u="1"/>
        <s v="P0098" u="1"/>
        <s v="P0097" u="1"/>
        <s v="Proyecto Interno" u="1"/>
      </sharedItems>
    </cacheField>
    <cacheField name="DESCRIPCION" numFmtId="0">
      <sharedItems containsBlank="1" count="50">
        <s v="Evaluacion Sistema Integrado de Polizas - SDP"/>
        <s v="Reportes SBS"/>
        <s v="Software Factory"/>
        <s v="No facturable"/>
        <s v="Vacaciones"/>
        <s v="Propuesta"/>
        <s v="Inasistencias"/>
        <s v="Implementación del Sistema de Certificados de Retenciones"/>
        <s v="Implementación de Extractores de Gestión TABLEAU "/>
        <s v="Aplicativo para la consulta de expedientes de SAREFIS y SADERECHOS con DNI electrónico"/>
        <s v="Soporte Tecnico"/>
        <s v="Fabrica de Software"/>
        <s v="Soporte de Analista de Calidad"/>
        <s v="Implementacion del Sistema BackOffice SOAT"/>
        <s v="Adecuacion SISWEP-Cargas Masivas"/>
        <s v="Inasistencias Justificadas"/>
        <s v="Mejoras Sistema V-Time"/>
        <s v="Normativo Reaseguros y RRC"/>
        <s v="Analista Programador Java Python"/>
        <s v="outsourcing  de configuración de productos BBVA"/>
        <s v="Servicios de Elaboracion REF - GA"/>
        <s v="Configuración de productos PIMS"/>
        <s v="REQUERIMIENTO CORE URGENCIA ALTA:DOC REQ.FUNCIONAL 100% FINALIZADO"/>
        <s v="Análisis Funcional - Requerimientos"/>
        <s v="Implementación del Módulo Básico de Interconexión Radios - Tetra Server - BD PNP"/>
        <s v="Configuración de nuevos productos PIMS"/>
        <s v="Up Grade Web de Licitaciones Calidda"/>
        <s v="Implementación y despliegue de Pagos Masivos para Caja Arequipa"/>
        <s v="Implementación de los Módulos para la interconexión de los Radios - Tetra Server - BD PNP"/>
        <s v="Totem Digital"/>
        <s v="Servicios de Desarrollo GDO"/>
        <s v="Servicios de soporte de segundo nivel sobre Linux en Cloud Softlayer_x000a_"/>
        <s v="Palabritas"/>
        <s v="Aplicativo SUSALUD contigo IOS"/>
        <s v=" 8 Aplicaciones Móviles Universidades"/>
        <s v="Soporte de Analista de Calidad v2"/>
        <s v="Gestion de Proyectos"/>
        <s v="Mejoras funcionales SOAT Operaciones y RQ de automatización cierre contable"/>
        <s v="Implementación de Indicadores de Gestión TABLEAU "/>
        <s v="Servicios de Analisis y Desarrollo"/>
        <m u="1"/>
        <s v="Fabrica de Software 1° Etapa" u="1"/>
        <s v="Servicios de Elaboracion REF" u="1"/>
        <s v="Servicios de Desarrollo" u="1"/>
        <s v="V-Time" u="1"/>
        <s v="Reservas de Riesgo en Curso (RRC)" u="1"/>
        <s v="Implementación de Extractores de Gestión TABELAU " u="1"/>
        <s v="Implementación de Indicadores de Gestión TABELAU " u="1"/>
        <s v="Proyecto Interno" u="1"/>
        <s v="Fabrica de Proyectos" u="1"/>
      </sharedItems>
    </cacheField>
    <cacheField name="RESPONSABLE2" numFmtId="0">
      <sharedItems/>
    </cacheField>
    <cacheField name="Enero  02 - 06" numFmtId="0">
      <sharedItems containsSemiMixedTypes="0" containsString="0" containsNumber="1" containsInteger="1" minValue="0" maxValue="40"/>
    </cacheField>
    <cacheField name="Enero  09 - 13" numFmtId="0">
      <sharedItems containsSemiMixedTypes="0" containsString="0" containsNumber="1" containsInteger="1" minValue="0" maxValue="40"/>
    </cacheField>
    <cacheField name="Enero  16 - 20" numFmtId="0">
      <sharedItems containsSemiMixedTypes="0" containsString="0" containsNumber="1" containsInteger="1" minValue="0" maxValue="40"/>
    </cacheField>
    <cacheField name="Enero  23 - 27" numFmtId="0">
      <sharedItems containsSemiMixedTypes="0" containsString="0" containsNumber="1" containsInteger="1" minValue="0" maxValue="40"/>
    </cacheField>
    <cacheField name="Enero  30 - 31" numFmtId="0">
      <sharedItems containsSemiMixedTypes="0" containsString="0" containsNumber="1" minValue="0" maxValue="16"/>
    </cacheField>
    <cacheField name="Febrero  01 - 03" numFmtId="0">
      <sharedItems containsSemiMixedTypes="0" containsString="0" containsNumber="1" containsInteger="1" minValue="0" maxValue="24"/>
    </cacheField>
    <cacheField name="Febrero  06 - 10" numFmtId="0">
      <sharedItems containsSemiMixedTypes="0" containsString="0" containsNumber="1" containsInteger="1" minValue="0" maxValue="40"/>
    </cacheField>
    <cacheField name="Febrero  13 - 17" numFmtId="0">
      <sharedItems containsSemiMixedTypes="0" containsString="0" containsNumber="1" containsInteger="1" minValue="0" maxValue="40"/>
    </cacheField>
    <cacheField name="Febrero  20 - 24" numFmtId="0">
      <sharedItems containsSemiMixedTypes="0" containsString="0" containsNumber="1" containsInteger="1" minValue="0" maxValue="40"/>
    </cacheField>
    <cacheField name="Febrero  27 - 28" numFmtId="0">
      <sharedItems containsSemiMixedTypes="0" containsString="0" containsNumber="1" containsInteger="1" minValue="0" maxValue="16"/>
    </cacheField>
    <cacheField name="Marzo  01 - 03" numFmtId="0">
      <sharedItems containsSemiMixedTypes="0" containsString="0" containsNumber="1" minValue="0" maxValue="24"/>
    </cacheField>
    <cacheField name="Marzo  06 - 10" numFmtId="0">
      <sharedItems containsSemiMixedTypes="0" containsString="0" containsNumber="1" containsInteger="1" minValue="0" maxValue="40"/>
    </cacheField>
    <cacheField name="Marzo  13 - 17" numFmtId="0">
      <sharedItems containsSemiMixedTypes="0" containsString="0" containsNumber="1" containsInteger="1" minValue="0" maxValue="40"/>
    </cacheField>
    <cacheField name="Marzo  20 - 24" numFmtId="0">
      <sharedItems containsSemiMixedTypes="0" containsString="0" containsNumber="1" containsInteger="1" minValue="0" maxValue="40"/>
    </cacheField>
    <cacheField name="Marzo  27 - 31" numFmtId="0">
      <sharedItems containsSemiMixedTypes="0" containsString="0" containsNumber="1" containsInteger="1" minValue="0" maxValue="40"/>
    </cacheField>
    <cacheField name="Abril  03 - 07" numFmtId="0">
      <sharedItems containsSemiMixedTypes="0" containsString="0" containsNumber="1" containsInteger="1" minValue="0" maxValue="40"/>
    </cacheField>
    <cacheField name="Abril  10 - 12" numFmtId="0">
      <sharedItems containsSemiMixedTypes="0" containsString="0" containsNumber="1" containsInteger="1" minValue="0" maxValue="40"/>
    </cacheField>
    <cacheField name="Abril  17 - 21" numFmtId="0">
      <sharedItems containsSemiMixedTypes="0" containsString="0" containsNumber="1" containsInteger="1" minValue="0" maxValue="40"/>
    </cacheField>
    <cacheField name="Abril  24 - 28" numFmtId="0">
      <sharedItems containsSemiMixedTypes="0" containsString="0" containsNumber="1" containsInteger="1" minValue="0" maxValue="40"/>
    </cacheField>
    <cacheField name="Mayo  02 - 05" numFmtId="0">
      <sharedItems containsSemiMixedTypes="0" containsString="0" containsNumber="1" containsInteger="1" minValue="0" maxValue="32"/>
    </cacheField>
    <cacheField name="Mayo  08 - 12" numFmtId="0">
      <sharedItems containsSemiMixedTypes="0" containsString="0" containsNumber="1" minValue="0" maxValue="40"/>
    </cacheField>
    <cacheField name="Mayo  15 - 19" numFmtId="0">
      <sharedItems containsSemiMixedTypes="0" containsString="0" containsNumber="1" containsInteger="1" minValue="0" maxValue="40"/>
    </cacheField>
    <cacheField name="Mayo  22 - 26" numFmtId="0">
      <sharedItems containsSemiMixedTypes="0" containsString="0" containsNumber="1" containsInteger="1" minValue="0" maxValue="40"/>
    </cacheField>
    <cacheField name="Mayo  29 - 31" numFmtId="0">
      <sharedItems containsSemiMixedTypes="0" containsString="0" containsNumber="1" containsInteger="1" minValue="0" maxValue="24"/>
    </cacheField>
    <cacheField name="Junio  01-02" numFmtId="0">
      <sharedItems containsSemiMixedTypes="0" containsString="0" containsNumber="1" containsInteger="1" minValue="0" maxValue="16"/>
    </cacheField>
    <cacheField name="Junio  05-09" numFmtId="0">
      <sharedItems containsSemiMixedTypes="0" containsString="0" containsNumber="1" containsInteger="1" minValue="0" maxValue="40"/>
    </cacheField>
    <cacheField name="Junio  12-16" numFmtId="0">
      <sharedItems containsSemiMixedTypes="0" containsString="0" containsNumber="1" containsInteger="1" minValue="0" maxValue="40"/>
    </cacheField>
    <cacheField name="Junio  19-23" numFmtId="0">
      <sharedItems containsSemiMixedTypes="0" containsString="0" containsNumber="1" containsInteger="1" minValue="0" maxValue="40"/>
    </cacheField>
    <cacheField name="Junio  26-30" numFmtId="0">
      <sharedItems containsSemiMixedTypes="0" containsString="0" containsNumber="1" containsInteger="1" minValue="0" maxValue="40"/>
    </cacheField>
    <cacheField name="Julio  03-07" numFmtId="0">
      <sharedItems containsSemiMixedTypes="0" containsString="0" containsNumber="1" containsInteger="1" minValue="0" maxValue="40"/>
    </cacheField>
    <cacheField name="Julio  10-14" numFmtId="0">
      <sharedItems containsSemiMixedTypes="0" containsString="0" containsNumber="1" containsInteger="1" minValue="0" maxValue="40"/>
    </cacheField>
    <cacheField name="Julio  17-21" numFmtId="0">
      <sharedItems containsSemiMixedTypes="0" containsString="0" containsNumber="1" minValue="0" maxValue="40"/>
    </cacheField>
    <cacheField name="Julio  24-28" numFmtId="0">
      <sharedItems containsSemiMixedTypes="0" containsString="0" containsNumber="1" containsInteger="1" minValue="0" maxValue="32"/>
    </cacheField>
    <cacheField name="Julio  24-282" numFmtId="0">
      <sharedItems containsString="0" containsBlank="1" containsNumber="1" containsInteger="1" minValue="0" maxValue="0"/>
    </cacheField>
    <cacheField name="Julio  31-" numFmtId="0">
      <sharedItems containsSemiMixedTypes="0" containsString="0" containsNumber="1" containsInteger="1" minValue="0" maxValue="8"/>
    </cacheField>
    <cacheField name="Agosto  01-04" numFmtId="0">
      <sharedItems containsSemiMixedTypes="0" containsString="0" containsNumber="1" containsInteger="1" minValue="0" maxValue="32"/>
    </cacheField>
    <cacheField name="Agosto  07-11" numFmtId="0">
      <sharedItems containsSemiMixedTypes="0" containsString="0" containsNumber="1" containsInteger="1" minValue="0" maxValue="40"/>
    </cacheField>
    <cacheField name="Agosto  14-18" numFmtId="0">
      <sharedItems containsSemiMixedTypes="0" containsString="0" containsNumber="1" containsInteger="1" minValue="0" maxValue="40"/>
    </cacheField>
    <cacheField name="Agosto  21-25" numFmtId="0">
      <sharedItems containsSemiMixedTypes="0" containsString="0" containsNumber="1" containsInteger="1" minValue="0" maxValue="40"/>
    </cacheField>
    <cacheField name="Agosto  28-31" numFmtId="0">
      <sharedItems containsSemiMixedTypes="0" containsString="0" containsNumber="1" containsInteger="1" minValue="0" maxValue="24"/>
    </cacheField>
    <cacheField name="Setiembre  01-" numFmtId="0">
      <sharedItems containsSemiMixedTypes="0" containsString="0" containsNumber="1" minValue="0" maxValue="8"/>
    </cacheField>
    <cacheField name="Setiembre  04-08" numFmtId="0">
      <sharedItems containsSemiMixedTypes="0" containsString="0" containsNumber="1" containsInteger="1" minValue="0" maxValue="40"/>
    </cacheField>
    <cacheField name="Setiembre  11-15" numFmtId="0">
      <sharedItems containsSemiMixedTypes="0" containsString="0" containsNumber="1" containsInteger="1" minValue="0" maxValue="40"/>
    </cacheField>
    <cacheField name="Setiembre  18-22" numFmtId="0">
      <sharedItems containsSemiMixedTypes="0" containsString="0" containsNumber="1" containsInteger="1" minValue="0" maxValue="40"/>
    </cacheField>
    <cacheField name="Setiembre  25-29" numFmtId="0">
      <sharedItems containsSemiMixedTypes="0" containsString="0" containsNumber="1" containsInteger="1" minValue="0" maxValue="40"/>
    </cacheField>
    <cacheField name="Octubre  02-06" numFmtId="0">
      <sharedItems containsSemiMixedTypes="0" containsString="0" containsNumber="1" containsInteger="1" minValue="0" maxValue="40"/>
    </cacheField>
    <cacheField name="Octubre  09-13" numFmtId="0">
      <sharedItems containsSemiMixedTypes="0" containsString="0" containsNumber="1" containsInteger="1" minValue="0" maxValue="0"/>
    </cacheField>
    <cacheField name="Octubre  16-20" numFmtId="0">
      <sharedItems containsSemiMixedTypes="0" containsString="0" containsNumber="1" containsInteger="1" minValue="0" maxValue="0"/>
    </cacheField>
    <cacheField name="Octubre  23-28" numFmtId="0">
      <sharedItems containsSemiMixedTypes="0" containsString="0" containsNumber="1" containsInteger="1" minValue="0" maxValue="0"/>
    </cacheField>
    <cacheField name="Octubre  30-31" numFmtId="0">
      <sharedItems containsSemiMixedTypes="0" containsString="0" containsNumber="1" containsInteger="1" minValue="0" maxValue="0"/>
    </cacheField>
    <cacheField name="Noviembre  01-03" numFmtId="0">
      <sharedItems containsSemiMixedTypes="0" containsString="0" containsNumber="1" containsInteger="1" minValue="0" maxValue="0"/>
    </cacheField>
    <cacheField name="Noviembre  06-10" numFmtId="0">
      <sharedItems containsSemiMixedTypes="0" containsString="0" containsNumber="1" containsInteger="1" minValue="0" maxValue="0"/>
    </cacheField>
    <cacheField name="Noviembre  13-17" numFmtId="0">
      <sharedItems containsSemiMixedTypes="0" containsString="0" containsNumber="1" containsInteger="1" minValue="0" maxValue="0"/>
    </cacheField>
    <cacheField name="Noviembre  20-24" numFmtId="0">
      <sharedItems containsSemiMixedTypes="0" containsString="0" containsNumber="1" containsInteger="1" minValue="0" maxValue="0"/>
    </cacheField>
    <cacheField name="Noviembre  27-30" numFmtId="0">
      <sharedItems containsSemiMixedTypes="0" containsString="0" containsNumber="1" containsInteger="1" minValue="0" maxValue="0"/>
    </cacheField>
    <cacheField name="Diciembre  01-" numFmtId="0">
      <sharedItems containsSemiMixedTypes="0" containsString="0" containsNumber="1" containsInteger="1" minValue="0" maxValue="0"/>
    </cacheField>
    <cacheField name="Diciembre  04-08" numFmtId="0">
      <sharedItems containsSemiMixedTypes="0" containsString="0" containsNumber="1" containsInteger="1" minValue="0" maxValue="0"/>
    </cacheField>
    <cacheField name="Diciembre  11-15" numFmtId="0">
      <sharedItems containsSemiMixedTypes="0" containsString="0" containsNumber="1" containsInteger="1" minValue="0" maxValue="0"/>
    </cacheField>
    <cacheField name="Diciembre  18-22" numFmtId="0">
      <sharedItems containsSemiMixedTypes="0" containsString="0" containsNumber="1" containsInteger="1" minValue="0" maxValue="0"/>
    </cacheField>
    <cacheField name="Diciembre  25-29" numFmtId="0">
      <sharedItems containsSemiMixedTypes="0" containsString="0" containsNumber="1" containsInteger="1" minValue="0" maxValue="0"/>
    </cacheField>
    <cacheField name="TOTAL HRS ENERO" numFmtId="0">
      <sharedItems containsSemiMixedTypes="0" containsString="0" containsNumber="1" minValue="0" maxValue="176"/>
    </cacheField>
    <cacheField name="TOTAL HRS FEBRERO" numFmtId="0">
      <sharedItems containsSemiMixedTypes="0" containsString="0" containsNumber="1" containsInteger="1" minValue="0" maxValue="160"/>
    </cacheField>
    <cacheField name="TOTAL HRS MARZO" numFmtId="0">
      <sharedItems containsSemiMixedTypes="0" containsString="0" containsNumber="1" minValue="0" maxValue="184"/>
    </cacheField>
    <cacheField name="TOTAL HRS ABRIL" numFmtId="0">
      <sharedItems containsSemiMixedTypes="0" containsString="0" containsNumber="1" containsInteger="1" minValue="0" maxValue="144"/>
    </cacheField>
    <cacheField name="TOTAL HRS MAYO" numFmtId="0">
      <sharedItems containsSemiMixedTypes="0" containsString="0" containsNumber="1" minValue="0" maxValue="176"/>
    </cacheField>
    <cacheField name="TOTAL HRS JUNIO" numFmtId="0">
      <sharedItems containsSemiMixedTypes="0" containsString="0" containsNumber="1" containsInteger="1" minValue="0" maxValue="168"/>
    </cacheField>
    <cacheField name="TOTAL HRS JULIO" numFmtId="0">
      <sharedItems containsSemiMixedTypes="0" containsString="0" containsNumber="1" minValue="0" maxValue="160"/>
    </cacheField>
    <cacheField name="TOTAL HRS AGOSTO" numFmtId="0">
      <sharedItems containsSemiMixedTypes="0" containsString="0" containsNumber="1" containsInteger="1" minValue="0" maxValue="176"/>
    </cacheField>
    <cacheField name="TOTAL HRS SETIEMBRE" numFmtId="0">
      <sharedItems containsSemiMixedTypes="0" containsString="0" containsNumber="1" minValue="0" maxValue="168"/>
    </cacheField>
    <cacheField name="TOTAL HRS OCTUBRE" numFmtId="0">
      <sharedItems containsSemiMixedTypes="0" containsString="0" containsNumber="1" containsInteger="1" minValue="0" maxValue="40"/>
    </cacheField>
    <cacheField name="TOTAL HRS NOVIEMBRE" numFmtId="0">
      <sharedItems containsSemiMixedTypes="0" containsString="0" containsNumber="1" containsInteger="1" minValue="0" maxValue="0"/>
    </cacheField>
    <cacheField name="TOTAL HRS DICIEMBRE" numFmtId="0">
      <sharedItems containsSemiMixedTypes="0" containsString="0" containsNumber="1" containsInteger="1" minValue="0" maxValue="0"/>
    </cacheField>
    <cacheField name="TOTAL ACUMULADO" numFmtId="0">
      <sharedItems containsString="0" containsBlank="1" containsNumber="1" minValue="1" maxValue="1552"/>
    </cacheField>
  </cacheFields>
  <extLst>
    <ext xmlns:x14="http://schemas.microsoft.com/office/spreadsheetml/2009/9/main" uri="{725AE2AE-9491-48be-B2B4-4EB974FC3084}">
      <x14:pivotCacheDefinition pivotCacheId="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8">
  <r>
    <x v="0"/>
    <x v="0"/>
    <s v="CRECER"/>
    <s v="ABIERTO"/>
    <m/>
    <s v="P0001"/>
    <s v="Evaluacion Sistema Integrado de Polizas - SDP"/>
    <s v="Hernani Lau Patricia Rosa"/>
  </r>
  <r>
    <x v="0"/>
    <x v="0"/>
    <s v="CARDIF"/>
    <s v="ABIERTO"/>
    <m/>
    <s v="P0013"/>
    <s v="Reportes SBS"/>
    <s v="Hernani Lau Patricia Rosa"/>
  </r>
  <r>
    <x v="0"/>
    <x v="0"/>
    <s v="LA POSITIVA"/>
    <s v="PROCESO"/>
    <m/>
    <s v="MP004"/>
    <s v="Software Factory"/>
    <s v="Hernani Lau Patricia Rosa"/>
  </r>
  <r>
    <x v="0"/>
    <x v="0"/>
    <s v="ABB"/>
    <s v="ABIERTO"/>
    <m/>
    <s v="P0020"/>
    <s v="Fabrica de Software"/>
    <s v="Hernani Lau Patricia Rosa"/>
  </r>
  <r>
    <x v="0"/>
    <x v="0"/>
    <s v="NO FACT."/>
    <m/>
    <s v="OBSERVACIONES"/>
    <s v="NO FACT."/>
    <s v="No facturable"/>
    <s v="Hernani Lau Patricia Rosa"/>
  </r>
  <r>
    <x v="0"/>
    <x v="0"/>
    <s v="VACACIONES"/>
    <m/>
    <s v="OBSERVACIONES"/>
    <s v="VACACIONES"/>
    <s v="Vacaciones"/>
    <s v="Hernani Lau Patricia Rosa"/>
  </r>
  <r>
    <x v="0"/>
    <x v="0"/>
    <s v="PROPUESTA"/>
    <m/>
    <s v="OBSERVACIONES"/>
    <s v="PROPUESTA"/>
    <s v="Propuesta"/>
    <s v="Hernani Lau Patricia Rosa"/>
  </r>
  <r>
    <x v="0"/>
    <x v="0"/>
    <s v="INASISTENCIAS"/>
    <m/>
    <s v="OBSERVACIONES"/>
    <s v="INASISTENCIAS"/>
    <s v="Inasistencias"/>
    <s v="Hernani Lau Patricia Rosa"/>
  </r>
  <r>
    <x v="1"/>
    <x v="0"/>
    <s v="COSMOS"/>
    <s v="ABIERTO"/>
    <m/>
    <s v="P0005"/>
    <s v="Implementación del Sistema de Certificados de Retenciones"/>
    <s v="Benito Bendezú Marco Antonio"/>
  </r>
  <r>
    <x v="1"/>
    <x v="0"/>
    <s v="PROTECTA"/>
    <s v="PROCESO"/>
    <m/>
    <s v="P0026"/>
    <s v="Implementación de Extractores de Gestión TABELAU "/>
    <s v="Benito Bendezú Marco Antonio"/>
  </r>
  <r>
    <x v="1"/>
    <x v="0"/>
    <s v="SUSALUD"/>
    <s v="CERRADO"/>
    <m/>
    <s v="P0008"/>
    <s v="Aplicativo para la consulta de expedientes de SAREFIS y SADERECHOS con DNI electrónico"/>
    <s v="Benito Bendezú Marco Antonio"/>
  </r>
  <r>
    <x v="1"/>
    <x v="0"/>
    <s v="ABB"/>
    <s v="ABIERTO"/>
    <m/>
    <s v="P0020"/>
    <s v="Fabrica de Software"/>
    <s v="Benito Bendezú Marco Antonio"/>
  </r>
  <r>
    <x v="1"/>
    <x v="0"/>
    <s v="CLARIANT"/>
    <s v="ABIERTO"/>
    <m/>
    <s v="MP002"/>
    <s v="Soporte Tecnico"/>
    <s v="Benito Bendezú Marco Antonio"/>
  </r>
  <r>
    <x v="1"/>
    <x v="0"/>
    <s v="MOLY-COP"/>
    <s v="ABIERTO"/>
    <m/>
    <s v="MP003"/>
    <s v="Soporte Tecnico"/>
    <s v="Benito Bendezú Marco Antonio"/>
  </r>
  <r>
    <x v="1"/>
    <x v="0"/>
    <s v="ABB"/>
    <s v="CERRADO"/>
    <m/>
    <s v="MP005-1"/>
    <s v="Fabrica de Proyectos"/>
    <s v="Benito Bendezú Marco Antonio"/>
  </r>
  <r>
    <x v="1"/>
    <x v="0"/>
    <s v="UPC"/>
    <s v="CERRADO"/>
    <m/>
    <s v="P0010"/>
    <s v="Soporte de Analista de Calidad"/>
    <s v="Benito Bendezú Marco Antonio"/>
  </r>
  <r>
    <x v="2"/>
    <x v="0"/>
    <s v="LA POSITIVA"/>
    <s v="PROCESO"/>
    <m/>
    <s v="MP004"/>
    <s v="Software Factory"/>
    <s v="Padilla Vega Cindy"/>
  </r>
  <r>
    <x v="3"/>
    <x v="1"/>
    <s v="LA POSITIVA"/>
    <s v="PROCESO"/>
    <m/>
    <s v="MP004"/>
    <s v="Software Factory"/>
    <s v="P.Victor"/>
  </r>
  <r>
    <x v="4"/>
    <x v="1"/>
    <s v="LA POSITIVA"/>
    <s v="PROCESO"/>
    <m/>
    <s v="MP004"/>
    <s v="Software Factory"/>
    <s v="Z.Jose"/>
  </r>
  <r>
    <x v="5"/>
    <x v="1"/>
    <s v="LA POSITIVA"/>
    <s v="PROCESO"/>
    <m/>
    <s v="MP004"/>
    <s v="Software Factory"/>
    <s v="T.Jesus"/>
  </r>
  <r>
    <x v="6"/>
    <x v="1"/>
    <s v="LA POSITIVA"/>
    <s v="PROCESO"/>
    <m/>
    <s v="MP004"/>
    <s v="Software Factory"/>
    <s v="C.Rafael"/>
  </r>
  <r>
    <x v="7"/>
    <x v="1"/>
    <s v="LA POSITIVA"/>
    <s v="PROCESO"/>
    <m/>
    <s v="MP004"/>
    <s v="Software Factory"/>
    <s v="Alvarez Vera Daniel"/>
  </r>
  <r>
    <x v="8"/>
    <x v="1"/>
    <s v="LA POSITIVA"/>
    <s v="PROCESO"/>
    <m/>
    <s v="MP004"/>
    <s v="Software Factory"/>
    <s v="Chavez Miguel Angel"/>
  </r>
  <r>
    <x v="9"/>
    <x v="1"/>
    <s v="LA POSITIVA"/>
    <s v="PROCESO"/>
    <m/>
    <s v="MP004"/>
    <s v="Software Factory"/>
    <s v="Huaman Ramos Moises"/>
  </r>
  <r>
    <x v="10"/>
    <x v="1"/>
    <s v="LA POSITIVA"/>
    <s v="PROCESO"/>
    <m/>
    <s v="MP004"/>
    <s v="Software Factory"/>
    <s v="Girano Corbera Cristian"/>
  </r>
  <r>
    <x v="11"/>
    <x v="0"/>
    <s v="LA POSITIVA"/>
    <s v="PROCESO"/>
    <m/>
    <s v="MP004"/>
    <s v="Software Factory"/>
    <s v="Velasquez Quispe Lizbet"/>
  </r>
  <r>
    <x v="12"/>
    <x v="0"/>
    <s v="LA POSITIVA"/>
    <s v="PROCESO"/>
    <m/>
    <s v="MP004"/>
    <s v="Software Factory"/>
    <s v="Torres Gonzales Rogger Adrian"/>
  </r>
  <r>
    <x v="13"/>
    <x v="0"/>
    <s v="LA POSITIVA"/>
    <s v="PROCESO"/>
    <m/>
    <s v="MP004"/>
    <s v="Software Factory"/>
    <s v="Cordova Lozano Renzo Abbel"/>
  </r>
  <r>
    <x v="14"/>
    <x v="0"/>
    <s v="LA POSITIVA"/>
    <s v="PROCESO"/>
    <m/>
    <s v="MP004"/>
    <s v="Software Factory"/>
    <s v="Chura Ingalla Percy"/>
  </r>
  <r>
    <x v="15"/>
    <x v="0"/>
    <s v="LA POSITIVA"/>
    <s v="PROCESO"/>
    <m/>
    <s v="MP004"/>
    <s v="Software Factory"/>
    <s v="Fernandez Esquen Miguel Angel"/>
  </r>
  <r>
    <x v="16"/>
    <x v="0"/>
    <s v="LA POSITIVA"/>
    <s v="PROCESO"/>
    <m/>
    <s v="MP004"/>
    <s v="Software Factory"/>
    <s v="Garay Vilchez Mario Martin"/>
  </r>
  <r>
    <x v="17"/>
    <x v="0"/>
    <s v="LA POSITIVA"/>
    <s v="PROCESO"/>
    <m/>
    <s v="MP004"/>
    <s v="Software Factory"/>
    <s v="Laurencio Ambrosio Luis"/>
  </r>
  <r>
    <x v="18"/>
    <x v="0"/>
    <s v="LA POSITIVA"/>
    <s v="PROCESO"/>
    <m/>
    <s v="MP004"/>
    <s v="Software Factory"/>
    <s v="Arrascue Acosta Leslye Jacslyn"/>
  </r>
  <r>
    <x v="19"/>
    <x v="0"/>
    <s v="LA POSITIVA"/>
    <s v="PROCESO"/>
    <m/>
    <s v="MP004"/>
    <s v="Software Factory"/>
    <s v="Ayala Chira Juan Carlos "/>
  </r>
  <r>
    <x v="20"/>
    <x v="0"/>
    <s v="LA POSITIVA"/>
    <s v="PROCESO"/>
    <m/>
    <s v="MP004"/>
    <s v="Software Factory"/>
    <s v="Guzman Arteaga Joseph Michael"/>
  </r>
  <r>
    <x v="21"/>
    <x v="0"/>
    <s v="LA POSITIVA"/>
    <s v="PROCESO"/>
    <m/>
    <s v="MP004"/>
    <s v="Software Factory"/>
    <s v="Chuquisana Mendoza Jhonatan"/>
  </r>
  <r>
    <x v="22"/>
    <x v="0"/>
    <s v="LA POSITIVA"/>
    <s v="PROCESO"/>
    <m/>
    <s v="MP004"/>
    <s v="Software Factory"/>
    <s v="Meneses Sanchez Jesus"/>
  </r>
  <r>
    <x v="23"/>
    <x v="0"/>
    <s v="LA POSITIVA"/>
    <s v="PROCESO"/>
    <m/>
    <s v="MP004"/>
    <s v="Software Factory"/>
    <s v="Olarte Leon Jeff"/>
  </r>
  <r>
    <x v="24"/>
    <x v="1"/>
    <s v="LA POSITIVA"/>
    <s v="PROCESO"/>
    <m/>
    <s v="MP004"/>
    <s v="Software Factory"/>
    <s v="Giovanni Agustin Rivera Carrasco"/>
  </r>
  <r>
    <x v="25"/>
    <x v="1"/>
    <s v="LA POSITIVA"/>
    <s v="PROCESO"/>
    <m/>
    <s v="MP004"/>
    <s v="Software Factory"/>
    <s v="Freddy Peralta Boza"/>
  </r>
  <r>
    <x v="26"/>
    <x v="0"/>
    <s v="LA POSITIVA"/>
    <s v="PROCESO"/>
    <m/>
    <s v="MP004"/>
    <s v="Software Factory"/>
    <s v="Palomino Lanchipa"/>
  </r>
  <r>
    <x v="27"/>
    <x v="0"/>
    <s v="LA POSITIVA"/>
    <s v="PROCESO"/>
    <m/>
    <s v="MP004"/>
    <s v="Software Factory"/>
    <s v="Mendoza Ballona Erick"/>
  </r>
  <r>
    <x v="28"/>
    <x v="0"/>
    <s v="LA POSITIVA"/>
    <s v="PROCESO"/>
    <m/>
    <s v="MP004"/>
    <s v="Software Factory"/>
    <s v="Atanacio Gonzales Demetrio Jesus"/>
  </r>
  <r>
    <x v="29"/>
    <x v="0"/>
    <s v="LA POSITIVA"/>
    <s v="PROCESO"/>
    <m/>
    <s v="MP004"/>
    <s v="Software Factory"/>
    <s v="De la Cruz Hurtado Dany"/>
  </r>
  <r>
    <x v="30"/>
    <x v="0"/>
    <s v="LA POSITIVA"/>
    <s v="PROCESO"/>
    <m/>
    <s v="MP004"/>
    <s v="Software Factory"/>
    <s v="Becerra Robles Daniel"/>
  </r>
  <r>
    <x v="2"/>
    <x v="0"/>
    <s v="LA POSITIVA"/>
    <s v="PROCESO"/>
    <m/>
    <s v="MP004"/>
    <s v="Software Factory"/>
    <s v="Padilla Vega Cindy"/>
  </r>
  <r>
    <x v="31"/>
    <x v="1"/>
    <s v="LA POSITIVA"/>
    <s v="PROCESO"/>
    <m/>
    <s v="MP004"/>
    <s v="Software Factory"/>
    <s v="Calderon Vilchez, Renzo Pablo"/>
  </r>
  <r>
    <x v="32"/>
    <x v="0"/>
    <s v="LA POSITIVA"/>
    <s v="PROCESO"/>
    <m/>
    <s v="MP004"/>
    <s v="Software Factory"/>
    <s v="Aricochea Marcelo Anthony"/>
  </r>
  <r>
    <x v="33"/>
    <x v="0"/>
    <s v="LA POSITIVA"/>
    <s v="PROCESO"/>
    <m/>
    <s v="MP004"/>
    <s v="Software Factory"/>
    <s v="Perez Cristobal Cristobal "/>
  </r>
  <r>
    <x v="34"/>
    <x v="0"/>
    <s v="LA POSITIVA"/>
    <s v="PROCESO"/>
    <m/>
    <s v="MP004"/>
    <s v="Software Factory"/>
    <s v="Escobedo Martinez Angel"/>
  </r>
  <r>
    <x v="35"/>
    <x v="0"/>
    <s v="LA POSITIVA"/>
    <s v="PROCESO"/>
    <m/>
    <s v="MP004"/>
    <s v="Software Factory"/>
    <s v="Lopez Borja Amadeo Felix"/>
  </r>
  <r>
    <x v="36"/>
    <x v="0"/>
    <s v="LA POSITIVA"/>
    <s v="PROCESO"/>
    <m/>
    <s v="MP004"/>
    <s v="Software Factory"/>
    <s v="Zenteno Espinoza Alex"/>
  </r>
  <r>
    <x v="37"/>
    <x v="1"/>
    <s v="LA POSITIVA"/>
    <s v="PROCESO"/>
    <m/>
    <s v="MP004"/>
    <s v="Software Factory"/>
    <s v="Arce Miguel Aljeandro"/>
  </r>
  <r>
    <x v="38"/>
    <x v="0"/>
    <s v="LA POSITIVA"/>
    <s v="PROCESO"/>
    <m/>
    <s v="MP004"/>
    <s v="Software Factory"/>
    <s v="Gallegos Flores Pool Jhonatan"/>
  </r>
  <r>
    <x v="23"/>
    <x v="0"/>
    <s v="PROTECTA"/>
    <s v="PROCESO"/>
    <m/>
    <s v="P0025"/>
    <s v="Implementación de Indicadores de Gestión TABELAU "/>
    <s v="Olarte Leon Jeff"/>
  </r>
  <r>
    <x v="1"/>
    <x v="0"/>
    <s v="AMERICATEL"/>
    <s v="CERRADO"/>
    <m/>
    <s v="MP001"/>
    <s v="Analista Programador Java Python"/>
    <s v="Benito Bendezú Marco Antonio"/>
  </r>
  <r>
    <x v="1"/>
    <x v="0"/>
    <s v="VACACIONES"/>
    <m/>
    <s v="OBSERVACIONES"/>
    <s v="VACACIONES"/>
    <s v="Vacaciones"/>
    <s v="Benito Bendezú Marco Antonio"/>
  </r>
  <r>
    <x v="1"/>
    <x v="0"/>
    <s v="NO FACT."/>
    <m/>
    <s v="OBSERVACIONES"/>
    <s v="NO FACT."/>
    <s v="No facturable"/>
    <s v="Benito Bendezú Marco Antonio"/>
  </r>
  <r>
    <x v="1"/>
    <x v="0"/>
    <s v="PROPUESTA"/>
    <m/>
    <s v="OBSERVACIONES"/>
    <s v="PROPUESTA"/>
    <s v="Propuesta"/>
    <s v="Benito Bendezú Marco Antonio"/>
  </r>
  <r>
    <x v="39"/>
    <x v="0"/>
    <s v="COSMOS"/>
    <s v="ABIERTO"/>
    <m/>
    <s v="P0005"/>
    <s v="Implementación del Sistema de Certificados de Retenciones"/>
    <s v="Torres Brousset Pacheco, Gutenberg Alexis"/>
  </r>
  <r>
    <x v="39"/>
    <x v="0"/>
    <s v="CARDIF"/>
    <s v="CERRADO"/>
    <m/>
    <s v="P0011"/>
    <s v="outsourcing  de configuración de productos BBVA"/>
    <s v="Torres Brousset Pacheco, Gutenberg Alexis"/>
  </r>
  <r>
    <x v="40"/>
    <x v="1"/>
    <s v="ABB"/>
    <s v="CERRADO"/>
    <m/>
    <s v="MP005-1"/>
    <s v="Fabrica de Proyectos"/>
    <s v="Salazar Rojas Javier Fernando"/>
  </r>
  <r>
    <x v="4"/>
    <x v="1"/>
    <s v="ABB"/>
    <s v="CERRADO"/>
    <m/>
    <s v="MP005-1"/>
    <s v="Fabrica de Proyectos"/>
    <s v="Z.Jose"/>
  </r>
  <r>
    <x v="5"/>
    <x v="1"/>
    <s v="ABB"/>
    <s v="CERRADO"/>
    <m/>
    <s v="MP005-1"/>
    <s v="Fabrica de Proyectos"/>
    <s v="T.Jesus"/>
  </r>
  <r>
    <x v="0"/>
    <x v="0"/>
    <s v="ABB"/>
    <s v="CERRADO"/>
    <m/>
    <s v="MP005-1"/>
    <s v="Fabrica de Proyectos"/>
    <s v="Hernani Lau Patricia Rosa"/>
  </r>
  <r>
    <x v="41"/>
    <x v="1"/>
    <s v="CARDIF"/>
    <s v="CERRADO"/>
    <m/>
    <s v="P0011"/>
    <s v="outsourcing  de configuración de productos BBVA"/>
    <s v="M.Olga"/>
  </r>
  <r>
    <x v="0"/>
    <x v="0"/>
    <s v="CARDIF"/>
    <s v="CERRADO"/>
    <m/>
    <s v="P0011"/>
    <s v="outsourcing  de configuración de productos BBVA"/>
    <s v="Hernani Lau Patricia Rosa"/>
  </r>
  <r>
    <x v="39"/>
    <x v="0"/>
    <s v="CARDIF"/>
    <s v="ABIERTO"/>
    <m/>
    <s v="P0013"/>
    <s v="Reportes SBS"/>
    <s v="Torres Brousset Pacheco, Gutenberg Alexis"/>
  </r>
  <r>
    <x v="39"/>
    <x v="0"/>
    <s v="CARDIF"/>
    <s v="CERRADO"/>
    <m/>
    <s v="P0012"/>
    <s v="Configuración de productos PIMS"/>
    <s v="Torres Brousset Pacheco, Gutenberg Alexis"/>
  </r>
  <r>
    <x v="41"/>
    <x v="1"/>
    <s v="CRECER"/>
    <s v="ABIERTO"/>
    <m/>
    <s v="P0001"/>
    <s v="Evaluacion Sistema Integrado de Polizas - SDP"/>
    <s v="M.Olga"/>
  </r>
  <r>
    <x v="39"/>
    <x v="0"/>
    <s v="HYTERA"/>
    <s v="CERRADO"/>
    <m/>
    <s v="P0002"/>
    <s v="Implementación del Módulo Básico de Interconexión Radios - Tetra Server - BD PNP"/>
    <s v="Torres Brousset Pacheco, Gutenberg Alexis"/>
  </r>
  <r>
    <x v="39"/>
    <x v="0"/>
    <s v="NO FACT."/>
    <m/>
    <s v="OBSERVACIONES"/>
    <s v="NO FACT."/>
    <s v="No facturable"/>
    <s v="Torres Brousset Pacheco, Gutenberg Alexis"/>
  </r>
  <r>
    <x v="40"/>
    <x v="1"/>
    <s v="COSMOS"/>
    <s v="ABIERTO"/>
    <m/>
    <s v="P0005"/>
    <s v="Implementación del Sistema de Certificados de Retenciones"/>
    <s v="Salazar Rojas Javier Fernando"/>
  </r>
  <r>
    <x v="40"/>
    <x v="1"/>
    <s v="ABB"/>
    <s v="ABIERTO"/>
    <m/>
    <s v="P0020"/>
    <s v="Fabrica de Software"/>
    <s v="Salazar Rojas Javier Fernando"/>
  </r>
  <r>
    <x v="40"/>
    <x v="1"/>
    <s v="NO FACT."/>
    <m/>
    <s v="OBSERVACIONES"/>
    <s v="NO FACT."/>
    <s v="No facturable"/>
    <s v="Salazar Rojas Javier Fernando"/>
  </r>
  <r>
    <x v="42"/>
    <x v="0"/>
    <s v="CALIDDA"/>
    <s v="CERRADO"/>
    <m/>
    <s v="P0007"/>
    <s v="Up Grade Web de Licitaciones Calidda"/>
    <s v="Alejos Yamamoto Arturo Ricardo"/>
  </r>
  <r>
    <x v="42"/>
    <x v="0"/>
    <s v="SUSALUD"/>
    <s v="CERRADO"/>
    <m/>
    <s v="P0008"/>
    <s v="Aplicativo para la consulta de expedientes de SAREFIS y SADERECHOS con DNI electrónico"/>
    <s v="Alejos Yamamoto Arturo Ricardo"/>
  </r>
  <r>
    <x v="42"/>
    <x v="0"/>
    <s v="CAJA AREQ."/>
    <s v="CERRADO"/>
    <m/>
    <s v="P0006"/>
    <s v="Implementación y despliegue de Pagos Masivos para Caja Arequipa"/>
    <s v="Alejos Yamamoto Arturo Ricardo"/>
  </r>
  <r>
    <x v="42"/>
    <x v="0"/>
    <s v="HYTERA"/>
    <s v="CERRADO"/>
    <m/>
    <s v="P0002"/>
    <s v="Implementación del Módulo Básico de Interconexión Radios - Tetra Server - BD PNP"/>
    <s v="Alejos Yamamoto Arturo Ricardo"/>
  </r>
  <r>
    <x v="42"/>
    <x v="0"/>
    <s v="HYTERA"/>
    <s v="CERRADO"/>
    <m/>
    <s v="P0003"/>
    <s v="Implementación de los Módulos para la interconexión de los Radios - Tetra Server - BD PNP"/>
    <s v="Alejos Yamamoto Arturo Ricardo"/>
  </r>
  <r>
    <x v="42"/>
    <x v="0"/>
    <s v="SUSALUD"/>
    <s v="PROCESO"/>
    <m/>
    <s v="P0024"/>
    <s v="Totem Digital"/>
    <s v="Alejos Yamamoto Arturo Ricardo"/>
  </r>
  <r>
    <x v="43"/>
    <x v="0"/>
    <s v="ABB"/>
    <s v="ABIERTO"/>
    <m/>
    <s v="P0020"/>
    <s v="Fabrica de Software"/>
    <s v="Huanes Bautista César"/>
  </r>
  <r>
    <x v="42"/>
    <x v="0"/>
    <s v="ABB"/>
    <s v="ABIERTO"/>
    <m/>
    <s v="P0020"/>
    <s v="Fabrica de Software"/>
    <s v="Alejos Yamamoto Arturo Ricardo"/>
  </r>
  <r>
    <x v="42"/>
    <x v="0"/>
    <s v="AMERICA TV"/>
    <s v="ABIERTO"/>
    <m/>
    <s v="P0019"/>
    <s v="Servicios de soporte de segundo nivel sobre Linux en Cloud Softlayer_x000a_"/>
    <s v="Alejos Yamamoto Arturo Ricardo"/>
  </r>
  <r>
    <x v="44"/>
    <x v="0"/>
    <s v="AMERICA TV"/>
    <s v="ABIERTO"/>
    <m/>
    <s v="P0019"/>
    <s v="Servicios de soporte de segundo nivel sobre Linux en Cloud Softlayer_x000a_"/>
    <s v="Empresa tercerizada"/>
  </r>
  <r>
    <x v="42"/>
    <x v="0"/>
    <s v="PROPUESTA"/>
    <m/>
    <s v="OBSERVACIONES"/>
    <s v="PROPUESTA"/>
    <s v="Propuesta"/>
    <s v="Alejos Yamamoto Arturo Ricardo"/>
  </r>
  <r>
    <x v="42"/>
    <x v="0"/>
    <s v="NO FACT."/>
    <m/>
    <s v="OBSERVACIONES"/>
    <s v="NO FACT."/>
    <s v="No facturable"/>
    <s v="Alejos Yamamoto Arturo Ricardo"/>
  </r>
  <r>
    <x v="45"/>
    <x v="0"/>
    <s v="CALIDDA"/>
    <s v="CERRADO"/>
    <m/>
    <s v="P0007"/>
    <s v="Up Grade Web de Licitaciones Calidda"/>
    <s v="Pérez Montemayor Jose Javier"/>
  </r>
  <r>
    <x v="6"/>
    <x v="1"/>
    <s v="SUSALUD"/>
    <s v="CERRADO"/>
    <m/>
    <s v="P0008"/>
    <s v="Aplicativo para la consulta de expedientes de SAREFIS y SADERECHOS con DNI electrónico"/>
    <s v="C.Rafael"/>
  </r>
  <r>
    <x v="45"/>
    <x v="0"/>
    <s v="SUSALUD"/>
    <s v="CERRADO"/>
    <m/>
    <s v="P0008"/>
    <s v="Aplicativo para la consulta de expedientes de SAREFIS y SADERECHOS con DNI electrónico"/>
    <s v="Pérez Montemayor Jose Javier"/>
  </r>
  <r>
    <x v="6"/>
    <x v="1"/>
    <s v="CAJA AREQ."/>
    <s v="CERRADO"/>
    <m/>
    <s v="P0006"/>
    <s v="Implementación y despliegue de Pagos Masivos para Caja Arequipa"/>
    <s v="C.Rafael"/>
  </r>
  <r>
    <x v="45"/>
    <x v="0"/>
    <s v="CAJA AREQ."/>
    <s v="CERRADO"/>
    <m/>
    <s v="P0006"/>
    <s v="Implementación y despliegue de Pagos Masivos para Caja Arequipa"/>
    <s v="Pérez Montemayor Jose Javier"/>
  </r>
  <r>
    <x v="42"/>
    <x v="0"/>
    <s v="ABB"/>
    <s v="PROCESO"/>
    <m/>
    <s v="P0014"/>
    <s v="Fabrica de Software 1° Etapa"/>
    <s v="Alejos Yamamoto Arturo Ricardo"/>
  </r>
  <r>
    <x v="45"/>
    <x v="0"/>
    <s v="ABB"/>
    <s v="PROCESO"/>
    <m/>
    <s v="P0014"/>
    <s v="Fabrica de Software 1° Etapa"/>
    <s v="Pérez Montemayor Jose Javier"/>
  </r>
  <r>
    <x v="45"/>
    <x v="0"/>
    <s v="ABB"/>
    <s v="ABIERTO"/>
    <m/>
    <s v="P0020"/>
    <s v="Fabrica de Software"/>
    <s v="Pérez Montemayor Jose Javier"/>
  </r>
  <r>
    <x v="45"/>
    <x v="0"/>
    <s v="INASISTENCIAS"/>
    <m/>
    <s v="OBSERVACIONES"/>
    <s v="INASISTENCIAS"/>
    <s v="Inasistencias"/>
    <s v="Pérez Montemayor Jose Javier"/>
  </r>
  <r>
    <x v="45"/>
    <x v="0"/>
    <s v="SUSALUD"/>
    <s v="PROCESO"/>
    <m/>
    <s v="P0024"/>
    <s v="Totem Digital"/>
    <s v="Pérez Montemayor Jose Javier"/>
  </r>
  <r>
    <x v="46"/>
    <x v="0"/>
    <s v="HYTERA"/>
    <s v="CERRADO"/>
    <m/>
    <s v="P0002"/>
    <s v="Implementación del Módulo Básico de Interconexión Radios - Tetra Server - BD PNP"/>
    <s v="Pizarro Saldaña Jorge Gabriel"/>
  </r>
  <r>
    <x v="46"/>
    <x v="0"/>
    <s v="HYTERA"/>
    <s v="CERRADO"/>
    <m/>
    <s v="P0003"/>
    <s v="Implementación de los Módulos para la interconexión de los Radios - Tetra Server - BD PNP"/>
    <s v="Pizarro Saldaña Jorge Gabriel"/>
  </r>
  <r>
    <x v="46"/>
    <x v="0"/>
    <s v="PALABRITAS"/>
    <s v="CERRADO"/>
    <m/>
    <s v="P0018"/>
    <s v="Palabritas"/>
    <s v="Pizarro Saldaña Jorge Gabriel"/>
  </r>
  <r>
    <x v="46"/>
    <x v="0"/>
    <s v="SUSALUD"/>
    <s v="CERRADO"/>
    <m/>
    <s v="P0009"/>
    <s v="Aplicativo SUSALUD contigo IOS"/>
    <s v="Pizarro Saldaña Jorge Gabriel"/>
  </r>
  <r>
    <x v="46"/>
    <x v="0"/>
    <s v="CARDIF"/>
    <s v="ABIERTO"/>
    <m/>
    <s v="P0013"/>
    <s v="Reportes SBS"/>
    <s v="Pizarro Saldaña Jorge Gabriel"/>
  </r>
  <r>
    <x v="46"/>
    <x v="0"/>
    <s v="EDUCA_D"/>
    <s v="PROCESO"/>
    <m/>
    <s v="P0023"/>
    <s v=" 8 Aplicaciones Móviles Universidades"/>
    <s v="Pizarro Saldaña Jorge Gabriel"/>
  </r>
  <r>
    <x v="47"/>
    <x v="0"/>
    <s v="NO FACT."/>
    <m/>
    <s v="OBSERVACIONES"/>
    <s v="NO FACT."/>
    <s v="No facturable"/>
    <s v="Revilla Casalino Pablo"/>
  </r>
  <r>
    <x v="41"/>
    <x v="1"/>
    <s v="NO FACT."/>
    <m/>
    <s v="OBSERVACIONES"/>
    <s v="NO FACT."/>
    <s v="No facturable"/>
    <s v="M.Olga"/>
  </r>
  <r>
    <x v="48"/>
    <x v="1"/>
    <s v="NO FACT."/>
    <m/>
    <s v="OBSERVACIONES"/>
    <s v="NO FACT."/>
    <s v="No facturable"/>
    <s v="C.Manuel"/>
  </r>
  <r>
    <x v="5"/>
    <x v="1"/>
    <s v="NO FACT."/>
    <m/>
    <s v="OBSERVACIONES"/>
    <s v="NO FACT."/>
    <s v="No facturable"/>
    <s v="T.Jesus"/>
  </r>
  <r>
    <x v="46"/>
    <x v="0"/>
    <s v="NO FACT."/>
    <m/>
    <s v="OBSERVACIONES"/>
    <s v="NO FACT."/>
    <s v="No facturable"/>
    <s v="Pizarro Saldaña Jorge Gabriel"/>
  </r>
  <r>
    <x v="41"/>
    <x v="1"/>
    <s v="PROPUESTA"/>
    <m/>
    <s v="OBSERVACIONES"/>
    <s v="PROPUESTA"/>
    <s v="Propuesta"/>
    <s v="M.Olga"/>
  </r>
  <r>
    <x v="46"/>
    <x v="0"/>
    <s v="VACACIONES"/>
    <m/>
    <s v="OBSERVACIONES"/>
    <s v="VACACIONES"/>
    <s v="Vacaciones"/>
    <s v="Pizarro Saldaña Jorge Gabriel"/>
  </r>
  <r>
    <x v="46"/>
    <x v="0"/>
    <s v="PROPUESTA"/>
    <m/>
    <s v="OBSERVACIONES"/>
    <s v="PROPUESTA"/>
    <s v="Propuesta"/>
    <s v="Pizarro Saldaña Jorge Gabriel"/>
  </r>
  <r>
    <x v="6"/>
    <x v="1"/>
    <s v="CALIDDA"/>
    <s v="CERRADO"/>
    <m/>
    <s v="P0007"/>
    <s v="Up Grade Web de Licitaciones Calidda"/>
    <s v="C.Rafael"/>
  </r>
  <r>
    <x v="46"/>
    <x v="0"/>
    <s v="INASISTENCIAS"/>
    <m/>
    <s v="OBSERVACIONES"/>
    <s v="INASISTENCIAS"/>
    <s v="Inasistencias"/>
    <s v="Pizarro Saldaña Jorge Gabriel"/>
  </r>
  <r>
    <x v="47"/>
    <x v="0"/>
    <s v="HYTERA"/>
    <s v="CERRADO"/>
    <m/>
    <s v="P0002"/>
    <s v="Implementación del Módulo Básico de Interconexión Radios - Tetra Server - BD PNP"/>
    <s v="Revilla Casalino Pablo"/>
  </r>
  <r>
    <x v="47"/>
    <x v="0"/>
    <s v="HYTERA"/>
    <s v="CERRADO"/>
    <m/>
    <s v="P0003"/>
    <s v="Implementación de los Módulos para la interconexión de los Radios - Tetra Server - BD PNP"/>
    <s v="Revilla Casalino Pablo"/>
  </r>
  <r>
    <x v="47"/>
    <x v="0"/>
    <s v="SUSALUD"/>
    <s v="CERRADO"/>
    <m/>
    <s v="P0009"/>
    <s v="Aplicativo SUSALUD contigo IOS"/>
    <s v="Revilla Casalino Pablo"/>
  </r>
  <r>
    <x v="49"/>
    <x v="0"/>
    <s v="PALABRITAS"/>
    <s v="CERRADO"/>
    <m/>
    <s v="P0018"/>
    <s v="Palabritas"/>
    <s v="Chamorro Rojas Pierre Nestor"/>
  </r>
  <r>
    <x v="47"/>
    <x v="0"/>
    <s v="PALABRITAS"/>
    <s v="CERRADO"/>
    <m/>
    <s v="P0018"/>
    <s v="Palabritas"/>
    <s v="Revilla Casalino Pablo"/>
  </r>
  <r>
    <x v="47"/>
    <x v="0"/>
    <s v="CARDIF"/>
    <s v="ABIERTO"/>
    <m/>
    <s v="P0013"/>
    <s v="Reportes SBS"/>
    <s v="Revilla Casalino Pablo"/>
  </r>
  <r>
    <x v="47"/>
    <x v="0"/>
    <s v="EDUCA_D"/>
    <s v="PROCESO"/>
    <m/>
    <s v="P0023"/>
    <s v=" 8 Aplicaciones Móviles Universidades"/>
    <s v="Revilla Casalino Pablo"/>
  </r>
  <r>
    <x v="47"/>
    <x v="0"/>
    <s v="PROPUESTA"/>
    <m/>
    <s v="OBSERVACIONES"/>
    <s v="PROPUESTA"/>
    <s v="Propuesta"/>
    <s v="Revilla Casalino Pablo"/>
  </r>
  <r>
    <x v="50"/>
    <x v="0"/>
    <s v="MOLY-COP"/>
    <s v="ABIERTO"/>
    <m/>
    <s v="MP003"/>
    <s v="Soporte Tecnico"/>
    <s v="Garcia Gutierrez Alan David"/>
  </r>
  <r>
    <x v="51"/>
    <x v="0"/>
    <s v="CLARIANT"/>
    <s v="ABIERTO"/>
    <m/>
    <s v="MP002"/>
    <s v="Soporte Tecnico"/>
    <s v="Villanueva Melgarejo Andres Angel"/>
  </r>
  <r>
    <x v="52"/>
    <x v="1"/>
    <s v="AMERICATEL"/>
    <s v="CERRADO"/>
    <m/>
    <s v="MP001"/>
    <s v="Analista Programador Java Python"/>
    <s v="Fernandez Sanchez Walter Jose"/>
  </r>
  <r>
    <x v="53"/>
    <x v="0"/>
    <s v="UPC"/>
    <s v="CERRADO"/>
    <m/>
    <s v="P0010"/>
    <s v="Soporte de Analista de Calidad"/>
    <s v="Capactinta Bonifacio Luis Reynaldo"/>
  </r>
  <r>
    <x v="3"/>
    <x v="1"/>
    <s v="NO FACT."/>
    <m/>
    <s v="OBSERVACIONES"/>
    <s v="NO FACT."/>
    <s v="No facturable"/>
    <s v="P.Victor"/>
  </r>
  <r>
    <x v="53"/>
    <x v="0"/>
    <s v="NO FACT."/>
    <m/>
    <s v="OBSERVACIONES"/>
    <s v="NO FACT."/>
    <s v="No facturable"/>
    <s v="Capactinta Bonifacio Luis Reynaldo"/>
  </r>
  <r>
    <x v="54"/>
    <x v="0"/>
    <s v="CARDIF"/>
    <s v="ABIERTO"/>
    <m/>
    <s v="P0013"/>
    <s v="Reportes SBS"/>
    <s v="Barbaran Broncales Emanuel"/>
  </r>
  <r>
    <x v="54"/>
    <x v="0"/>
    <s v="LA POSITIVA"/>
    <s v="PROCESO"/>
    <m/>
    <s v="MP004"/>
    <s v="Software Factory"/>
    <s v="Barbaran Broncales Emanuel"/>
  </r>
  <r>
    <x v="54"/>
    <x v="0"/>
    <s v="NO FACT."/>
    <m/>
    <s v="OBSERVACIONES"/>
    <s v="NO FACT."/>
    <s v="No facturable"/>
    <s v="Barbaran Broncales Emanuel"/>
  </r>
  <r>
    <x v="43"/>
    <x v="0"/>
    <s v="CARDIF"/>
    <s v="ABIERTO"/>
    <m/>
    <s v="P0013"/>
    <s v="Reportes SBS"/>
    <s v="Huanes Bautista César"/>
  </r>
  <r>
    <x v="55"/>
    <x v="0"/>
    <s v="INASISTENCIAS"/>
    <m/>
    <s v="OBSERVACIONES"/>
    <s v="INASISTENCIAS"/>
    <s v="Inasistencias"/>
    <s v="Galvez Aguilar Arturo Jesus"/>
  </r>
  <r>
    <x v="55"/>
    <x v="0"/>
    <s v="NO FACT."/>
    <m/>
    <s v="OBSERVACIONES"/>
    <s v="NO FACT."/>
    <s v="No facturable"/>
    <s v="Galvez Aguilar Arturo Jesus"/>
  </r>
  <r>
    <x v="54"/>
    <x v="0"/>
    <s v="INASISTENCIAS"/>
    <m/>
    <s v="OBSERVACIONES"/>
    <s v="INASISTENCIAS"/>
    <s v="Inasistencias"/>
    <s v="Barbaran Broncales Emanuel"/>
  </r>
  <r>
    <x v="54"/>
    <x v="0"/>
    <s v="AMERICATEL"/>
    <s v="CERRADO"/>
    <m/>
    <s v="MP001"/>
    <s v="Analista Programador Java Python"/>
    <s v="Barbaran Broncales Emanuel"/>
  </r>
  <r>
    <x v="55"/>
    <x v="0"/>
    <s v="AMERICATEL"/>
    <s v="CERRADO"/>
    <m/>
    <s v="MP001"/>
    <s v="Analista Programador Java Python"/>
    <s v="Galvez Aguilar Arturo Jesus"/>
  </r>
  <r>
    <x v="55"/>
    <x v="0"/>
    <s v="CARDIF"/>
    <s v="ABIERTO"/>
    <m/>
    <s v="P0013"/>
    <s v="Reportes SBS"/>
    <s v="Galvez Aguilar Arturo Jesus"/>
  </r>
  <r>
    <x v="49"/>
    <x v="0"/>
    <s v="SUSALUD"/>
    <s v="CERRADO"/>
    <m/>
    <s v="P0009"/>
    <s v="Aplicativo SUSALUD contigo IOS"/>
    <s v="Chamorro Rojas Pierre Nestor"/>
  </r>
  <r>
    <x v="49"/>
    <x v="0"/>
    <s v="NO FACT."/>
    <m/>
    <s v="OBSERVACIONES"/>
    <s v="NO FACT."/>
    <s v="No facturable"/>
    <s v="Chamorro Rojas Pierre Nestor"/>
  </r>
  <r>
    <x v="49"/>
    <x v="0"/>
    <s v="EDUCA_D"/>
    <s v="PROCESO"/>
    <m/>
    <s v="P0023"/>
    <s v=" 8 Aplicaciones Móviles Universidades"/>
    <s v="Chamorro Rojas Pierre Nestor"/>
  </r>
  <r>
    <x v="49"/>
    <x v="0"/>
    <s v="INASISTENCIAS"/>
    <m/>
    <s v="OBSERVACIONES"/>
    <s v="INASISTENCIAS"/>
    <s v="Inasistencias"/>
    <s v="Chamorro Rojas Pierre Nestor"/>
  </r>
  <r>
    <x v="56"/>
    <x v="1"/>
    <s v="PROTECTA"/>
    <s v="CERRADO"/>
    <m/>
    <s v="P0015"/>
    <s v="Mejoras funcionales SOAT Operaciones y RQ de automatización cierre contable"/>
    <s v="Gonzales Scarlen"/>
  </r>
  <r>
    <x v="56"/>
    <x v="1"/>
    <s v="CARDIF"/>
    <s v="ABIERTO"/>
    <m/>
    <s v="P0013"/>
    <s v="Reportes SBS"/>
    <s v="Gonzales Scarlen"/>
  </r>
  <r>
    <x v="57"/>
    <x v="1"/>
    <s v="CARDIF"/>
    <s v="ABIERTO"/>
    <m/>
    <s v="P0013"/>
    <s v="Reportes SBS"/>
    <s v="Uceda Cristian"/>
  </r>
  <r>
    <x v="58"/>
    <x v="0"/>
    <s v="PROTECTA"/>
    <s v="ABIERTO"/>
    <m/>
    <s v="P0022"/>
    <s v="Adecuacion SISWEP-Cargas Masivas"/>
    <s v="Salinas Vasquez Juan Rafael"/>
  </r>
  <r>
    <x v="59"/>
    <x v="0"/>
    <s v="PROTECTA"/>
    <s v="PROCESO"/>
    <m/>
    <s v="P0027"/>
    <s v="Implementacion del Sistema BackOffice SOAT"/>
    <s v="Sotelo Hugo"/>
  </r>
  <r>
    <x v="60"/>
    <x v="0"/>
    <s v="ABB"/>
    <s v="ABIERTO"/>
    <m/>
    <s v="P0020"/>
    <s v="Fabrica de Software"/>
    <s v="Cespedes Levano Edwin Israel"/>
  </r>
  <r>
    <x v="61"/>
    <x v="1"/>
    <s v="CARDIF"/>
    <s v="ABIERTO"/>
    <m/>
    <s v="P0013"/>
    <s v="Reportes SBS"/>
    <s v="Somoza Francisco Javier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8">
  <r>
    <x v="0"/>
    <x v="0"/>
    <x v="0"/>
    <x v="0"/>
    <x v="0"/>
    <x v="0"/>
    <x v="0"/>
    <s v="Hernani Lau Patricia Rosa"/>
    <x v="0"/>
    <n v="16"/>
    <n v="40"/>
    <n v="20"/>
    <n v="12"/>
    <n v="24"/>
    <n v="40"/>
    <n v="40"/>
    <n v="40"/>
    <n v="4"/>
    <n v="0"/>
    <n v="0"/>
    <n v="0"/>
    <n v="0"/>
    <n v="0"/>
    <n v="2"/>
    <n v="0"/>
    <n v="0"/>
    <n v="0"/>
    <n v="0"/>
    <n v="0"/>
    <n v="20"/>
    <n v="4"/>
    <n v="0"/>
    <n v="3"/>
    <n v="0"/>
    <n v="0"/>
    <n v="32"/>
    <n v="29"/>
    <n v="40"/>
    <n v="16"/>
    <n v="1.5"/>
    <n v="0"/>
    <n v="0"/>
    <n v="0"/>
  </r>
  <r>
    <x v="0"/>
    <x v="0"/>
    <x v="1"/>
    <x v="0"/>
    <x v="0"/>
    <x v="1"/>
    <x v="1"/>
    <s v="Hernani Lau Patricia Rosa"/>
    <x v="1"/>
    <n v="0"/>
    <n v="0"/>
    <n v="0"/>
    <n v="0"/>
    <n v="0"/>
    <n v="0"/>
    <n v="0"/>
    <n v="0"/>
    <n v="0"/>
    <n v="0"/>
    <n v="0"/>
    <n v="0"/>
    <n v="0"/>
    <n v="0"/>
    <n v="0"/>
    <n v="11"/>
    <n v="0"/>
    <n v="0"/>
    <n v="32"/>
    <n v="40"/>
    <n v="20"/>
    <n v="36"/>
    <n v="24"/>
    <n v="13"/>
    <n v="40"/>
    <n v="40"/>
    <n v="0"/>
    <n v="3"/>
    <n v="0"/>
    <n v="0"/>
    <n v="0"/>
    <n v="0"/>
    <n v="0"/>
    <n v="0"/>
  </r>
  <r>
    <x v="0"/>
    <x v="0"/>
    <x v="2"/>
    <x v="1"/>
    <x v="0"/>
    <x v="2"/>
    <x v="2"/>
    <s v="Hernani Lau Patricia Rosa"/>
    <x v="2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.5"/>
    <n v="32"/>
    <n v="0"/>
    <n v="0"/>
  </r>
  <r>
    <x v="0"/>
    <x v="0"/>
    <x v="3"/>
    <x v="0"/>
    <x v="0"/>
    <x v="3"/>
    <x v="3"/>
    <s v="Hernani Lau Patricia Rosa"/>
    <x v="1"/>
    <n v="0"/>
    <n v="0"/>
    <n v="0"/>
    <n v="0"/>
    <n v="0"/>
    <n v="0"/>
    <n v="0"/>
    <n v="0"/>
    <n v="0"/>
    <n v="0"/>
    <n v="0"/>
    <n v="0"/>
    <n v="0"/>
    <n v="0"/>
    <n v="16"/>
    <n v="2"/>
    <n v="0"/>
    <n v="0"/>
    <n v="0"/>
    <n v="0"/>
    <n v="0"/>
    <n v="0"/>
    <n v="0"/>
    <n v="0"/>
    <n v="0"/>
    <n v="0"/>
    <n v="0"/>
    <n v="0"/>
    <n v="0"/>
    <n v="0"/>
    <n v="0"/>
    <m/>
    <n v="0"/>
    <n v="0"/>
  </r>
  <r>
    <x v="0"/>
    <x v="0"/>
    <x v="4"/>
    <x v="2"/>
    <x v="1"/>
    <x v="4"/>
    <x v="4"/>
    <s v="Hernani Lau Patricia Rosa"/>
    <x v="1"/>
    <n v="0"/>
    <n v="0"/>
    <n v="0"/>
    <n v="0"/>
    <n v="0"/>
    <n v="0"/>
    <n v="0"/>
    <n v="0"/>
    <n v="0"/>
    <n v="21"/>
    <n v="16"/>
    <n v="0"/>
    <n v="0"/>
    <n v="0"/>
    <n v="14"/>
    <n v="8"/>
    <n v="40"/>
    <n v="4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x v="5"/>
    <x v="2"/>
    <x v="1"/>
    <x v="5"/>
    <x v="5"/>
    <s v="Hernani Lau Patricia Rosa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n v="0"/>
  </r>
  <r>
    <x v="0"/>
    <x v="0"/>
    <x v="6"/>
    <x v="2"/>
    <x v="1"/>
    <x v="6"/>
    <x v="6"/>
    <s v="Hernani Lau Patricia Rosa"/>
    <x v="1"/>
    <n v="0"/>
    <n v="0"/>
    <n v="20"/>
    <n v="4"/>
    <n v="0"/>
    <n v="0"/>
    <n v="0"/>
    <n v="0"/>
    <n v="12"/>
    <n v="0"/>
    <n v="0"/>
    <n v="0"/>
    <n v="0"/>
    <n v="0"/>
    <n v="8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x v="7"/>
    <x v="2"/>
    <x v="1"/>
    <x v="7"/>
    <x v="7"/>
    <s v="Hernani Lau Patricia Rosa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n v="0"/>
    <n v="0"/>
  </r>
  <r>
    <x v="1"/>
    <x v="0"/>
    <x v="8"/>
    <x v="0"/>
    <x v="0"/>
    <x v="8"/>
    <x v="8"/>
    <s v="Benito Bendezú Marco Antonio"/>
    <x v="1"/>
    <n v="0"/>
    <n v="0"/>
    <n v="0"/>
    <n v="0"/>
    <n v="0"/>
    <n v="0"/>
    <n v="0"/>
    <n v="0"/>
    <n v="0"/>
    <n v="6"/>
    <n v="10"/>
    <n v="10"/>
    <n v="10"/>
    <n v="10"/>
    <n v="13"/>
    <n v="6"/>
    <n v="4"/>
    <n v="10"/>
    <n v="20"/>
    <n v="16"/>
    <n v="0"/>
    <n v="0"/>
    <n v="0"/>
    <n v="0"/>
    <n v="0"/>
    <n v="3"/>
    <n v="32"/>
    <n v="28"/>
    <n v="35"/>
    <n v="35"/>
    <n v="12"/>
    <n v="0"/>
    <n v="0"/>
    <n v="0"/>
  </r>
  <r>
    <x v="1"/>
    <x v="0"/>
    <x v="9"/>
    <x v="1"/>
    <x v="0"/>
    <x v="9"/>
    <x v="9"/>
    <s v="Benito Bendezú Marco Antonio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"/>
    <n v="28"/>
    <n v="0"/>
    <n v="0"/>
  </r>
  <r>
    <x v="1"/>
    <x v="0"/>
    <x v="10"/>
    <x v="3"/>
    <x v="0"/>
    <x v="10"/>
    <x v="10"/>
    <s v="Benito Bendezú Marco Antonio"/>
    <x v="1"/>
    <n v="0"/>
    <n v="0"/>
    <n v="0"/>
    <n v="0"/>
    <n v="0"/>
    <n v="8"/>
    <n v="10"/>
    <n v="10"/>
    <n v="4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0"/>
    <x v="3"/>
    <x v="0"/>
    <x v="0"/>
    <x v="3"/>
    <x v="3"/>
    <s v="Benito Bendezú Marco Antonio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0"/>
    <x v="11"/>
    <x v="0"/>
    <x v="0"/>
    <x v="11"/>
    <x v="11"/>
    <s v="Benito Bendezú Marco Antonio"/>
    <x v="1"/>
    <n v="0"/>
    <n v="0"/>
    <n v="0"/>
    <n v="0"/>
    <n v="0"/>
    <n v="0"/>
    <n v="0"/>
    <n v="0"/>
    <n v="0"/>
    <n v="0"/>
    <n v="0"/>
    <n v="0"/>
    <n v="0"/>
    <n v="0"/>
    <n v="5"/>
    <n v="3"/>
    <n v="5"/>
    <n v="5"/>
    <n v="1"/>
    <n v="0"/>
    <n v="0"/>
    <n v="0"/>
    <n v="0"/>
    <n v="0"/>
    <n v="0"/>
    <n v="0"/>
    <n v="0"/>
    <n v="0"/>
    <n v="0"/>
    <n v="0"/>
    <n v="0"/>
    <n v="0"/>
    <n v="0"/>
    <n v="0"/>
  </r>
  <r>
    <x v="1"/>
    <x v="0"/>
    <x v="12"/>
    <x v="0"/>
    <x v="0"/>
    <x v="12"/>
    <x v="11"/>
    <s v="Benito Bendezú Marco Antonio"/>
    <x v="1"/>
    <n v="0"/>
    <n v="0"/>
    <n v="0"/>
    <n v="0"/>
    <n v="0"/>
    <n v="0"/>
    <n v="0"/>
    <n v="0"/>
    <n v="0"/>
    <n v="0"/>
    <n v="0"/>
    <n v="0"/>
    <n v="0"/>
    <n v="0"/>
    <n v="2"/>
    <n v="3"/>
    <n v="2"/>
    <n v="1"/>
    <n v="1"/>
    <n v="0"/>
    <n v="0"/>
    <n v="0"/>
    <n v="0"/>
    <n v="0"/>
    <n v="0"/>
    <n v="0"/>
    <n v="0"/>
    <n v="0"/>
    <n v="0"/>
    <n v="0"/>
    <n v="0"/>
    <n v="0"/>
    <n v="0"/>
    <n v="0"/>
  </r>
  <r>
    <x v="1"/>
    <x v="0"/>
    <x v="3"/>
    <x v="3"/>
    <x v="0"/>
    <x v="13"/>
    <x v="12"/>
    <s v="Benito Bendezú Marco Antonio"/>
    <x v="3"/>
    <n v="28"/>
    <n v="28"/>
    <n v="28"/>
    <n v="11"/>
    <n v="13"/>
    <n v="23"/>
    <n v="25"/>
    <n v="25"/>
    <n v="10"/>
    <n v="8.5"/>
    <n v="21"/>
    <n v="21"/>
    <n v="21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0"/>
    <x v="13"/>
    <x v="3"/>
    <x v="0"/>
    <x v="14"/>
    <x v="13"/>
    <s v="Benito Bendezú Marco Antonio"/>
    <x v="1"/>
    <n v="0"/>
    <n v="0"/>
    <n v="0"/>
    <n v="0"/>
    <n v="0"/>
    <n v="0"/>
    <n v="0"/>
    <n v="0"/>
    <n v="0"/>
    <n v="0"/>
    <n v="0"/>
    <n v="0"/>
    <n v="0"/>
    <n v="0"/>
    <n v="2"/>
    <n v="0"/>
    <n v="1"/>
    <n v="2"/>
    <n v="1"/>
    <n v="0"/>
    <n v="0"/>
    <n v="0"/>
    <n v="0"/>
    <n v="0"/>
    <n v="0"/>
    <n v="0"/>
    <n v="0"/>
    <n v="0"/>
    <n v="0"/>
    <n v="0"/>
    <n v="0"/>
    <n v="0"/>
    <n v="0"/>
    <n v="0"/>
  </r>
  <r>
    <x v="2"/>
    <x v="0"/>
    <x v="2"/>
    <x v="1"/>
    <x v="0"/>
    <x v="2"/>
    <x v="2"/>
    <s v="Padilla Vega Cindy"/>
    <x v="4"/>
    <n v="40"/>
    <n v="40"/>
    <n v="40"/>
    <n v="16"/>
    <n v="24"/>
    <n v="40"/>
    <n v="40"/>
    <n v="40"/>
    <n v="16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1"/>
    <x v="2"/>
    <x v="1"/>
    <x v="0"/>
    <x v="2"/>
    <x v="2"/>
    <s v="P.Victor"/>
    <x v="1"/>
    <n v="0"/>
    <n v="0"/>
    <n v="40"/>
    <n v="16"/>
    <n v="24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"/>
    <x v="1"/>
    <x v="2"/>
    <x v="1"/>
    <x v="0"/>
    <x v="2"/>
    <x v="2"/>
    <s v="Z.Jose"/>
    <x v="4"/>
    <n v="40"/>
    <n v="0"/>
    <n v="0"/>
    <n v="0"/>
    <n v="0"/>
    <n v="0"/>
    <n v="0"/>
    <n v="0"/>
    <n v="0"/>
    <n v="24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"/>
    <x v="1"/>
    <x v="2"/>
    <x v="1"/>
    <x v="0"/>
    <x v="2"/>
    <x v="2"/>
    <s v="T.Jesus"/>
    <x v="4"/>
    <n v="40"/>
    <n v="40"/>
    <n v="4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1"/>
    <x v="2"/>
    <x v="1"/>
    <x v="0"/>
    <x v="2"/>
    <x v="2"/>
    <s v="C.Rafael"/>
    <x v="1"/>
    <n v="0"/>
    <n v="0"/>
    <n v="0"/>
    <n v="0"/>
    <n v="0"/>
    <n v="0"/>
    <n v="24"/>
    <n v="40"/>
    <n v="16"/>
    <n v="24"/>
    <n v="40"/>
    <n v="48"/>
    <n v="51"/>
    <n v="41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"/>
    <x v="1"/>
    <x v="2"/>
    <x v="1"/>
    <x v="0"/>
    <x v="2"/>
    <x v="2"/>
    <s v="Alvarez Vera Daniel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7.5"/>
    <n v="47.5"/>
    <n v="24"/>
    <n v="16"/>
    <n v="40"/>
    <n v="40"/>
    <n v="40"/>
    <n v="32"/>
    <n v="0"/>
    <n v="0"/>
    <n v="0"/>
    <n v="0"/>
    <n v="0"/>
    <n v="0"/>
  </r>
  <r>
    <x v="8"/>
    <x v="1"/>
    <x v="2"/>
    <x v="1"/>
    <x v="0"/>
    <x v="2"/>
    <x v="2"/>
    <s v="Chavez Miguel Angel"/>
    <x v="1"/>
    <n v="0"/>
    <n v="0"/>
    <n v="0"/>
    <n v="0"/>
    <n v="0"/>
    <n v="0"/>
    <n v="0"/>
    <n v="0"/>
    <n v="0"/>
    <n v="0"/>
    <n v="0"/>
    <n v="0"/>
    <n v="0"/>
    <n v="0"/>
    <n v="0"/>
    <n v="16"/>
    <n v="40"/>
    <n v="60"/>
    <n v="56"/>
    <n v="36"/>
    <n v="0"/>
    <n v="0"/>
    <n v="0"/>
    <n v="0"/>
    <n v="0"/>
    <n v="0"/>
    <n v="0"/>
    <n v="0"/>
    <n v="0"/>
    <n v="0"/>
    <n v="0"/>
    <n v="0"/>
    <n v="0"/>
    <n v="0"/>
  </r>
  <r>
    <x v="9"/>
    <x v="1"/>
    <x v="2"/>
    <x v="1"/>
    <x v="0"/>
    <x v="2"/>
    <x v="2"/>
    <s v="Huaman Ramos Moises"/>
    <x v="5"/>
    <n v="0"/>
    <n v="0"/>
    <n v="0"/>
    <n v="0"/>
    <n v="0"/>
    <n v="0"/>
    <n v="0"/>
    <n v="0"/>
    <n v="0"/>
    <n v="0"/>
    <n v="0"/>
    <n v="0"/>
    <n v="0"/>
    <n v="0"/>
    <n v="0"/>
    <n v="24"/>
    <n v="40"/>
    <n v="40"/>
    <n v="32"/>
    <n v="40"/>
    <n v="40"/>
    <n v="40"/>
    <n v="24"/>
    <n v="16"/>
    <n v="40"/>
    <n v="40"/>
    <n v="40"/>
    <n v="32"/>
    <n v="8"/>
    <n v="0"/>
    <n v="0"/>
    <n v="0"/>
    <n v="0"/>
    <n v="0"/>
  </r>
  <r>
    <x v="10"/>
    <x v="1"/>
    <x v="2"/>
    <x v="1"/>
    <x v="0"/>
    <x v="2"/>
    <x v="2"/>
    <s v="Girano Corbera Cristian"/>
    <x v="1"/>
    <n v="0"/>
    <n v="0"/>
    <n v="0"/>
    <n v="0"/>
    <n v="0"/>
    <n v="0"/>
    <n v="0"/>
    <n v="0"/>
    <n v="0"/>
    <n v="0"/>
    <n v="0"/>
    <n v="0"/>
    <n v="0"/>
    <n v="40"/>
    <n v="40"/>
    <n v="24"/>
    <n v="40"/>
    <n v="40"/>
    <n v="32"/>
    <n v="40"/>
    <n v="40"/>
    <n v="40"/>
    <n v="24"/>
    <n v="16"/>
    <n v="0"/>
    <n v="0"/>
    <n v="0"/>
    <n v="0"/>
    <n v="0"/>
    <n v="0"/>
    <n v="0"/>
    <n v="0"/>
    <n v="0"/>
    <n v="0"/>
  </r>
  <r>
    <x v="11"/>
    <x v="0"/>
    <x v="2"/>
    <x v="1"/>
    <x v="0"/>
    <x v="2"/>
    <x v="2"/>
    <s v="Velasquez Quispe Lizbet"/>
    <x v="6"/>
    <n v="40"/>
    <n v="40"/>
    <n v="40"/>
    <n v="16"/>
    <n v="24"/>
    <n v="40"/>
    <n v="40"/>
    <n v="40"/>
    <n v="16"/>
    <n v="24"/>
    <n v="40"/>
    <n v="40"/>
    <n v="40"/>
    <n v="40"/>
    <n v="40"/>
    <n v="24"/>
    <n v="40"/>
    <n v="40"/>
    <n v="32"/>
    <n v="40"/>
    <n v="40"/>
    <n v="40"/>
    <n v="24"/>
    <n v="16"/>
    <n v="40"/>
    <n v="40"/>
    <n v="40"/>
    <n v="32"/>
    <n v="40"/>
    <n v="40"/>
    <n v="40"/>
    <n v="32"/>
    <n v="0"/>
    <n v="0"/>
  </r>
  <r>
    <x v="12"/>
    <x v="0"/>
    <x v="2"/>
    <x v="1"/>
    <x v="0"/>
    <x v="2"/>
    <x v="2"/>
    <s v="Torres Gonzales Rogger Adrian"/>
    <x v="7"/>
    <n v="32"/>
    <n v="40"/>
    <n v="40"/>
    <n v="16"/>
    <n v="24"/>
    <n v="40"/>
    <n v="40"/>
    <n v="40"/>
    <n v="16"/>
    <n v="24"/>
    <n v="40"/>
    <n v="40"/>
    <n v="40"/>
    <n v="40"/>
    <n v="40"/>
    <n v="24"/>
    <n v="40"/>
    <n v="40"/>
    <n v="32"/>
    <n v="40"/>
    <n v="40"/>
    <n v="40"/>
    <n v="24"/>
    <n v="16"/>
    <n v="40"/>
    <n v="40"/>
    <n v="40"/>
    <n v="32"/>
    <n v="40"/>
    <n v="40"/>
    <n v="40"/>
    <n v="32"/>
    <n v="0"/>
    <n v="0"/>
  </r>
  <r>
    <x v="13"/>
    <x v="0"/>
    <x v="2"/>
    <x v="1"/>
    <x v="0"/>
    <x v="2"/>
    <x v="2"/>
    <s v="Cordova Lozano Renzo Abbel"/>
    <x v="5"/>
    <n v="24"/>
    <n v="40"/>
    <n v="40"/>
    <n v="16"/>
    <n v="24"/>
    <n v="40"/>
    <n v="40"/>
    <n v="40"/>
    <n v="16"/>
    <n v="24"/>
    <n v="40"/>
    <n v="40"/>
    <n v="40"/>
    <n v="40"/>
    <n v="40"/>
    <n v="24"/>
    <n v="40"/>
    <n v="40"/>
    <n v="32"/>
    <n v="40"/>
    <n v="40"/>
    <n v="40"/>
    <n v="24"/>
    <n v="16"/>
    <n v="40"/>
    <n v="40"/>
    <n v="40"/>
    <n v="32"/>
    <n v="40"/>
    <n v="40"/>
    <n v="40"/>
    <n v="32"/>
    <n v="0"/>
    <n v="0"/>
  </r>
  <r>
    <x v="14"/>
    <x v="0"/>
    <x v="2"/>
    <x v="1"/>
    <x v="0"/>
    <x v="2"/>
    <x v="2"/>
    <s v="Chura Ingalla Percy"/>
    <x v="4"/>
    <n v="40"/>
    <n v="0"/>
    <n v="40"/>
    <n v="16"/>
    <n v="24"/>
    <n v="40"/>
    <n v="40"/>
    <n v="40"/>
    <n v="16"/>
    <n v="24"/>
    <n v="32"/>
    <n v="40"/>
    <n v="40"/>
    <n v="40"/>
    <n v="40"/>
    <n v="24"/>
    <n v="40"/>
    <n v="40"/>
    <n v="32"/>
    <n v="40"/>
    <n v="40"/>
    <n v="40"/>
    <n v="24"/>
    <n v="16"/>
    <n v="40"/>
    <n v="40"/>
    <n v="40"/>
    <n v="32"/>
    <n v="40"/>
    <n v="40"/>
    <n v="40"/>
    <n v="32"/>
    <n v="0"/>
    <n v="0"/>
  </r>
  <r>
    <x v="15"/>
    <x v="0"/>
    <x v="2"/>
    <x v="1"/>
    <x v="0"/>
    <x v="2"/>
    <x v="2"/>
    <s v="Fernandez Esquen Miguel Angel"/>
    <x v="8"/>
    <n v="40"/>
    <n v="40"/>
    <n v="40"/>
    <n v="17"/>
    <n v="24"/>
    <n v="40"/>
    <n v="40"/>
    <n v="40"/>
    <n v="16"/>
    <n v="24"/>
    <n v="40"/>
    <n v="40"/>
    <n v="40"/>
    <n v="40"/>
    <n v="40"/>
    <n v="24"/>
    <n v="40"/>
    <n v="40"/>
    <n v="32"/>
    <n v="40"/>
    <n v="40"/>
    <n v="40"/>
    <n v="24"/>
    <n v="16"/>
    <n v="40"/>
    <n v="40"/>
    <n v="40"/>
    <n v="32"/>
    <n v="40"/>
    <n v="40"/>
    <n v="40"/>
    <n v="32"/>
    <n v="0"/>
    <n v="0"/>
  </r>
  <r>
    <x v="16"/>
    <x v="0"/>
    <x v="2"/>
    <x v="1"/>
    <x v="0"/>
    <x v="2"/>
    <x v="2"/>
    <s v="Garay Vilchez Mario Martin"/>
    <x v="9"/>
    <n v="39"/>
    <n v="40"/>
    <n v="40"/>
    <n v="16"/>
    <n v="24"/>
    <n v="40"/>
    <n v="40"/>
    <n v="40"/>
    <n v="16"/>
    <n v="24"/>
    <n v="40"/>
    <n v="40"/>
    <n v="40"/>
    <n v="40"/>
    <n v="41"/>
    <n v="24"/>
    <n v="40"/>
    <n v="40"/>
    <n v="32"/>
    <n v="40"/>
    <n v="40"/>
    <n v="40"/>
    <n v="24"/>
    <n v="16"/>
    <n v="40"/>
    <n v="40"/>
    <n v="32"/>
    <n v="40"/>
    <n v="40"/>
    <n v="40"/>
    <n v="40"/>
    <n v="32"/>
    <n v="0"/>
    <n v="0"/>
  </r>
  <r>
    <x v="17"/>
    <x v="0"/>
    <x v="2"/>
    <x v="1"/>
    <x v="0"/>
    <x v="2"/>
    <x v="2"/>
    <s v="Laurencio Ambrosio Luis"/>
    <x v="7"/>
    <n v="40"/>
    <n v="40"/>
    <n v="40"/>
    <n v="16"/>
    <n v="24"/>
    <n v="40"/>
    <n v="40"/>
    <n v="40"/>
    <n v="16"/>
    <n v="24"/>
    <n v="40"/>
    <n v="40"/>
    <n v="40"/>
    <n v="40"/>
    <n v="40"/>
    <n v="16"/>
    <n v="40"/>
    <n v="40"/>
    <n v="32"/>
    <n v="40"/>
    <n v="40"/>
    <n v="40"/>
    <n v="24"/>
    <n v="16"/>
    <n v="40"/>
    <n v="40"/>
    <n v="16"/>
    <n v="32"/>
    <n v="40"/>
    <n v="40"/>
    <n v="40"/>
    <n v="32"/>
    <n v="0"/>
    <n v="0"/>
  </r>
  <r>
    <x v="18"/>
    <x v="0"/>
    <x v="2"/>
    <x v="1"/>
    <x v="0"/>
    <x v="2"/>
    <x v="2"/>
    <s v="Arrascue Acosta Leslye Jacslyn"/>
    <x v="1"/>
    <n v="40"/>
    <n v="32"/>
    <n v="16"/>
    <n v="16"/>
    <n v="24"/>
    <n v="40"/>
    <n v="40"/>
    <n v="40"/>
    <n v="16"/>
    <n v="24"/>
    <n v="40"/>
    <n v="40"/>
    <n v="24"/>
    <n v="40"/>
    <n v="40"/>
    <n v="24"/>
    <n v="24"/>
    <n v="40"/>
    <n v="32"/>
    <n v="40"/>
    <n v="40"/>
    <n v="32"/>
    <n v="24"/>
    <n v="16"/>
    <n v="40"/>
    <n v="32"/>
    <n v="40"/>
    <n v="32"/>
    <n v="40"/>
    <n v="40"/>
    <n v="40"/>
    <n v="32"/>
    <n v="0"/>
    <n v="0"/>
  </r>
  <r>
    <x v="19"/>
    <x v="0"/>
    <x v="2"/>
    <x v="1"/>
    <x v="0"/>
    <x v="2"/>
    <x v="2"/>
    <s v="Ayala Chira Juan Carlos "/>
    <x v="5"/>
    <n v="0"/>
    <n v="0"/>
    <n v="0"/>
    <n v="0"/>
    <n v="24"/>
    <n v="32"/>
    <n v="68"/>
    <n v="76"/>
    <n v="16"/>
    <n v="24"/>
    <n v="40"/>
    <n v="40"/>
    <n v="40"/>
    <n v="40"/>
    <n v="40"/>
    <n v="24"/>
    <n v="40"/>
    <n v="40"/>
    <n v="32"/>
    <n v="40"/>
    <n v="40"/>
    <n v="40"/>
    <n v="24"/>
    <n v="16"/>
    <n v="40"/>
    <n v="40"/>
    <n v="40"/>
    <n v="32"/>
    <n v="40"/>
    <n v="40"/>
    <n v="40"/>
    <n v="32"/>
    <n v="0"/>
    <n v="0"/>
  </r>
  <r>
    <x v="20"/>
    <x v="0"/>
    <x v="2"/>
    <x v="1"/>
    <x v="0"/>
    <x v="2"/>
    <x v="2"/>
    <s v="Guzman Arteaga Joseph Michael"/>
    <x v="10"/>
    <n v="33"/>
    <n v="8"/>
    <n v="0"/>
    <n v="16"/>
    <n v="24"/>
    <n v="40"/>
    <n v="40"/>
    <n v="32"/>
    <n v="0"/>
    <n v="8"/>
    <n v="40"/>
    <n v="40"/>
    <n v="40"/>
    <n v="40"/>
    <n v="40"/>
    <n v="24"/>
    <n v="40"/>
    <n v="40"/>
    <n v="32"/>
    <n v="40"/>
    <n v="40"/>
    <n v="32"/>
    <n v="24"/>
    <n v="16"/>
    <n v="40"/>
    <n v="40"/>
    <n v="32"/>
    <n v="32"/>
    <n v="40"/>
    <n v="32"/>
    <n v="40"/>
    <n v="32"/>
    <n v="0"/>
    <n v="0"/>
  </r>
  <r>
    <x v="21"/>
    <x v="0"/>
    <x v="2"/>
    <x v="1"/>
    <x v="0"/>
    <x v="2"/>
    <x v="2"/>
    <s v="Chuquisana Mendoza Jhonatan"/>
    <x v="10"/>
    <n v="40"/>
    <n v="40"/>
    <n v="40"/>
    <n v="16"/>
    <n v="24"/>
    <n v="40"/>
    <n v="40"/>
    <n v="40"/>
    <n v="16"/>
    <n v="24"/>
    <n v="40"/>
    <n v="40"/>
    <n v="40"/>
    <n v="40"/>
    <n v="40"/>
    <n v="24"/>
    <n v="40"/>
    <n v="40"/>
    <n v="32"/>
    <n v="40"/>
    <n v="40"/>
    <n v="40"/>
    <n v="24"/>
    <n v="16"/>
    <n v="40"/>
    <n v="40"/>
    <n v="40"/>
    <n v="32"/>
    <n v="40"/>
    <n v="40"/>
    <n v="40"/>
    <n v="32"/>
    <n v="0"/>
    <n v="0"/>
  </r>
  <r>
    <x v="22"/>
    <x v="0"/>
    <x v="2"/>
    <x v="1"/>
    <x v="0"/>
    <x v="2"/>
    <x v="2"/>
    <s v="Meneses Sanchez Jesus"/>
    <x v="7"/>
    <n v="40"/>
    <n v="40"/>
    <n v="40"/>
    <n v="16"/>
    <n v="24"/>
    <n v="40"/>
    <n v="40"/>
    <n v="40"/>
    <n v="16"/>
    <n v="24"/>
    <n v="40"/>
    <n v="40"/>
    <n v="40"/>
    <n v="40"/>
    <n v="16"/>
    <n v="24"/>
    <n v="40"/>
    <n v="40"/>
    <n v="32"/>
    <n v="40"/>
    <n v="40"/>
    <n v="40"/>
    <n v="24"/>
    <n v="16"/>
    <n v="40"/>
    <n v="40"/>
    <n v="40"/>
    <n v="32"/>
    <n v="40"/>
    <n v="40"/>
    <n v="40"/>
    <n v="32"/>
    <n v="0"/>
    <n v="0"/>
  </r>
  <r>
    <x v="23"/>
    <x v="0"/>
    <x v="2"/>
    <x v="1"/>
    <x v="0"/>
    <x v="2"/>
    <x v="2"/>
    <s v="Olarte Leon Jeff"/>
    <x v="5"/>
    <n v="0"/>
    <n v="0"/>
    <n v="0"/>
    <n v="0"/>
    <n v="0"/>
    <n v="0"/>
    <n v="0"/>
    <n v="50"/>
    <n v="18"/>
    <n v="34"/>
    <n v="40"/>
    <n v="42"/>
    <n v="48"/>
    <n v="50"/>
    <n v="52"/>
    <n v="26"/>
    <n v="44"/>
    <n v="40"/>
    <n v="32"/>
    <n v="40"/>
    <n v="40"/>
    <n v="40"/>
    <n v="24"/>
    <n v="16"/>
    <n v="40"/>
    <n v="32"/>
    <n v="24"/>
    <n v="24"/>
    <n v="0"/>
    <n v="0"/>
    <n v="0"/>
    <n v="0"/>
    <n v="0"/>
    <n v="0"/>
  </r>
  <r>
    <x v="24"/>
    <x v="1"/>
    <x v="2"/>
    <x v="1"/>
    <x v="0"/>
    <x v="2"/>
    <x v="2"/>
    <s v="Giovanni Agustin Rivera Carrasco"/>
    <x v="1"/>
    <n v="0"/>
    <n v="0"/>
    <n v="0"/>
    <n v="0"/>
    <n v="0"/>
    <n v="0"/>
    <n v="0"/>
    <n v="0"/>
    <n v="0"/>
    <n v="0"/>
    <n v="0"/>
    <n v="51"/>
    <n v="51"/>
    <n v="50"/>
    <n v="45.25"/>
    <n v="24"/>
    <n v="40"/>
    <n v="40"/>
    <n v="0"/>
    <n v="0"/>
    <n v="0"/>
    <n v="0"/>
    <n v="0"/>
    <n v="0"/>
    <n v="0"/>
    <n v="0"/>
    <n v="0"/>
    <n v="0"/>
    <n v="0"/>
    <n v="0"/>
    <n v="0"/>
    <n v="0"/>
    <n v="0"/>
    <n v="0"/>
  </r>
  <r>
    <x v="25"/>
    <x v="1"/>
    <x v="2"/>
    <x v="1"/>
    <x v="0"/>
    <x v="2"/>
    <x v="2"/>
    <s v="Freddy Peralta Boza"/>
    <x v="11"/>
    <n v="40"/>
    <n v="40"/>
    <n v="40"/>
    <n v="16"/>
    <n v="24"/>
    <n v="40"/>
    <n v="40"/>
    <n v="40"/>
    <n v="16"/>
    <n v="24"/>
    <n v="40"/>
    <n v="40"/>
    <n v="40"/>
    <n v="40"/>
    <n v="40"/>
    <n v="24"/>
    <n v="40"/>
    <n v="40"/>
    <n v="32"/>
    <n v="40"/>
    <n v="40"/>
    <n v="40"/>
    <n v="24"/>
    <n v="16"/>
    <n v="40"/>
    <n v="40"/>
    <n v="40"/>
    <n v="32"/>
    <n v="40"/>
    <n v="40"/>
    <n v="0"/>
    <n v="0"/>
    <n v="0"/>
    <n v="0"/>
  </r>
  <r>
    <x v="26"/>
    <x v="0"/>
    <x v="2"/>
    <x v="1"/>
    <x v="0"/>
    <x v="2"/>
    <x v="2"/>
    <s v="Palomino Lanchipa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50"/>
    <n v="40"/>
    <n v="0"/>
    <n v="0"/>
  </r>
  <r>
    <x v="27"/>
    <x v="0"/>
    <x v="2"/>
    <x v="1"/>
    <x v="0"/>
    <x v="2"/>
    <x v="2"/>
    <s v="Mendoza Ballona Erick"/>
    <x v="12"/>
    <n v="42.5"/>
    <n v="35.5"/>
    <n v="42.5"/>
    <n v="16"/>
    <n v="24"/>
    <n v="40"/>
    <n v="40"/>
    <n v="40"/>
    <n v="16"/>
    <n v="30"/>
    <n v="40"/>
    <n v="36"/>
    <n v="40"/>
    <n v="40"/>
    <n v="40"/>
    <n v="24"/>
    <n v="40"/>
    <n v="40"/>
    <n v="32"/>
    <n v="40"/>
    <n v="40"/>
    <n v="24"/>
    <n v="24"/>
    <n v="16"/>
    <n v="40"/>
    <n v="40"/>
    <n v="40"/>
    <n v="28"/>
    <n v="40"/>
    <n v="40"/>
    <n v="40"/>
    <n v="32"/>
    <n v="0"/>
    <n v="0"/>
  </r>
  <r>
    <x v="28"/>
    <x v="0"/>
    <x v="2"/>
    <x v="1"/>
    <x v="0"/>
    <x v="2"/>
    <x v="2"/>
    <s v="Atanacio Gonzales Demetrio Jesus"/>
    <x v="4"/>
    <n v="40"/>
    <n v="40"/>
    <n v="40"/>
    <n v="10"/>
    <n v="25"/>
    <n v="40"/>
    <n v="40"/>
    <n v="32"/>
    <n v="16"/>
    <n v="24"/>
    <n v="40"/>
    <n v="40"/>
    <n v="40"/>
    <n v="40"/>
    <n v="40"/>
    <n v="16"/>
    <n v="24"/>
    <n v="40"/>
    <n v="32"/>
    <n v="40"/>
    <n v="40"/>
    <n v="40"/>
    <n v="24"/>
    <n v="16"/>
    <n v="40"/>
    <n v="40"/>
    <n v="40"/>
    <n v="32"/>
    <n v="40"/>
    <n v="40"/>
    <n v="40"/>
    <n v="32"/>
    <n v="0"/>
    <n v="0"/>
  </r>
  <r>
    <x v="29"/>
    <x v="0"/>
    <x v="2"/>
    <x v="1"/>
    <x v="0"/>
    <x v="2"/>
    <x v="2"/>
    <s v="De la Cruz Hurtado Dany"/>
    <x v="4"/>
    <n v="40"/>
    <n v="40"/>
    <n v="40"/>
    <n v="16"/>
    <n v="24"/>
    <n v="40"/>
    <n v="40"/>
    <n v="40"/>
    <n v="16"/>
    <n v="24"/>
    <n v="0"/>
    <n v="40"/>
    <n v="40"/>
    <n v="40"/>
    <n v="40"/>
    <n v="24"/>
    <n v="40"/>
    <n v="40"/>
    <n v="24"/>
    <n v="40"/>
    <n v="40"/>
    <n v="40"/>
    <n v="24"/>
    <n v="8"/>
    <n v="40"/>
    <n v="40"/>
    <n v="40"/>
    <n v="32"/>
    <n v="40"/>
    <n v="40"/>
    <n v="40"/>
    <n v="32"/>
    <n v="0"/>
    <n v="0"/>
  </r>
  <r>
    <x v="30"/>
    <x v="0"/>
    <x v="2"/>
    <x v="1"/>
    <x v="0"/>
    <x v="2"/>
    <x v="2"/>
    <s v="Becerra Robles Daniel"/>
    <x v="12"/>
    <n v="18"/>
    <n v="0"/>
    <n v="40"/>
    <n v="16"/>
    <n v="24"/>
    <n v="40"/>
    <n v="40"/>
    <n v="43.5"/>
    <n v="16"/>
    <n v="24"/>
    <n v="40"/>
    <n v="40"/>
    <n v="40"/>
    <n v="40"/>
    <n v="40"/>
    <n v="24"/>
    <n v="40"/>
    <n v="40"/>
    <n v="32"/>
    <n v="40"/>
    <n v="18"/>
    <n v="40"/>
    <n v="24"/>
    <n v="16"/>
    <n v="40"/>
    <n v="40"/>
    <n v="40"/>
    <n v="32"/>
    <n v="40"/>
    <n v="40"/>
    <n v="40"/>
    <n v="32"/>
    <n v="0"/>
    <n v="0"/>
  </r>
  <r>
    <x v="2"/>
    <x v="0"/>
    <x v="2"/>
    <x v="1"/>
    <x v="0"/>
    <x v="2"/>
    <x v="2"/>
    <s v="Padilla Vega Cindy"/>
    <x v="1"/>
    <n v="0"/>
    <n v="0"/>
    <n v="0"/>
    <n v="0"/>
    <n v="0"/>
    <n v="0"/>
    <n v="0"/>
    <n v="0"/>
    <n v="0"/>
    <n v="0"/>
    <n v="40"/>
    <n v="40"/>
    <n v="40"/>
    <n v="40"/>
    <n v="40"/>
    <n v="24"/>
    <n v="40"/>
    <n v="40"/>
    <n v="32"/>
    <n v="40"/>
    <n v="40"/>
    <n v="40"/>
    <n v="24"/>
    <n v="16"/>
    <n v="40"/>
    <n v="40"/>
    <n v="40"/>
    <n v="32"/>
    <n v="40"/>
    <n v="40"/>
    <n v="40"/>
    <n v="32"/>
    <n v="0"/>
    <n v="0"/>
  </r>
  <r>
    <x v="31"/>
    <x v="1"/>
    <x v="2"/>
    <x v="1"/>
    <x v="0"/>
    <x v="2"/>
    <x v="2"/>
    <s v="Calderon Vilchez, Renzo Pablo"/>
    <x v="1"/>
    <n v="0"/>
    <n v="0"/>
    <n v="0"/>
    <n v="0"/>
    <n v="0"/>
    <n v="0"/>
    <n v="0"/>
    <n v="0"/>
    <n v="0"/>
    <n v="0"/>
    <n v="0"/>
    <n v="40"/>
    <n v="40"/>
    <n v="40"/>
    <n v="40"/>
    <n v="24"/>
    <n v="40"/>
    <n v="40"/>
    <n v="0"/>
    <n v="0"/>
    <n v="0"/>
    <n v="0"/>
    <n v="0"/>
    <n v="0"/>
    <n v="0"/>
    <n v="0"/>
    <n v="0"/>
    <n v="0"/>
    <n v="0"/>
    <n v="0"/>
    <n v="0"/>
    <n v="0"/>
    <n v="0"/>
    <n v="0"/>
  </r>
  <r>
    <x v="32"/>
    <x v="0"/>
    <x v="2"/>
    <x v="1"/>
    <x v="0"/>
    <x v="2"/>
    <x v="2"/>
    <s v="Aricochea Marcelo Anthony"/>
    <x v="4"/>
    <n v="40"/>
    <n v="40"/>
    <n v="40"/>
    <n v="16"/>
    <n v="25"/>
    <n v="40"/>
    <n v="40"/>
    <n v="40"/>
    <n v="16"/>
    <n v="24"/>
    <n v="40"/>
    <n v="40"/>
    <n v="40"/>
    <n v="40"/>
    <n v="40"/>
    <n v="24"/>
    <n v="40"/>
    <n v="40"/>
    <n v="32"/>
    <n v="40"/>
    <n v="40"/>
    <n v="40"/>
    <n v="16"/>
    <n v="16"/>
    <n v="40"/>
    <n v="40"/>
    <n v="40"/>
    <n v="32"/>
    <n v="40"/>
    <n v="40"/>
    <n v="40"/>
    <n v="32"/>
    <n v="0"/>
    <n v="0"/>
  </r>
  <r>
    <x v="33"/>
    <x v="0"/>
    <x v="2"/>
    <x v="1"/>
    <x v="0"/>
    <x v="2"/>
    <x v="2"/>
    <s v="Perez Cristobal Cristobal "/>
    <x v="13"/>
    <n v="40"/>
    <n v="40"/>
    <n v="40"/>
    <n v="8"/>
    <n v="24"/>
    <n v="40"/>
    <n v="8"/>
    <n v="32"/>
    <n v="16"/>
    <n v="24"/>
    <n v="40"/>
    <n v="40"/>
    <n v="40"/>
    <n v="40"/>
    <n v="40"/>
    <n v="24"/>
    <n v="40"/>
    <n v="40"/>
    <n v="32"/>
    <n v="40"/>
    <n v="40"/>
    <n v="40"/>
    <n v="12"/>
    <n v="0"/>
    <n v="40"/>
    <n v="40"/>
    <n v="40"/>
    <n v="32"/>
    <n v="40"/>
    <n v="40"/>
    <n v="40"/>
    <n v="32"/>
    <n v="0"/>
    <n v="0"/>
  </r>
  <r>
    <x v="34"/>
    <x v="0"/>
    <x v="2"/>
    <x v="1"/>
    <x v="0"/>
    <x v="2"/>
    <x v="2"/>
    <s v="Escobedo Martinez Angel"/>
    <x v="4"/>
    <n v="40"/>
    <n v="40"/>
    <n v="40"/>
    <n v="16"/>
    <n v="24"/>
    <n v="40"/>
    <n v="40"/>
    <n v="40"/>
    <n v="16"/>
    <n v="24"/>
    <n v="42"/>
    <n v="40"/>
    <n v="40"/>
    <n v="40"/>
    <n v="40"/>
    <n v="8"/>
    <n v="40"/>
    <n v="40"/>
    <n v="32"/>
    <n v="40"/>
    <n v="40"/>
    <n v="40"/>
    <n v="24"/>
    <n v="16"/>
    <n v="40"/>
    <n v="40"/>
    <n v="40"/>
    <n v="32"/>
    <n v="40"/>
    <n v="40"/>
    <n v="40"/>
    <n v="32"/>
    <n v="0"/>
    <n v="0"/>
  </r>
  <r>
    <x v="35"/>
    <x v="0"/>
    <x v="2"/>
    <x v="1"/>
    <x v="0"/>
    <x v="2"/>
    <x v="2"/>
    <s v="Lopez Borja Amadeo Felix"/>
    <x v="7"/>
    <n v="38"/>
    <n v="40"/>
    <n v="40"/>
    <n v="16"/>
    <n v="24"/>
    <n v="40"/>
    <n v="40"/>
    <n v="40"/>
    <n v="16"/>
    <n v="24"/>
    <n v="40"/>
    <n v="40"/>
    <n v="40"/>
    <n v="40"/>
    <n v="40"/>
    <n v="24"/>
    <n v="40"/>
    <n v="40"/>
    <n v="32"/>
    <n v="40"/>
    <n v="40"/>
    <n v="40"/>
    <n v="24"/>
    <n v="16"/>
    <n v="40"/>
    <n v="40"/>
    <n v="40"/>
    <n v="32"/>
    <n v="40"/>
    <n v="40"/>
    <n v="40"/>
    <n v="24"/>
    <n v="0"/>
    <n v="0"/>
  </r>
  <r>
    <x v="36"/>
    <x v="0"/>
    <x v="2"/>
    <x v="1"/>
    <x v="0"/>
    <x v="2"/>
    <x v="2"/>
    <s v="Zenteno Espinoza Alex"/>
    <x v="5"/>
    <n v="10"/>
    <n v="50"/>
    <n v="50"/>
    <n v="20"/>
    <n v="30"/>
    <n v="44"/>
    <n v="55"/>
    <n v="40"/>
    <n v="16"/>
    <n v="28"/>
    <n v="42"/>
    <n v="51"/>
    <n v="50"/>
    <n v="50"/>
    <n v="46"/>
    <n v="24"/>
    <n v="44"/>
    <n v="40"/>
    <n v="32"/>
    <n v="40"/>
    <n v="40"/>
    <n v="40"/>
    <n v="24"/>
    <n v="16"/>
    <n v="40"/>
    <n v="40"/>
    <n v="40"/>
    <n v="32"/>
    <n v="40"/>
    <n v="40"/>
    <n v="40"/>
    <n v="32"/>
    <n v="0"/>
    <n v="0"/>
  </r>
  <r>
    <x v="37"/>
    <x v="1"/>
    <x v="2"/>
    <x v="1"/>
    <x v="0"/>
    <x v="2"/>
    <x v="2"/>
    <s v="Arce Miguel Aljeandro"/>
    <x v="1"/>
    <n v="0"/>
    <n v="0"/>
    <n v="0"/>
    <n v="0"/>
    <n v="0"/>
    <n v="0"/>
    <n v="0"/>
    <n v="0"/>
    <n v="0"/>
    <n v="0"/>
    <n v="0"/>
    <n v="32"/>
    <n v="40"/>
    <n v="40"/>
    <n v="40"/>
    <n v="24"/>
    <n v="40"/>
    <n v="40"/>
    <n v="32"/>
    <n v="40"/>
    <n v="40"/>
    <n v="40"/>
    <n v="24"/>
    <n v="0"/>
    <n v="0"/>
    <n v="0"/>
    <n v="0"/>
    <n v="0"/>
    <n v="0"/>
    <n v="0"/>
    <n v="0"/>
    <n v="0"/>
    <n v="0"/>
    <n v="0"/>
  </r>
  <r>
    <x v="38"/>
    <x v="0"/>
    <x v="2"/>
    <x v="1"/>
    <x v="0"/>
    <x v="2"/>
    <x v="2"/>
    <s v="Gallegos Flores Pool Jhonatan"/>
    <x v="4"/>
    <n v="40"/>
    <n v="40"/>
    <n v="40"/>
    <n v="16"/>
    <n v="24"/>
    <n v="40"/>
    <n v="40"/>
    <n v="40"/>
    <n v="16"/>
    <n v="24"/>
    <n v="40"/>
    <n v="40"/>
    <n v="40"/>
    <n v="40"/>
    <n v="40"/>
    <n v="24"/>
    <n v="40"/>
    <n v="40"/>
    <n v="32"/>
    <n v="40"/>
    <n v="40"/>
    <n v="40"/>
    <n v="24"/>
    <n v="16"/>
    <n v="40"/>
    <n v="40"/>
    <n v="40"/>
    <n v="32"/>
    <n v="40"/>
    <n v="40"/>
    <n v="40"/>
    <n v="32"/>
    <n v="0"/>
    <n v="0"/>
  </r>
  <r>
    <x v="23"/>
    <x v="0"/>
    <x v="9"/>
    <x v="1"/>
    <x v="0"/>
    <x v="15"/>
    <x v="14"/>
    <s v="Olarte Leon Jeff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40"/>
    <n v="32"/>
    <n v="0"/>
    <n v="0"/>
  </r>
  <r>
    <x v="1"/>
    <x v="0"/>
    <x v="14"/>
    <x v="3"/>
    <x v="0"/>
    <x v="16"/>
    <x v="15"/>
    <s v="Benito Bendezú Marco Antonio"/>
    <x v="1"/>
    <n v="0"/>
    <n v="0"/>
    <n v="0"/>
    <n v="0"/>
    <n v="0"/>
    <n v="0"/>
    <n v="0"/>
    <n v="0"/>
    <n v="0"/>
    <n v="0"/>
    <n v="0"/>
    <n v="0"/>
    <n v="0"/>
    <n v="0"/>
    <n v="0"/>
    <n v="3"/>
    <n v="5"/>
    <n v="5"/>
    <n v="1"/>
    <n v="0"/>
    <n v="0"/>
    <n v="0"/>
    <n v="0"/>
    <n v="0"/>
    <n v="0"/>
    <n v="0"/>
    <n v="0"/>
    <n v="0"/>
    <n v="0"/>
    <n v="0"/>
    <n v="0"/>
    <n v="0"/>
    <n v="0"/>
    <n v="0"/>
  </r>
  <r>
    <x v="1"/>
    <x v="0"/>
    <x v="5"/>
    <x v="2"/>
    <x v="1"/>
    <x v="5"/>
    <x v="5"/>
    <s v="Benito Bendezú Marco Antonio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n v="0"/>
    <n v="0"/>
    <n v="0"/>
  </r>
  <r>
    <x v="1"/>
    <x v="0"/>
    <x v="4"/>
    <x v="2"/>
    <x v="1"/>
    <x v="4"/>
    <x v="4"/>
    <s v="Benito Bendezú Marco Antonio"/>
    <x v="14"/>
    <n v="6"/>
    <n v="6"/>
    <n v="6"/>
    <n v="2.5"/>
    <n v="5"/>
    <n v="5"/>
    <n v="3"/>
    <n v="2"/>
    <n v="1"/>
    <n v="3.5"/>
    <n v="9"/>
    <n v="9"/>
    <n v="9"/>
    <n v="9"/>
    <n v="18"/>
    <n v="9"/>
    <n v="23"/>
    <n v="17"/>
    <n v="0"/>
    <n v="0"/>
    <n v="40"/>
    <n v="24"/>
    <n v="8"/>
    <n v="0"/>
    <n v="0"/>
    <n v="0"/>
    <n v="0"/>
    <n v="0"/>
    <n v="5"/>
    <n v="5"/>
    <n v="6"/>
    <n v="4"/>
    <n v="0"/>
    <n v="0"/>
  </r>
  <r>
    <x v="1"/>
    <x v="0"/>
    <x v="6"/>
    <x v="2"/>
    <x v="1"/>
    <x v="6"/>
    <x v="6"/>
    <s v="Benito Bendezú Marco Antonio"/>
    <x v="14"/>
    <n v="6"/>
    <n v="6"/>
    <n v="6"/>
    <n v="2.5"/>
    <n v="6"/>
    <n v="4"/>
    <n v="2"/>
    <n v="3"/>
    <n v="1"/>
    <n v="0"/>
    <n v="0"/>
    <n v="0"/>
    <n v="0"/>
    <n v="0"/>
    <n v="0"/>
    <n v="0"/>
    <n v="0"/>
    <n v="0"/>
    <n v="8"/>
    <n v="24"/>
    <n v="0"/>
    <n v="16"/>
    <n v="16"/>
    <n v="15"/>
    <n v="40"/>
    <n v="29"/>
    <n v="8"/>
    <n v="4"/>
    <n v="0"/>
    <n v="0"/>
    <n v="0"/>
    <n v="0"/>
    <n v="0"/>
    <n v="0"/>
  </r>
  <r>
    <x v="39"/>
    <x v="0"/>
    <x v="8"/>
    <x v="0"/>
    <x v="0"/>
    <x v="8"/>
    <x v="8"/>
    <s v="Torres Brousset Pacheco, Gutenberg Alexis"/>
    <x v="1"/>
    <n v="0"/>
    <n v="0"/>
    <n v="0"/>
    <n v="0"/>
    <n v="0"/>
    <n v="0"/>
    <n v="0"/>
    <n v="0"/>
    <n v="0"/>
    <n v="16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40"/>
    <n v="40"/>
    <n v="40"/>
    <n v="0"/>
    <n v="0"/>
    <n v="0"/>
  </r>
  <r>
    <x v="39"/>
    <x v="0"/>
    <x v="1"/>
    <x v="3"/>
    <x v="0"/>
    <x v="17"/>
    <x v="16"/>
    <s v="Torres Brousset Pacheco, Gutenberg Alexis"/>
    <x v="4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0"/>
    <x v="1"/>
    <x v="3"/>
    <x v="3"/>
    <x v="0"/>
    <x v="13"/>
    <x v="12"/>
    <s v="Salazar Rojas Javier Fernando"/>
    <x v="4"/>
    <n v="40"/>
    <n v="40"/>
    <n v="4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"/>
    <x v="1"/>
    <x v="3"/>
    <x v="3"/>
    <x v="0"/>
    <x v="13"/>
    <x v="12"/>
    <s v="Z.Jose"/>
    <x v="1"/>
    <n v="0"/>
    <n v="40"/>
    <n v="40"/>
    <n v="16"/>
    <n v="24"/>
    <n v="40"/>
    <n v="40"/>
    <n v="40"/>
    <n v="16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"/>
    <x v="1"/>
    <x v="3"/>
    <x v="3"/>
    <x v="0"/>
    <x v="13"/>
    <x v="12"/>
    <s v="T.Jesus"/>
    <x v="1"/>
    <n v="0"/>
    <n v="0"/>
    <n v="0"/>
    <n v="0"/>
    <n v="24"/>
    <n v="40"/>
    <n v="40"/>
    <n v="4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x v="3"/>
    <x v="3"/>
    <x v="0"/>
    <x v="13"/>
    <x v="12"/>
    <s v="Hernani Lau Patricia Rosa"/>
    <x v="1"/>
    <n v="0"/>
    <n v="0"/>
    <n v="0"/>
    <n v="0"/>
    <n v="0"/>
    <n v="0"/>
    <n v="0"/>
    <n v="0"/>
    <n v="0"/>
    <n v="3"/>
    <n v="24"/>
    <n v="16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1"/>
    <x v="1"/>
    <x v="1"/>
    <x v="3"/>
    <x v="0"/>
    <x v="17"/>
    <x v="16"/>
    <s v="M.Olga"/>
    <x v="3"/>
    <n v="36"/>
    <n v="10"/>
    <n v="18"/>
    <n v="8"/>
    <n v="12"/>
    <n v="20"/>
    <n v="20"/>
    <n v="30"/>
    <n v="12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x v="1"/>
    <x v="3"/>
    <x v="0"/>
    <x v="17"/>
    <x v="16"/>
    <s v="Hernani Lau Patricia Rosa"/>
    <x v="1"/>
    <n v="0"/>
    <n v="0"/>
    <n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9"/>
    <x v="0"/>
    <x v="1"/>
    <x v="0"/>
    <x v="0"/>
    <x v="1"/>
    <x v="1"/>
    <s v="Torres Brousset Pacheco, Gutenberg Alexis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4"/>
    <n v="0"/>
    <n v="0"/>
    <n v="8"/>
    <n v="0"/>
    <n v="0"/>
    <n v="32"/>
    <n v="0"/>
    <n v="0"/>
    <n v="0"/>
    <n v="0"/>
    <n v="0"/>
    <n v="0"/>
  </r>
  <r>
    <x v="39"/>
    <x v="0"/>
    <x v="1"/>
    <x v="3"/>
    <x v="0"/>
    <x v="18"/>
    <x v="17"/>
    <s v="Torres Brousset Pacheco, Gutenberg Alexis"/>
    <x v="1"/>
    <n v="0"/>
    <n v="0"/>
    <n v="0"/>
    <n v="0"/>
    <n v="0"/>
    <n v="0"/>
    <n v="0"/>
    <n v="0"/>
    <n v="0"/>
    <n v="0"/>
    <n v="0"/>
    <n v="0"/>
    <n v="0"/>
    <n v="0"/>
    <n v="40"/>
    <n v="24"/>
    <n v="40"/>
    <n v="40"/>
    <n v="32"/>
    <n v="40"/>
    <n v="8"/>
    <n v="36"/>
    <n v="16"/>
    <n v="16"/>
    <n v="32"/>
    <n v="40"/>
    <n v="24"/>
    <n v="0"/>
    <n v="0"/>
    <n v="0"/>
    <n v="0"/>
    <n v="0"/>
    <n v="0"/>
    <n v="0"/>
  </r>
  <r>
    <x v="41"/>
    <x v="1"/>
    <x v="0"/>
    <x v="0"/>
    <x v="0"/>
    <x v="0"/>
    <x v="0"/>
    <s v="M.Olga"/>
    <x v="15"/>
    <n v="4"/>
    <n v="30"/>
    <n v="22"/>
    <n v="8"/>
    <n v="12"/>
    <n v="20"/>
    <n v="20"/>
    <n v="1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9"/>
    <x v="0"/>
    <x v="15"/>
    <x v="3"/>
    <x v="0"/>
    <x v="19"/>
    <x v="18"/>
    <s v="Torres Brousset Pacheco, Gutenberg Alexis"/>
    <x v="1"/>
    <n v="0"/>
    <n v="40"/>
    <n v="4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9"/>
    <x v="0"/>
    <x v="4"/>
    <x v="2"/>
    <x v="1"/>
    <x v="4"/>
    <x v="4"/>
    <s v="Torres Brousset Pacheco, Gutenberg Alexis"/>
    <x v="1"/>
    <n v="0"/>
    <n v="0"/>
    <n v="0"/>
    <n v="8"/>
    <n v="24"/>
    <n v="40"/>
    <n v="40"/>
    <n v="40"/>
    <n v="16"/>
    <n v="8"/>
    <n v="0"/>
    <n v="0"/>
    <n v="0"/>
    <n v="0"/>
    <n v="0"/>
    <n v="0"/>
    <n v="0"/>
    <n v="0"/>
    <n v="8"/>
    <n v="0"/>
    <n v="0"/>
    <n v="0"/>
    <n v="0"/>
    <n v="0"/>
    <n v="0"/>
    <n v="0"/>
    <n v="16"/>
    <n v="0"/>
    <n v="0"/>
    <n v="0"/>
    <n v="0"/>
    <n v="0"/>
    <n v="0"/>
    <n v="0"/>
  </r>
  <r>
    <x v="40"/>
    <x v="1"/>
    <x v="8"/>
    <x v="0"/>
    <x v="0"/>
    <x v="8"/>
    <x v="8"/>
    <s v="Salazar Rojas Javier Fernando"/>
    <x v="1"/>
    <n v="0"/>
    <n v="0"/>
    <n v="0"/>
    <n v="0"/>
    <n v="24"/>
    <n v="40"/>
    <n v="40"/>
    <n v="40"/>
    <n v="16"/>
    <n v="24"/>
    <n v="40"/>
    <n v="40"/>
    <n v="40"/>
    <n v="40"/>
    <n v="40"/>
    <n v="24"/>
    <n v="16"/>
    <n v="32"/>
    <n v="32"/>
    <n v="40"/>
    <n v="24"/>
    <n v="0"/>
    <n v="0"/>
    <n v="0"/>
    <n v="0"/>
    <n v="0"/>
    <n v="0"/>
    <n v="0"/>
    <n v="0"/>
    <n v="0"/>
    <n v="0"/>
    <n v="0"/>
    <n v="0"/>
    <n v="0"/>
  </r>
  <r>
    <x v="40"/>
    <x v="1"/>
    <x v="3"/>
    <x v="0"/>
    <x v="0"/>
    <x v="3"/>
    <x v="3"/>
    <s v="Salazar Rojas Javier Fernando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0"/>
    <x v="1"/>
    <x v="4"/>
    <x v="2"/>
    <x v="1"/>
    <x v="4"/>
    <x v="4"/>
    <s v="Salazar Rojas Javier Fernando"/>
    <x v="1"/>
    <n v="0"/>
    <n v="0"/>
    <n v="0"/>
    <n v="0"/>
    <n v="0"/>
    <n v="0"/>
    <n v="0"/>
    <n v="0"/>
    <n v="0"/>
    <n v="0"/>
    <n v="0"/>
    <n v="0"/>
    <n v="0"/>
    <n v="0"/>
    <n v="0"/>
    <n v="0"/>
    <n v="24"/>
    <n v="8"/>
    <n v="8"/>
    <n v="0"/>
    <n v="16"/>
    <n v="0"/>
    <n v="0"/>
    <n v="0"/>
    <n v="0"/>
    <n v="0"/>
    <n v="0"/>
    <n v="0"/>
    <n v="0"/>
    <n v="0"/>
    <n v="0"/>
    <n v="0"/>
    <n v="0"/>
    <n v="0"/>
  </r>
  <r>
    <x v="42"/>
    <x v="0"/>
    <x v="16"/>
    <x v="3"/>
    <x v="0"/>
    <x v="20"/>
    <x v="19"/>
    <s v="Alejos Yamamoto Arturo Ricardo"/>
    <x v="1"/>
    <n v="5"/>
    <n v="4"/>
    <n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2"/>
    <x v="0"/>
    <x v="10"/>
    <x v="3"/>
    <x v="0"/>
    <x v="10"/>
    <x v="10"/>
    <s v="Alejos Yamamoto Arturo Ricardo"/>
    <x v="1"/>
    <n v="0"/>
    <n v="0"/>
    <n v="0"/>
    <n v="0"/>
    <n v="0"/>
    <n v="0"/>
    <n v="0"/>
    <n v="0"/>
    <n v="0"/>
    <n v="0"/>
    <n v="10"/>
    <n v="12"/>
    <n v="16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2"/>
    <x v="0"/>
    <x v="17"/>
    <x v="3"/>
    <x v="0"/>
    <x v="21"/>
    <x v="20"/>
    <s v="Alejos Yamamoto Arturo Ricardo"/>
    <x v="0"/>
    <n v="10"/>
    <n v="8"/>
    <n v="5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2"/>
    <x v="0"/>
    <x v="15"/>
    <x v="3"/>
    <x v="0"/>
    <x v="19"/>
    <x v="18"/>
    <s v="Alejos Yamamoto Arturo Ricardo"/>
    <x v="0"/>
    <n v="10"/>
    <n v="1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2"/>
    <x v="0"/>
    <x v="15"/>
    <x v="3"/>
    <x v="0"/>
    <x v="22"/>
    <x v="21"/>
    <s v="Alejos Yamamoto Arturo Ricardo"/>
    <x v="1"/>
    <n v="0"/>
    <n v="0"/>
    <n v="5"/>
    <n v="4"/>
    <n v="6"/>
    <n v="20"/>
    <n v="30"/>
    <n v="1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2"/>
    <x v="0"/>
    <x v="10"/>
    <x v="1"/>
    <x v="0"/>
    <x v="23"/>
    <x v="22"/>
    <s v="Alejos Yamamoto Arturo Ricardo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n v="0"/>
    <n v="0"/>
    <n v="0"/>
  </r>
  <r>
    <x v="43"/>
    <x v="0"/>
    <x v="3"/>
    <x v="0"/>
    <x v="0"/>
    <x v="3"/>
    <x v="3"/>
    <s v="Huanes Bautista César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0"/>
    <n v="0"/>
  </r>
  <r>
    <x v="42"/>
    <x v="0"/>
    <x v="3"/>
    <x v="0"/>
    <x v="0"/>
    <x v="3"/>
    <x v="3"/>
    <s v="Alejos Yamamoto Arturo Ricardo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</r>
  <r>
    <x v="42"/>
    <x v="0"/>
    <x v="18"/>
    <x v="0"/>
    <x v="0"/>
    <x v="24"/>
    <x v="23"/>
    <s v="Alejos Yamamoto Arturo Ricardo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4"/>
    <x v="0"/>
    <x v="18"/>
    <x v="0"/>
    <x v="0"/>
    <x v="24"/>
    <x v="23"/>
    <s v="Empresa tercerizada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40"/>
    <n v="40"/>
    <n v="32"/>
    <n v="40"/>
    <n v="40"/>
    <n v="40"/>
    <n v="32"/>
    <n v="0"/>
    <n v="0"/>
  </r>
  <r>
    <x v="42"/>
    <x v="0"/>
    <x v="6"/>
    <x v="2"/>
    <x v="1"/>
    <x v="6"/>
    <x v="6"/>
    <s v="Alejos Yamamoto Arturo Ricardo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40"/>
    <n v="40"/>
    <n v="20"/>
    <n v="12"/>
    <n v="16"/>
    <n v="40"/>
    <n v="0"/>
    <n v="40"/>
    <n v="32"/>
    <n v="40"/>
    <n v="16"/>
    <n v="24"/>
    <n v="12"/>
    <n v="0"/>
    <n v="0"/>
  </r>
  <r>
    <x v="42"/>
    <x v="0"/>
    <x v="4"/>
    <x v="2"/>
    <x v="1"/>
    <x v="4"/>
    <x v="4"/>
    <s v="Alejos Yamamoto Arturo Ricardo"/>
    <x v="1"/>
    <n v="0"/>
    <n v="0"/>
    <n v="0"/>
    <n v="0"/>
    <n v="0"/>
    <n v="0"/>
    <n v="0"/>
    <n v="0"/>
    <n v="0"/>
    <n v="16"/>
    <n v="30"/>
    <n v="28"/>
    <n v="24"/>
    <n v="26"/>
    <n v="40"/>
    <n v="24"/>
    <n v="40"/>
    <n v="40"/>
    <n v="0"/>
    <n v="0"/>
    <n v="0"/>
    <n v="20"/>
    <n v="12"/>
    <n v="0"/>
    <n v="0"/>
    <n v="0"/>
    <n v="0"/>
    <n v="0"/>
    <n v="0"/>
    <n v="0"/>
    <n v="0"/>
    <n v="0"/>
    <n v="0"/>
    <n v="0"/>
  </r>
  <r>
    <x v="45"/>
    <x v="0"/>
    <x v="16"/>
    <x v="3"/>
    <x v="0"/>
    <x v="20"/>
    <x v="19"/>
    <s v="Pérez Montemayor Jose Javier"/>
    <x v="1"/>
    <n v="0"/>
    <n v="0"/>
    <n v="0"/>
    <n v="0"/>
    <n v="0"/>
    <n v="0"/>
    <n v="0"/>
    <n v="0"/>
    <n v="0"/>
    <n v="8"/>
    <n v="0"/>
    <n v="0"/>
    <n v="0"/>
    <n v="0"/>
    <n v="8"/>
    <n v="24"/>
    <n v="40"/>
    <n v="0"/>
    <n v="0"/>
    <n v="0"/>
    <n v="0"/>
    <n v="0"/>
    <n v="0"/>
    <n v="0"/>
    <n v="24"/>
    <n v="0"/>
    <n v="0"/>
    <n v="0"/>
    <n v="0"/>
    <n v="0"/>
    <n v="0"/>
    <n v="0"/>
    <n v="0"/>
    <n v="0"/>
  </r>
  <r>
    <x v="6"/>
    <x v="1"/>
    <x v="10"/>
    <x v="3"/>
    <x v="0"/>
    <x v="10"/>
    <x v="10"/>
    <s v="C.Rafael"/>
    <x v="1"/>
    <n v="0"/>
    <n v="0"/>
    <n v="0"/>
    <n v="0"/>
    <n v="24"/>
    <n v="4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x v="10"/>
    <x v="3"/>
    <x v="0"/>
    <x v="10"/>
    <x v="10"/>
    <s v="Pérez Montemayor Jose Javier"/>
    <x v="1"/>
    <n v="0"/>
    <n v="0"/>
    <n v="0"/>
    <n v="0"/>
    <n v="24"/>
    <n v="24"/>
    <n v="36"/>
    <n v="24"/>
    <n v="16"/>
    <n v="16"/>
    <n v="40"/>
    <n v="40"/>
    <n v="40"/>
    <n v="40"/>
    <n v="32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</r>
  <r>
    <x v="6"/>
    <x v="1"/>
    <x v="17"/>
    <x v="3"/>
    <x v="0"/>
    <x v="21"/>
    <x v="20"/>
    <s v="C.Rafael"/>
    <x v="1"/>
    <n v="0"/>
    <n v="32"/>
    <n v="4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x v="17"/>
    <x v="3"/>
    <x v="0"/>
    <x v="21"/>
    <x v="20"/>
    <s v="Pérez Montemayor Jose Javier"/>
    <x v="4"/>
    <n v="40"/>
    <n v="40"/>
    <n v="40"/>
    <n v="16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</r>
  <r>
    <x v="42"/>
    <x v="0"/>
    <x v="3"/>
    <x v="1"/>
    <x v="0"/>
    <x v="25"/>
    <x v="24"/>
    <s v="Alejos Yamamoto Arturo Ricardo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16"/>
    <n v="0"/>
    <n v="0"/>
    <n v="0"/>
  </r>
  <r>
    <x v="45"/>
    <x v="0"/>
    <x v="3"/>
    <x v="1"/>
    <x v="0"/>
    <x v="25"/>
    <x v="24"/>
    <s v="Pérez Montemayor Jose Javier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0"/>
    <n v="40"/>
    <n v="0"/>
    <n v="16"/>
    <n v="32"/>
    <n v="16"/>
    <n v="0"/>
    <n v="0"/>
    <n v="0"/>
  </r>
  <r>
    <x v="45"/>
    <x v="0"/>
    <x v="3"/>
    <x v="0"/>
    <x v="0"/>
    <x v="3"/>
    <x v="3"/>
    <s v="Pérez Montemayor Jose Javier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28"/>
    <n v="32"/>
    <n v="40"/>
    <n v="40"/>
    <n v="24"/>
    <n v="0"/>
    <n v="16"/>
    <n v="40"/>
    <n v="0"/>
    <n v="0"/>
    <n v="0"/>
    <n v="0"/>
    <n v="0"/>
    <n v="32"/>
    <n v="0"/>
    <n v="0"/>
  </r>
  <r>
    <x v="45"/>
    <x v="0"/>
    <x v="7"/>
    <x v="2"/>
    <x v="1"/>
    <x v="7"/>
    <x v="7"/>
    <s v="Pérez Montemayor Jose Javier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</r>
  <r>
    <x v="45"/>
    <x v="0"/>
    <x v="10"/>
    <x v="1"/>
    <x v="0"/>
    <x v="23"/>
    <x v="22"/>
    <s v="Pérez Montemayor Jose Javier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6"/>
    <n v="22"/>
    <n v="8"/>
    <n v="0"/>
    <n v="0"/>
    <n v="0"/>
    <n v="0"/>
  </r>
  <r>
    <x v="46"/>
    <x v="0"/>
    <x v="15"/>
    <x v="3"/>
    <x v="0"/>
    <x v="19"/>
    <x v="18"/>
    <s v="Pizarro Saldaña Jorge Gabriel"/>
    <x v="4"/>
    <n v="40"/>
    <n v="4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0"/>
    <x v="15"/>
    <x v="3"/>
    <x v="0"/>
    <x v="22"/>
    <x v="21"/>
    <s v="Pizarro Saldaña Jorge Gabriel"/>
    <x v="1"/>
    <n v="0"/>
    <n v="0"/>
    <n v="20"/>
    <n v="16"/>
    <n v="24"/>
    <n v="40"/>
    <n v="40"/>
    <n v="4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0"/>
    <x v="19"/>
    <x v="3"/>
    <x v="0"/>
    <x v="26"/>
    <x v="25"/>
    <s v="Pizarro Saldaña Jorge Gabriel"/>
    <x v="1"/>
    <n v="0"/>
    <n v="0"/>
    <n v="0"/>
    <n v="0"/>
    <n v="0"/>
    <n v="0"/>
    <n v="0"/>
    <n v="0"/>
    <n v="0"/>
    <n v="24"/>
    <n v="40"/>
    <n v="40"/>
    <n v="40"/>
    <n v="40"/>
    <n v="40"/>
    <n v="20"/>
    <n v="40"/>
    <n v="32"/>
    <n v="0"/>
    <n v="28"/>
    <n v="40"/>
    <n v="40"/>
    <n v="24"/>
    <n v="16"/>
    <n v="40"/>
    <n v="24"/>
    <n v="24"/>
    <n v="0"/>
    <n v="0"/>
    <n v="0"/>
    <n v="0"/>
    <n v="0"/>
    <n v="0"/>
    <n v="0"/>
  </r>
  <r>
    <x v="46"/>
    <x v="0"/>
    <x v="10"/>
    <x v="3"/>
    <x v="0"/>
    <x v="27"/>
    <x v="26"/>
    <s v="Pizarro Saldaña Jorge Gabriel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</r>
  <r>
    <x v="46"/>
    <x v="0"/>
    <x v="1"/>
    <x v="0"/>
    <x v="0"/>
    <x v="1"/>
    <x v="1"/>
    <s v="Pizarro Saldaña Jorge Gabriel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n v="0"/>
    <n v="0"/>
    <n v="0"/>
  </r>
  <r>
    <x v="46"/>
    <x v="0"/>
    <x v="20"/>
    <x v="1"/>
    <x v="0"/>
    <x v="28"/>
    <x v="27"/>
    <s v="Pizarro Saldaña Jorge Gabriel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32"/>
    <n v="27"/>
    <n v="24"/>
    <n v="24"/>
    <n v="0"/>
    <n v="0"/>
    <n v="0"/>
  </r>
  <r>
    <x v="47"/>
    <x v="0"/>
    <x v="4"/>
    <x v="2"/>
    <x v="1"/>
    <x v="4"/>
    <x v="4"/>
    <s v="Revilla Casalino Pablo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"/>
    <n v="0"/>
    <n v="0"/>
    <n v="32"/>
    <n v="0"/>
    <n v="0"/>
  </r>
  <r>
    <x v="41"/>
    <x v="1"/>
    <x v="4"/>
    <x v="2"/>
    <x v="1"/>
    <x v="4"/>
    <x v="4"/>
    <s v="M.Olga"/>
    <x v="1"/>
    <n v="0"/>
    <n v="0"/>
    <n v="0"/>
    <n v="0"/>
    <n v="0"/>
    <n v="0"/>
    <n v="0"/>
    <n v="0"/>
    <n v="0"/>
    <n v="13"/>
    <n v="22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8"/>
    <x v="1"/>
    <x v="4"/>
    <x v="2"/>
    <x v="1"/>
    <x v="4"/>
    <x v="4"/>
    <s v="C.Manuel"/>
    <x v="4"/>
    <n v="40"/>
    <n v="40"/>
    <n v="40"/>
    <n v="16"/>
    <n v="24"/>
    <n v="40"/>
    <n v="40"/>
    <n v="40"/>
    <n v="16"/>
    <n v="24"/>
    <n v="40"/>
    <n v="40"/>
    <n v="40"/>
    <n v="40"/>
    <n v="40"/>
    <n v="24"/>
    <n v="40"/>
    <n v="40"/>
    <n v="0"/>
    <n v="0"/>
    <n v="0"/>
    <n v="0"/>
    <n v="0"/>
    <n v="0"/>
    <n v="0"/>
    <n v="0"/>
    <n v="0"/>
    <n v="0"/>
    <n v="0"/>
    <n v="0"/>
    <n v="0"/>
    <n v="0"/>
    <n v="0"/>
    <n v="0"/>
  </r>
  <r>
    <x v="5"/>
    <x v="1"/>
    <x v="4"/>
    <x v="2"/>
    <x v="1"/>
    <x v="4"/>
    <x v="4"/>
    <s v="T.Jesus"/>
    <x v="1"/>
    <n v="0"/>
    <n v="0"/>
    <n v="0"/>
    <n v="0"/>
    <n v="0"/>
    <n v="0"/>
    <n v="0"/>
    <n v="0"/>
    <n v="0"/>
    <n v="24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0"/>
    <x v="4"/>
    <x v="2"/>
    <x v="1"/>
    <x v="4"/>
    <x v="4"/>
    <s v="Pizarro Saldaña Jorge Gabriel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0"/>
    <n v="0"/>
    <n v="0"/>
    <n v="0"/>
    <n v="0"/>
    <n v="0"/>
    <n v="0"/>
    <n v="0"/>
    <n v="0"/>
    <n v="13"/>
    <n v="0"/>
    <n v="0"/>
    <n v="32"/>
    <n v="0"/>
    <n v="0"/>
  </r>
  <r>
    <x v="41"/>
    <x v="1"/>
    <x v="6"/>
    <x v="2"/>
    <x v="1"/>
    <x v="6"/>
    <x v="6"/>
    <s v="M.Olga"/>
    <x v="1"/>
    <n v="0"/>
    <n v="0"/>
    <n v="0"/>
    <n v="0"/>
    <n v="0"/>
    <n v="0"/>
    <n v="0"/>
    <n v="0"/>
    <n v="0"/>
    <n v="11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0"/>
    <x v="5"/>
    <x v="2"/>
    <x v="1"/>
    <x v="5"/>
    <x v="5"/>
    <s v="Pizarro Saldaña Jorge Gabriel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16"/>
    <n v="0"/>
    <n v="0"/>
    <n v="0"/>
  </r>
  <r>
    <x v="46"/>
    <x v="0"/>
    <x v="6"/>
    <x v="2"/>
    <x v="1"/>
    <x v="6"/>
    <x v="6"/>
    <s v="Pizarro Saldaña Jorge Gabriel"/>
    <x v="1"/>
    <n v="0"/>
    <n v="0"/>
    <n v="0"/>
    <n v="0"/>
    <n v="0"/>
    <n v="0"/>
    <n v="0"/>
    <n v="0"/>
    <n v="0"/>
    <n v="0"/>
    <n v="0"/>
    <n v="0"/>
    <n v="0"/>
    <n v="0"/>
    <n v="0"/>
    <n v="4"/>
    <n v="0"/>
    <n v="8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1"/>
    <x v="16"/>
    <x v="3"/>
    <x v="0"/>
    <x v="20"/>
    <x v="19"/>
    <s v="C.Rafael"/>
    <x v="4"/>
    <n v="4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0"/>
    <x v="7"/>
    <x v="2"/>
    <x v="1"/>
    <x v="7"/>
    <x v="7"/>
    <s v="Pizarro Saldaña Jorge Gabriel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n v="0"/>
    <n v="0"/>
  </r>
  <r>
    <x v="47"/>
    <x v="0"/>
    <x v="15"/>
    <x v="3"/>
    <x v="0"/>
    <x v="19"/>
    <x v="18"/>
    <s v="Revilla Casalino Pablo"/>
    <x v="4"/>
    <n v="40"/>
    <n v="4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7"/>
    <x v="0"/>
    <x v="15"/>
    <x v="3"/>
    <x v="0"/>
    <x v="22"/>
    <x v="21"/>
    <s v="Revilla Casalino Pablo"/>
    <x v="1"/>
    <n v="0"/>
    <n v="0"/>
    <n v="20"/>
    <n v="16"/>
    <n v="24"/>
    <n v="40"/>
    <n v="40"/>
    <n v="4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7"/>
    <x v="0"/>
    <x v="10"/>
    <x v="3"/>
    <x v="0"/>
    <x v="27"/>
    <x v="26"/>
    <s v="Revilla Casalino Pablo"/>
    <x v="1"/>
    <n v="0"/>
    <n v="0"/>
    <n v="0"/>
    <n v="0"/>
    <n v="0"/>
    <n v="0"/>
    <n v="0"/>
    <n v="0"/>
    <n v="0"/>
    <n v="0"/>
    <n v="0"/>
    <n v="0"/>
    <n v="0"/>
    <n v="0"/>
    <n v="0"/>
    <n v="0"/>
    <n v="2"/>
    <n v="10"/>
    <n v="4"/>
    <n v="4"/>
    <n v="0"/>
    <n v="4"/>
    <n v="0"/>
    <n v="8"/>
    <n v="20"/>
    <n v="12"/>
    <n v="10"/>
    <n v="0"/>
    <n v="0"/>
    <n v="0"/>
    <n v="0"/>
    <n v="0"/>
    <n v="0"/>
    <n v="0"/>
  </r>
  <r>
    <x v="49"/>
    <x v="0"/>
    <x v="19"/>
    <x v="3"/>
    <x v="0"/>
    <x v="26"/>
    <x v="25"/>
    <s v="Chamorro Rojas Pierre Nestor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</r>
  <r>
    <x v="47"/>
    <x v="0"/>
    <x v="19"/>
    <x v="3"/>
    <x v="0"/>
    <x v="26"/>
    <x v="25"/>
    <s v="Revilla Casalino Pablo"/>
    <x v="1"/>
    <n v="0"/>
    <n v="0"/>
    <n v="0"/>
    <n v="0"/>
    <n v="0"/>
    <n v="0"/>
    <n v="0"/>
    <n v="0"/>
    <n v="0"/>
    <n v="24"/>
    <n v="40"/>
    <n v="40"/>
    <n v="40"/>
    <n v="40"/>
    <n v="32"/>
    <n v="20"/>
    <n v="28"/>
    <n v="12"/>
    <n v="7"/>
    <n v="34"/>
    <n v="40"/>
    <n v="28"/>
    <n v="24"/>
    <n v="8"/>
    <n v="20"/>
    <n v="8"/>
    <n v="12"/>
    <n v="0"/>
    <n v="0"/>
    <n v="0"/>
    <n v="16"/>
    <n v="0"/>
    <n v="0"/>
    <n v="0"/>
  </r>
  <r>
    <x v="47"/>
    <x v="0"/>
    <x v="1"/>
    <x v="0"/>
    <x v="0"/>
    <x v="1"/>
    <x v="1"/>
    <s v="Revilla Casalino Pablo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n v="0"/>
    <n v="0"/>
    <n v="0"/>
  </r>
  <r>
    <x v="47"/>
    <x v="0"/>
    <x v="20"/>
    <x v="1"/>
    <x v="0"/>
    <x v="28"/>
    <x v="27"/>
    <s v="Revilla Casalino Pablo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"/>
    <n v="32"/>
    <n v="19"/>
    <n v="40"/>
    <n v="24"/>
    <n v="0"/>
    <n v="0"/>
    <n v="0"/>
  </r>
  <r>
    <x v="47"/>
    <x v="0"/>
    <x v="6"/>
    <x v="2"/>
    <x v="1"/>
    <x v="6"/>
    <x v="6"/>
    <s v="Revilla Casalino Pablo"/>
    <x v="1"/>
    <n v="0"/>
    <n v="0"/>
    <n v="0"/>
    <n v="0"/>
    <n v="0"/>
    <n v="0"/>
    <n v="0"/>
    <n v="0"/>
    <n v="0"/>
    <n v="0"/>
    <n v="0"/>
    <n v="0"/>
    <n v="0"/>
    <n v="0"/>
    <n v="8"/>
    <n v="4"/>
    <n v="10"/>
    <n v="18"/>
    <n v="21"/>
    <n v="2"/>
    <n v="0"/>
    <n v="8"/>
    <n v="0"/>
    <n v="0"/>
    <n v="0"/>
    <n v="4"/>
    <n v="4"/>
    <n v="0"/>
    <n v="8"/>
    <n v="0"/>
    <n v="0"/>
    <n v="0"/>
    <n v="0"/>
    <n v="0"/>
  </r>
  <r>
    <x v="50"/>
    <x v="0"/>
    <x v="12"/>
    <x v="0"/>
    <x v="0"/>
    <x v="12"/>
    <x v="11"/>
    <s v="Garcia Gutierrez Alan David"/>
    <x v="4"/>
    <n v="40"/>
    <n v="40"/>
    <n v="40"/>
    <n v="16"/>
    <n v="24"/>
    <n v="40"/>
    <n v="40"/>
    <n v="40"/>
    <n v="16"/>
    <n v="24"/>
    <n v="40"/>
    <n v="40"/>
    <n v="40"/>
    <n v="40"/>
    <n v="40"/>
    <n v="24"/>
    <n v="40"/>
    <n v="40"/>
    <n v="32"/>
    <n v="40"/>
    <n v="40"/>
    <n v="40"/>
    <n v="24"/>
    <n v="16"/>
    <n v="40"/>
    <n v="40"/>
    <n v="40"/>
    <n v="0"/>
    <n v="40"/>
    <n v="40"/>
    <n v="40"/>
    <n v="32"/>
    <n v="0"/>
    <n v="0"/>
  </r>
  <r>
    <x v="51"/>
    <x v="0"/>
    <x v="11"/>
    <x v="0"/>
    <x v="0"/>
    <x v="11"/>
    <x v="11"/>
    <s v="Villanueva Melgarejo Andres Angel"/>
    <x v="4"/>
    <n v="40"/>
    <n v="40"/>
    <n v="40"/>
    <n v="16"/>
    <n v="24"/>
    <n v="40"/>
    <n v="40"/>
    <n v="40"/>
    <n v="16"/>
    <n v="24"/>
    <n v="40"/>
    <n v="40"/>
    <n v="40"/>
    <n v="40"/>
    <n v="40"/>
    <n v="24"/>
    <n v="40"/>
    <n v="40"/>
    <n v="32"/>
    <n v="40"/>
    <n v="40"/>
    <n v="40"/>
    <n v="24"/>
    <n v="16"/>
    <n v="40"/>
    <n v="40"/>
    <n v="40"/>
    <n v="0"/>
    <n v="40"/>
    <n v="40"/>
    <n v="40"/>
    <n v="32"/>
    <n v="0"/>
    <n v="0"/>
  </r>
  <r>
    <x v="52"/>
    <x v="1"/>
    <x v="14"/>
    <x v="3"/>
    <x v="0"/>
    <x v="16"/>
    <x v="15"/>
    <s v="Fernandez Sanchez Walter Jose"/>
    <x v="4"/>
    <n v="40"/>
    <n v="40"/>
    <n v="40"/>
    <n v="16"/>
    <n v="24"/>
    <n v="40"/>
    <n v="40"/>
    <n v="40"/>
    <n v="16"/>
    <n v="24"/>
    <n v="40"/>
    <n v="40"/>
    <n v="40"/>
    <n v="40"/>
    <n v="40"/>
    <n v="24"/>
    <n v="40"/>
    <n v="40"/>
    <n v="32"/>
    <n v="0"/>
    <n v="0"/>
    <n v="0"/>
    <n v="0"/>
    <n v="0"/>
    <n v="0"/>
    <n v="0"/>
    <n v="0"/>
    <n v="0"/>
    <n v="0"/>
    <n v="0"/>
    <n v="0"/>
    <n v="0"/>
    <n v="0"/>
    <n v="0"/>
  </r>
  <r>
    <x v="53"/>
    <x v="0"/>
    <x v="13"/>
    <x v="3"/>
    <x v="0"/>
    <x v="14"/>
    <x v="13"/>
    <s v="Capactinta Bonifacio Luis Reynaldo"/>
    <x v="4"/>
    <n v="40"/>
    <n v="40"/>
    <n v="40"/>
    <n v="16"/>
    <n v="24"/>
    <n v="40"/>
    <n v="40"/>
    <n v="40"/>
    <n v="16"/>
    <n v="24"/>
    <n v="0"/>
    <n v="0"/>
    <n v="0"/>
    <n v="0"/>
    <n v="40"/>
    <n v="24"/>
    <n v="40"/>
    <n v="40"/>
    <n v="32"/>
    <n v="32"/>
    <n v="32"/>
    <n v="40"/>
    <n v="24"/>
    <n v="16"/>
    <n v="8"/>
    <n v="0"/>
    <n v="0"/>
    <n v="0"/>
    <n v="0"/>
    <n v="0"/>
    <n v="0"/>
    <n v="0"/>
    <n v="0"/>
    <n v="0"/>
  </r>
  <r>
    <x v="3"/>
    <x v="1"/>
    <x v="4"/>
    <x v="2"/>
    <x v="1"/>
    <x v="4"/>
    <x v="4"/>
    <s v="P.Victor"/>
    <x v="4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3"/>
    <x v="0"/>
    <x v="4"/>
    <x v="2"/>
    <x v="1"/>
    <x v="4"/>
    <x v="4"/>
    <s v="Capactinta Bonifacio Luis Reynaldo"/>
    <x v="1"/>
    <n v="0"/>
    <n v="0"/>
    <n v="0"/>
    <n v="0"/>
    <n v="0"/>
    <n v="0"/>
    <n v="0"/>
    <n v="0"/>
    <n v="0"/>
    <n v="0"/>
    <n v="40"/>
    <n v="40"/>
    <n v="40"/>
    <n v="40"/>
    <n v="0"/>
    <n v="0"/>
    <n v="0"/>
    <n v="0"/>
    <n v="0"/>
    <n v="0"/>
    <n v="0"/>
    <n v="0"/>
    <n v="0"/>
    <n v="0"/>
    <n v="24"/>
    <n v="40"/>
    <n v="40"/>
    <n v="0"/>
    <n v="0"/>
    <n v="0"/>
    <n v="0"/>
    <n v="0"/>
    <n v="0"/>
    <n v="0"/>
  </r>
  <r>
    <x v="54"/>
    <x v="0"/>
    <x v="1"/>
    <x v="0"/>
    <x v="0"/>
    <x v="1"/>
    <x v="1"/>
    <s v="Barbaran Broncales Emanuel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32"/>
    <n v="40"/>
    <n v="40"/>
    <n v="40"/>
    <n v="24"/>
    <n v="16"/>
    <n v="40"/>
    <n v="40"/>
    <n v="40"/>
    <n v="32"/>
    <n v="0"/>
    <n v="0"/>
    <n v="0"/>
    <n v="0"/>
    <n v="0"/>
    <n v="0"/>
  </r>
  <r>
    <x v="54"/>
    <x v="0"/>
    <x v="2"/>
    <x v="1"/>
    <x v="0"/>
    <x v="2"/>
    <x v="2"/>
    <s v="Barbaran Broncales Emanuel"/>
    <x v="4"/>
    <n v="40"/>
    <n v="40"/>
    <n v="40"/>
    <n v="16"/>
    <n v="24"/>
    <n v="40"/>
    <n v="40"/>
    <n v="40"/>
    <n v="16"/>
    <n v="24"/>
    <n v="40"/>
    <n v="32"/>
    <n v="40"/>
    <n v="4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4"/>
    <x v="0"/>
    <x v="4"/>
    <x v="2"/>
    <x v="1"/>
    <x v="4"/>
    <x v="4"/>
    <s v="Barbaran Broncales Emanuel"/>
    <x v="1"/>
    <n v="0"/>
    <n v="0"/>
    <n v="0"/>
    <n v="0"/>
    <n v="0"/>
    <n v="0"/>
    <n v="0"/>
    <n v="0"/>
    <n v="0"/>
    <n v="0"/>
    <n v="0"/>
    <n v="0"/>
    <n v="0"/>
    <n v="0"/>
    <n v="40"/>
    <n v="24"/>
    <n v="40"/>
    <n v="8"/>
    <n v="0"/>
    <n v="0"/>
    <n v="0"/>
    <n v="0"/>
    <n v="0"/>
    <n v="0"/>
    <n v="0"/>
    <n v="0"/>
    <n v="0"/>
    <n v="0"/>
    <n v="0"/>
    <n v="0"/>
    <n v="0"/>
    <n v="0"/>
    <n v="0"/>
    <n v="0"/>
  </r>
  <r>
    <x v="43"/>
    <x v="0"/>
    <x v="1"/>
    <x v="0"/>
    <x v="0"/>
    <x v="1"/>
    <x v="1"/>
    <s v="Huanes Bautista César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40"/>
    <n v="40"/>
    <n v="40"/>
    <n v="24"/>
    <n v="16"/>
    <n v="40"/>
    <n v="40"/>
    <n v="40"/>
    <n v="32"/>
    <n v="0"/>
    <n v="16"/>
    <n v="40"/>
    <n v="0"/>
    <n v="0"/>
    <n v="0"/>
  </r>
  <r>
    <x v="55"/>
    <x v="0"/>
    <x v="7"/>
    <x v="2"/>
    <x v="1"/>
    <x v="7"/>
    <x v="7"/>
    <s v="Galvez Aguilar Arturo Jesus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</r>
  <r>
    <x v="55"/>
    <x v="0"/>
    <x v="4"/>
    <x v="2"/>
    <x v="1"/>
    <x v="4"/>
    <x v="4"/>
    <s v="Galvez Aguilar Arturo Jesus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0"/>
    <n v="0"/>
  </r>
  <r>
    <x v="54"/>
    <x v="0"/>
    <x v="7"/>
    <x v="2"/>
    <x v="1"/>
    <x v="7"/>
    <x v="7"/>
    <s v="Barbaran Broncales Emanuel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</r>
  <r>
    <x v="54"/>
    <x v="0"/>
    <x v="14"/>
    <x v="3"/>
    <x v="0"/>
    <x v="16"/>
    <x v="15"/>
    <s v="Barbaran Broncales Emanuel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0"/>
    <n v="0"/>
  </r>
  <r>
    <x v="55"/>
    <x v="0"/>
    <x v="14"/>
    <x v="3"/>
    <x v="0"/>
    <x v="16"/>
    <x v="15"/>
    <s v="Galvez Aguilar Arturo Jesus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40"/>
    <n v="40"/>
    <n v="40"/>
    <n v="24"/>
    <n v="16"/>
    <n v="24"/>
    <n v="40"/>
    <n v="40"/>
    <n v="0"/>
    <n v="40"/>
    <n v="40"/>
    <n v="40"/>
    <n v="0"/>
    <n v="0"/>
    <n v="0"/>
  </r>
  <r>
    <x v="55"/>
    <x v="0"/>
    <x v="1"/>
    <x v="0"/>
    <x v="0"/>
    <x v="1"/>
    <x v="1"/>
    <s v="Galvez Aguilar Arturo Jesus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n v="0"/>
    <n v="0"/>
    <n v="0"/>
    <n v="0"/>
  </r>
  <r>
    <x v="49"/>
    <x v="0"/>
    <x v="10"/>
    <x v="3"/>
    <x v="0"/>
    <x v="27"/>
    <x v="26"/>
    <s v="Chamorro Rojas Pierre Nestor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32"/>
    <n v="40"/>
    <n v="40"/>
    <n v="40"/>
    <n v="24"/>
    <n v="16"/>
    <n v="40"/>
    <n v="40"/>
    <n v="0"/>
    <n v="0"/>
    <n v="0"/>
    <n v="0"/>
    <n v="0"/>
    <n v="0"/>
    <n v="0"/>
    <n v="0"/>
  </r>
  <r>
    <x v="49"/>
    <x v="0"/>
    <x v="4"/>
    <x v="2"/>
    <x v="1"/>
    <x v="4"/>
    <x v="4"/>
    <s v="Chamorro Rojas Pierre Nestor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0"/>
    <n v="0"/>
  </r>
  <r>
    <x v="49"/>
    <x v="0"/>
    <x v="20"/>
    <x v="1"/>
    <x v="0"/>
    <x v="28"/>
    <x v="27"/>
    <s v="Chamorro Rojas Pierre Nestor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32"/>
    <n v="40"/>
    <n v="40"/>
    <n v="24"/>
    <n v="0"/>
    <n v="0"/>
    <n v="0"/>
  </r>
  <r>
    <x v="49"/>
    <x v="0"/>
    <x v="7"/>
    <x v="2"/>
    <x v="1"/>
    <x v="7"/>
    <x v="7"/>
    <s v="Chamorro Rojas Pierre Nestor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n v="0"/>
    <n v="0"/>
  </r>
  <r>
    <x v="56"/>
    <x v="1"/>
    <x v="9"/>
    <x v="3"/>
    <x v="0"/>
    <x v="29"/>
    <x v="28"/>
    <s v="Gonzales Scarlen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40"/>
    <n v="40"/>
    <n v="24"/>
    <n v="16"/>
    <n v="40"/>
    <n v="16"/>
    <n v="0"/>
    <n v="0"/>
    <n v="0"/>
    <n v="0"/>
    <n v="0"/>
    <n v="0"/>
    <n v="0"/>
    <n v="0"/>
  </r>
  <r>
    <x v="56"/>
    <x v="1"/>
    <x v="1"/>
    <x v="0"/>
    <x v="0"/>
    <x v="1"/>
    <x v="1"/>
    <s v="Gonzales Scarlen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n v="0"/>
    <n v="0"/>
    <n v="0"/>
    <n v="0"/>
    <n v="0"/>
  </r>
  <r>
    <x v="57"/>
    <x v="1"/>
    <x v="1"/>
    <x v="0"/>
    <x v="0"/>
    <x v="1"/>
    <x v="1"/>
    <s v="Uceda Cristian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40"/>
    <n v="24"/>
    <n v="16"/>
    <n v="40"/>
    <n v="40"/>
    <n v="40"/>
    <n v="0"/>
    <n v="0"/>
    <n v="0"/>
    <n v="0"/>
    <n v="0"/>
    <n v="0"/>
    <n v="0"/>
  </r>
  <r>
    <x v="58"/>
    <x v="0"/>
    <x v="9"/>
    <x v="0"/>
    <x v="0"/>
    <x v="30"/>
    <x v="29"/>
    <s v="Salinas Vasquez Juan Rafael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40"/>
    <n v="32"/>
    <n v="40"/>
    <n v="40"/>
    <n v="40"/>
    <n v="0"/>
    <n v="0"/>
    <n v="0"/>
  </r>
  <r>
    <x v="59"/>
    <x v="0"/>
    <x v="9"/>
    <x v="1"/>
    <x v="0"/>
    <x v="31"/>
    <x v="30"/>
    <s v="Sotelo Hugo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0"/>
    <n v="0"/>
  </r>
  <r>
    <x v="60"/>
    <x v="0"/>
    <x v="3"/>
    <x v="0"/>
    <x v="0"/>
    <x v="3"/>
    <x v="3"/>
    <s v="Cespedes Levano Edwin Israel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40"/>
    <n v="24"/>
    <n v="16"/>
    <n v="40"/>
    <n v="40"/>
    <n v="40"/>
    <n v="32"/>
    <n v="40"/>
    <n v="40"/>
    <n v="40"/>
    <n v="32"/>
    <n v="0"/>
    <n v="0"/>
  </r>
  <r>
    <x v="61"/>
    <x v="1"/>
    <x v="1"/>
    <x v="0"/>
    <x v="0"/>
    <x v="1"/>
    <x v="1"/>
    <s v="Somoza Francisco Javier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40"/>
    <n v="40"/>
    <n v="32"/>
    <n v="0"/>
    <n v="0"/>
    <n v="0"/>
    <n v="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95">
  <r>
    <x v="0"/>
    <s v="P0007"/>
    <x v="0"/>
    <x v="0"/>
    <s v="Up Grade Web de Licitaciones Calidda"/>
    <n v="9"/>
    <n v="0"/>
    <n v="8"/>
    <n v="0"/>
    <n v="0"/>
    <n v="0"/>
    <n v="0"/>
    <n v="0"/>
    <n v="0"/>
    <n v="0"/>
    <n v="0"/>
    <n v="0"/>
    <n v="56.82"/>
    <n v="62.5"/>
    <n v="54.347826086956523"/>
    <n v="69.444444444444443"/>
    <n v="56.81818181818182"/>
    <n v="59.523809523809526"/>
    <n v="62.5"/>
    <m/>
    <m/>
    <m/>
    <m/>
    <m/>
    <n v="511.38"/>
    <n v="0"/>
    <n v="434.78260869565219"/>
    <n v="0"/>
    <n v="0"/>
    <n v="0"/>
    <n v="0"/>
    <n v="0"/>
    <n v="0"/>
    <n v="0"/>
    <n v="0"/>
    <n v="0"/>
  </r>
  <r>
    <x v="0"/>
    <s v="P0008"/>
    <x v="1"/>
    <x v="1"/>
    <s v="Aplicativo para la consulta de expedientes de SAREFIS y SADERECHOS con DNI electrónico"/>
    <n v="0"/>
    <n v="0"/>
    <n v="52"/>
    <n v="0"/>
    <n v="0"/>
    <n v="0"/>
    <n v="0"/>
    <n v="0"/>
    <n v="0"/>
    <n v="0"/>
    <n v="0"/>
    <n v="0"/>
    <n v="56.82"/>
    <n v="62.5"/>
    <n v="54.347826086956523"/>
    <n v="69.444444444444443"/>
    <n v="56.81818181818182"/>
    <n v="59.523809523809526"/>
    <n v="62.5"/>
    <m/>
    <m/>
    <m/>
    <m/>
    <m/>
    <n v="0"/>
    <n v="0"/>
    <n v="2826.086956521739"/>
    <n v="0"/>
    <n v="0"/>
    <n v="0"/>
    <n v="0"/>
    <n v="0"/>
    <n v="0"/>
    <n v="0"/>
    <n v="0"/>
    <n v="0"/>
  </r>
  <r>
    <x v="0"/>
    <s v="P0006"/>
    <x v="2"/>
    <x v="2"/>
    <s v="Implementación y despliegue de Pagos Masivos para Caja Arequipa"/>
    <n v="35"/>
    <n v="0"/>
    <n v="0"/>
    <n v="0"/>
    <n v="0"/>
    <n v="0"/>
    <n v="0"/>
    <n v="0"/>
    <n v="0"/>
    <n v="0"/>
    <n v="0"/>
    <n v="0"/>
    <n v="56.82"/>
    <n v="62.5"/>
    <n v="54.347826086956523"/>
    <n v="69.444444444444443"/>
    <n v="56.81818181818182"/>
    <n v="59.523809523809526"/>
    <n v="62.5"/>
    <m/>
    <m/>
    <m/>
    <m/>
    <m/>
    <n v="1988.7"/>
    <n v="0"/>
    <n v="0"/>
    <n v="0"/>
    <n v="0"/>
    <n v="0"/>
    <n v="0"/>
    <n v="0"/>
    <n v="0"/>
    <n v="0"/>
    <n v="0"/>
    <n v="0"/>
  </r>
  <r>
    <x v="0"/>
    <s v="P0002"/>
    <x v="3"/>
    <x v="3"/>
    <s v="Implementación del Módulo Básico de Interconexión Radios - Tetra Server - BD PNP"/>
    <n v="35"/>
    <n v="0"/>
    <n v="0"/>
    <n v="0"/>
    <n v="0"/>
    <n v="0"/>
    <n v="0"/>
    <n v="0"/>
    <n v="0"/>
    <n v="0"/>
    <n v="0"/>
    <n v="0"/>
    <n v="56.82"/>
    <n v="62.5"/>
    <n v="54.347826086956523"/>
    <n v="69.444444444444443"/>
    <n v="56.81818181818182"/>
    <n v="59.523809523809526"/>
    <n v="62.5"/>
    <m/>
    <m/>
    <m/>
    <m/>
    <m/>
    <n v="1988.7"/>
    <n v="0"/>
    <n v="0"/>
    <n v="0"/>
    <n v="0"/>
    <n v="0"/>
    <n v="0"/>
    <n v="0"/>
    <n v="0"/>
    <n v="0"/>
    <n v="0"/>
    <n v="0"/>
  </r>
  <r>
    <x v="0"/>
    <s v="P0003"/>
    <x v="3"/>
    <x v="4"/>
    <s v="Implementación de los Módulos para la interconexión de los Radios - Tetra Server - BD PNP"/>
    <n v="9"/>
    <n v="70"/>
    <n v="0"/>
    <n v="0"/>
    <n v="0"/>
    <n v="0"/>
    <n v="0"/>
    <n v="0"/>
    <n v="0"/>
    <n v="0"/>
    <n v="0"/>
    <n v="0"/>
    <n v="56.82"/>
    <n v="62.5"/>
    <n v="54.347826086956523"/>
    <n v="69.444444444444443"/>
    <n v="56.81818181818182"/>
    <n v="59.523809523809526"/>
    <n v="62.5"/>
    <m/>
    <m/>
    <m/>
    <m/>
    <m/>
    <n v="511.38"/>
    <n v="4375"/>
    <n v="0"/>
    <n v="0"/>
    <n v="0"/>
    <n v="0"/>
    <n v="0"/>
    <n v="0"/>
    <n v="0"/>
    <n v="0"/>
    <n v="0"/>
    <n v="0"/>
  </r>
  <r>
    <x v="0"/>
    <s v="P0024"/>
    <x v="1"/>
    <x v="5"/>
    <s v="Totem Digital"/>
    <n v="0"/>
    <n v="0"/>
    <n v="0"/>
    <n v="0"/>
    <n v="0"/>
    <n v="24"/>
    <n v="0"/>
    <n v="0"/>
    <n v="0"/>
    <n v="0"/>
    <n v="0"/>
    <n v="0"/>
    <n v="56.82"/>
    <n v="62.5"/>
    <n v="54.347826086956523"/>
    <n v="69.444444444444443"/>
    <n v="56.81818181818182"/>
    <n v="59.523809523809526"/>
    <n v="62.5"/>
    <m/>
    <m/>
    <m/>
    <m/>
    <m/>
    <n v="0"/>
    <n v="0"/>
    <n v="0"/>
    <n v="0"/>
    <n v="0"/>
    <n v="1428.5714285714287"/>
    <n v="0"/>
    <n v="0"/>
    <n v="0"/>
    <n v="0"/>
    <n v="0"/>
    <n v="0"/>
  </r>
  <r>
    <x v="0"/>
    <s v="P0020"/>
    <x v="4"/>
    <x v="6"/>
    <s v="Fabrica de Software"/>
    <n v="0"/>
    <n v="0"/>
    <n v="0"/>
    <n v="0"/>
    <n v="0"/>
    <n v="0"/>
    <n v="0"/>
    <n v="0"/>
    <n v="0"/>
    <n v="0"/>
    <n v="0"/>
    <n v="0"/>
    <n v="56.82"/>
    <n v="62.5"/>
    <n v="54.347826086956523"/>
    <n v="69.444444444444443"/>
    <n v="56.81818181818182"/>
    <n v="59.523809523809526"/>
    <n v="62.5"/>
    <m/>
    <m/>
    <m/>
    <m/>
    <m/>
    <n v="0"/>
    <n v="0"/>
    <n v="0"/>
    <n v="0"/>
    <n v="0"/>
    <n v="0"/>
    <n v="0"/>
    <n v="0"/>
    <n v="0"/>
    <n v="0"/>
    <n v="0"/>
    <n v="0"/>
  </r>
  <r>
    <x v="0"/>
    <s v="P0019"/>
    <x v="5"/>
    <x v="7"/>
    <s v="Servicios de soporte de segundo nivel sobre Linux en Cloud Softlayer_x000a_"/>
    <n v="0"/>
    <n v="0"/>
    <n v="0"/>
    <n v="0"/>
    <n v="0"/>
    <n v="0"/>
    <n v="0"/>
    <n v="0"/>
    <n v="0"/>
    <n v="0"/>
    <n v="0"/>
    <n v="0"/>
    <n v="56.82"/>
    <n v="62.5"/>
    <n v="54.347826086956523"/>
    <n v="69.444444444444443"/>
    <n v="56.81818181818182"/>
    <n v="59.523809523809526"/>
    <n v="62.5"/>
    <m/>
    <m/>
    <m/>
    <m/>
    <m/>
    <n v="0"/>
    <n v="0"/>
    <n v="0"/>
    <n v="0"/>
    <n v="0"/>
    <n v="0"/>
    <n v="0"/>
    <n v="0"/>
    <n v="0"/>
    <n v="0"/>
    <n v="0"/>
    <n v="0"/>
  </r>
  <r>
    <x v="0"/>
    <s v="PROPUESTA"/>
    <x v="6"/>
    <x v="8"/>
    <s v="Propuesta"/>
    <n v="0"/>
    <n v="0"/>
    <n v="0"/>
    <n v="0"/>
    <n v="144"/>
    <n v="104"/>
    <n v="92"/>
    <n v="8"/>
    <n v="0"/>
    <n v="0"/>
    <n v="0"/>
    <n v="0"/>
    <n v="56.82"/>
    <n v="62.5"/>
    <n v="54.347826086956523"/>
    <n v="69.444444444444443"/>
    <n v="56.81818181818182"/>
    <n v="59.523809523809526"/>
    <n v="62.5"/>
    <m/>
    <m/>
    <m/>
    <m/>
    <m/>
    <n v="0"/>
    <n v="0"/>
    <n v="0"/>
    <n v="0"/>
    <n v="8181.818181818182"/>
    <n v="6190.4761904761908"/>
    <n v="5750"/>
    <n v="0"/>
    <n v="0"/>
    <n v="0"/>
    <n v="0"/>
    <n v="0"/>
  </r>
  <r>
    <x v="0"/>
    <s v="INASISTENCIAS"/>
    <x v="7"/>
    <x v="9"/>
    <s v="Inasistencias"/>
    <n v="0"/>
    <n v="0"/>
    <n v="0"/>
    <n v="0"/>
    <n v="0"/>
    <n v="40"/>
    <n v="0"/>
    <n v="0"/>
    <n v="0"/>
    <n v="0"/>
    <n v="0"/>
    <n v="0"/>
    <n v="56.82"/>
    <n v="62.5"/>
    <n v="54.347826086956523"/>
    <n v="69.444444444444443"/>
    <n v="56.81818181818182"/>
    <n v="59.523809523809526"/>
    <n v="62.5"/>
    <m/>
    <m/>
    <m/>
    <m/>
    <m/>
    <n v="0"/>
    <n v="0"/>
    <n v="0"/>
    <n v="0"/>
    <n v="0"/>
    <n v="2380.9523809523812"/>
    <n v="0"/>
    <n v="0"/>
    <n v="0"/>
    <n v="0"/>
    <n v="0"/>
    <n v="0"/>
  </r>
  <r>
    <x v="0"/>
    <s v="NO FACT."/>
    <x v="8"/>
    <x v="10"/>
    <s v="No facturable"/>
    <n v="0"/>
    <n v="0"/>
    <n v="124"/>
    <n v="144"/>
    <n v="32"/>
    <n v="0"/>
    <n v="0"/>
    <n v="0"/>
    <n v="0"/>
    <n v="0"/>
    <n v="0"/>
    <n v="0"/>
    <n v="56.82"/>
    <n v="62.5"/>
    <n v="54.347826086956523"/>
    <n v="69.444444444444443"/>
    <n v="56.81818181818182"/>
    <n v="59.523809523809526"/>
    <n v="62.5"/>
    <m/>
    <m/>
    <m/>
    <m/>
    <m/>
    <n v="0"/>
    <n v="0"/>
    <n v="6739.130434782609"/>
    <n v="10000"/>
    <n v="1818.1818181818182"/>
    <n v="0"/>
    <n v="0"/>
    <n v="0"/>
    <n v="0"/>
    <n v="0"/>
    <n v="0"/>
    <n v="0"/>
  </r>
  <r>
    <x v="0"/>
    <s v="P0020"/>
    <x v="4"/>
    <x v="6"/>
    <s v="Fabrica de Software"/>
    <n v="0"/>
    <n v="0"/>
    <n v="0"/>
    <n v="0"/>
    <n v="0"/>
    <n v="0"/>
    <n v="8"/>
    <n v="0"/>
    <n v="0"/>
    <n v="0"/>
    <n v="0"/>
    <n v="0"/>
    <n v="56.82"/>
    <n v="62.5"/>
    <n v="54.347826086956523"/>
    <n v="69.444444444444443"/>
    <n v="56.81818181818182"/>
    <n v="59.523809523809526"/>
    <n v="62.5"/>
    <m/>
    <m/>
    <m/>
    <m/>
    <m/>
    <n v="0"/>
    <n v="0"/>
    <n v="0"/>
    <n v="0"/>
    <n v="0"/>
    <n v="0"/>
    <n v="500"/>
    <n v="0"/>
    <n v="0"/>
    <n v="0"/>
    <n v="0"/>
    <n v="0"/>
  </r>
  <r>
    <x v="0"/>
    <s v="P0031"/>
    <x v="4"/>
    <x v="11"/>
    <s v="Servicios de Analisis y Desarrollo"/>
    <n v="0"/>
    <n v="0"/>
    <n v="0"/>
    <n v="0"/>
    <n v="0"/>
    <n v="0"/>
    <n v="60"/>
    <n v="24"/>
    <n v="0"/>
    <n v="0"/>
    <n v="0"/>
    <n v="0"/>
    <n v="56.82"/>
    <n v="62.5"/>
    <n v="54.347826086956523"/>
    <n v="69.444444444444443"/>
    <n v="56.81818181818182"/>
    <n v="59.523809523809526"/>
    <n v="62.5"/>
    <m/>
    <m/>
    <m/>
    <m/>
    <m/>
    <n v="0"/>
    <n v="0"/>
    <n v="0"/>
    <n v="0"/>
    <n v="0"/>
    <n v="0"/>
    <n v="3750"/>
    <n v="0"/>
    <n v="0"/>
    <n v="0"/>
    <n v="0"/>
    <n v="0"/>
  </r>
  <r>
    <x v="1"/>
    <s v="MP004"/>
    <x v="9"/>
    <x v="12"/>
    <s v="Software Factory"/>
    <n v="0"/>
    <n v="0"/>
    <n v="0"/>
    <n v="0"/>
    <n v="122.5"/>
    <n v="168"/>
    <n v="0"/>
    <n v="0"/>
    <n v="0"/>
    <n v="0"/>
    <n v="0"/>
    <n v="0"/>
    <n v="0"/>
    <n v="0"/>
    <n v="0"/>
    <n v="0"/>
    <n v="0"/>
    <n v="0"/>
    <n v="0"/>
    <m/>
    <m/>
    <m/>
    <m/>
    <m/>
    <n v="0"/>
    <n v="0"/>
    <n v="0"/>
    <n v="0"/>
    <n v="0"/>
    <n v="0"/>
    <n v="0"/>
    <n v="0"/>
    <n v="0"/>
    <n v="0"/>
    <n v="0"/>
    <n v="0"/>
  </r>
  <r>
    <x v="2"/>
    <s v="MP004"/>
    <x v="9"/>
    <x v="12"/>
    <s v="Software Factory"/>
    <n v="176"/>
    <n v="160"/>
    <n v="184"/>
    <n v="144"/>
    <n v="176"/>
    <n v="0"/>
    <n v="0"/>
    <n v="0"/>
    <n v="0"/>
    <n v="0"/>
    <n v="0"/>
    <n v="0"/>
    <n v="44.95"/>
    <n v="49.44"/>
    <n v="42.991847826086953"/>
    <n v="54.934027777777779"/>
    <n v="44.946022727272727"/>
    <n v="0"/>
    <n v="0"/>
    <m/>
    <m/>
    <m/>
    <m/>
    <m/>
    <n v="7911.2000000000007"/>
    <n v="7910.4"/>
    <n v="7910.4999999999991"/>
    <n v="7910.5"/>
    <n v="7910.5"/>
    <n v="0"/>
    <n v="0"/>
    <n v="0"/>
    <n v="0"/>
    <n v="0"/>
    <n v="0"/>
    <n v="0"/>
  </r>
  <r>
    <x v="3"/>
    <s v="INASISTENCIAS"/>
    <x v="7"/>
    <x v="9"/>
    <s v="Inasistencias"/>
    <n v="0"/>
    <n v="0"/>
    <n v="0"/>
    <n v="0"/>
    <n v="8"/>
    <n v="0"/>
    <n v="0"/>
    <n v="0"/>
    <n v="0"/>
    <n v="0"/>
    <n v="0"/>
    <n v="0"/>
    <n v="28.81"/>
    <n v="31.69"/>
    <n v="27.554347826086957"/>
    <n v="35.208333333333336"/>
    <n v="28.806818181818183"/>
    <n v="30.178571428571427"/>
    <n v="31.6875"/>
    <m/>
    <m/>
    <m/>
    <m/>
    <m/>
    <n v="0"/>
    <n v="0"/>
    <n v="0"/>
    <n v="0"/>
    <n v="230.45454545454547"/>
    <n v="0"/>
    <n v="0"/>
    <n v="0"/>
    <n v="0"/>
    <n v="0"/>
    <n v="0"/>
    <n v="0"/>
  </r>
  <r>
    <x v="3"/>
    <s v="MP004"/>
    <x v="9"/>
    <x v="12"/>
    <s v="Software Factory"/>
    <n v="176"/>
    <n v="160"/>
    <n v="184"/>
    <n v="144"/>
    <n v="168"/>
    <n v="168"/>
    <n v="160"/>
    <n v="0"/>
    <n v="0"/>
    <n v="0"/>
    <n v="0"/>
    <n v="0"/>
    <n v="28.81"/>
    <n v="31.69"/>
    <n v="27.554347826086957"/>
    <n v="35.208333333333336"/>
    <n v="28.806818181818183"/>
    <n v="30.178571428571427"/>
    <n v="31.6875"/>
    <m/>
    <m/>
    <m/>
    <m/>
    <m/>
    <n v="5070.5599999999995"/>
    <n v="5070.4000000000005"/>
    <n v="5070"/>
    <n v="5070"/>
    <n v="4839.545454545455"/>
    <n v="5070"/>
    <n v="5070"/>
    <n v="0"/>
    <n v="0"/>
    <n v="0"/>
    <n v="0"/>
    <n v="0"/>
  </r>
  <r>
    <x v="4"/>
    <s v="VACACIONES"/>
    <x v="10"/>
    <x v="13"/>
    <s v="Vacaciones"/>
    <n v="40"/>
    <n v="0"/>
    <n v="0"/>
    <n v="0"/>
    <n v="0"/>
    <n v="8"/>
    <n v="0"/>
    <n v="0"/>
    <n v="0"/>
    <n v="0"/>
    <n v="0"/>
    <n v="0"/>
    <n v="51.14"/>
    <n v="56.25"/>
    <n v="48.913043478260867"/>
    <n v="62.5"/>
    <n v="51.136363636363633"/>
    <n v="53.571428571428569"/>
    <n v="56.25"/>
    <m/>
    <m/>
    <m/>
    <m/>
    <m/>
    <n v="2045.6"/>
    <n v="0"/>
    <n v="0"/>
    <n v="0"/>
    <n v="0"/>
    <n v="428.57142857142856"/>
    <n v="0"/>
    <n v="0"/>
    <n v="0"/>
    <n v="0"/>
    <n v="0"/>
    <n v="0"/>
  </r>
  <r>
    <x v="4"/>
    <s v="INASISTENCIAS"/>
    <x v="7"/>
    <x v="9"/>
    <s v="Inasistencias"/>
    <n v="32"/>
    <n v="0"/>
    <n v="16"/>
    <n v="16"/>
    <n v="8"/>
    <n v="0"/>
    <n v="0"/>
    <n v="0"/>
    <n v="0"/>
    <n v="0"/>
    <n v="0"/>
    <n v="0"/>
    <n v="51.14"/>
    <n v="56.25"/>
    <n v="48.913043478260867"/>
    <n v="62.5"/>
    <n v="51.136363636363633"/>
    <n v="53.571428571428569"/>
    <n v="56.25"/>
    <m/>
    <m/>
    <m/>
    <m/>
    <m/>
    <n v="1636.48"/>
    <n v="0"/>
    <n v="782.60869565217388"/>
    <n v="1000"/>
    <n v="409.09090909090907"/>
    <n v="0"/>
    <n v="0"/>
    <n v="0"/>
    <n v="0"/>
    <n v="0"/>
    <n v="0"/>
    <n v="0"/>
  </r>
  <r>
    <x v="4"/>
    <s v="MP004"/>
    <x v="9"/>
    <x v="12"/>
    <s v="Software Factory"/>
    <n v="104"/>
    <n v="160"/>
    <n v="168"/>
    <n v="128"/>
    <n v="168"/>
    <n v="160"/>
    <n v="160"/>
    <n v="0"/>
    <n v="0"/>
    <n v="0"/>
    <n v="0"/>
    <n v="0"/>
    <n v="51.14"/>
    <n v="56.25"/>
    <n v="48.913043478260867"/>
    <n v="62.5"/>
    <n v="51.136363636363633"/>
    <n v="53.571428571428569"/>
    <n v="56.25"/>
    <m/>
    <m/>
    <m/>
    <m/>
    <m/>
    <n v="5318.56"/>
    <n v="9000"/>
    <n v="8217.391304347826"/>
    <n v="8000"/>
    <n v="8590.9090909090901"/>
    <n v="8571.4285714285706"/>
    <n v="9000"/>
    <n v="0"/>
    <n v="0"/>
    <n v="0"/>
    <n v="0"/>
    <n v="0"/>
  </r>
  <r>
    <x v="5"/>
    <s v="MP004"/>
    <x v="9"/>
    <x v="12"/>
    <s v="Software Factory"/>
    <n v="170"/>
    <n v="152"/>
    <n v="184"/>
    <n v="120"/>
    <n v="176"/>
    <n v="168"/>
    <n v="152"/>
    <n v="0"/>
    <n v="0"/>
    <n v="0"/>
    <n v="0"/>
    <n v="0"/>
    <n v="36.93"/>
    <n v="40.630000000000003"/>
    <n v="35.326086956521742"/>
    <n v="45.138888888888886"/>
    <n v="36.93181818181818"/>
    <n v="38.69047619047619"/>
    <n v="40.625"/>
    <m/>
    <m/>
    <m/>
    <m/>
    <m/>
    <n v="6278.1"/>
    <n v="6175.76"/>
    <n v="6500.0000000000009"/>
    <n v="5416.6666666666661"/>
    <n v="6500"/>
    <n v="6500"/>
    <n v="6175"/>
    <n v="0"/>
    <n v="0"/>
    <n v="0"/>
    <n v="0"/>
    <n v="0"/>
  </r>
  <r>
    <x v="5"/>
    <s v="INASISTENCIAS"/>
    <x v="7"/>
    <x v="9"/>
    <s v="Inasistencias"/>
    <n v="6"/>
    <n v="8"/>
    <n v="0"/>
    <n v="24"/>
    <n v="0"/>
    <n v="0"/>
    <n v="0"/>
    <n v="0"/>
    <n v="0"/>
    <n v="0"/>
    <n v="0"/>
    <n v="0"/>
    <n v="36.93"/>
    <n v="40.630000000000003"/>
    <n v="35.326086956521742"/>
    <n v="45.138888888888886"/>
    <n v="36.93181818181818"/>
    <n v="38.69047619047619"/>
    <n v="40.625"/>
    <m/>
    <m/>
    <m/>
    <m/>
    <m/>
    <n v="221.57999999999998"/>
    <n v="325.04000000000002"/>
    <n v="0"/>
    <n v="1083.3333333333333"/>
    <n v="0"/>
    <n v="0"/>
    <n v="0"/>
    <n v="0"/>
    <n v="0"/>
    <n v="0"/>
    <n v="0"/>
    <n v="0"/>
  </r>
  <r>
    <x v="5"/>
    <s v="VACACIONES"/>
    <x v="10"/>
    <x v="13"/>
    <s v="Vacaciones"/>
    <n v="0"/>
    <n v="0"/>
    <n v="0"/>
    <n v="0"/>
    <n v="0"/>
    <n v="0"/>
    <n v="8"/>
    <n v="0"/>
    <n v="0"/>
    <n v="0"/>
    <n v="0"/>
    <n v="0"/>
    <n v="36.93"/>
    <n v="40.630000000000003"/>
    <n v="35.326086956521742"/>
    <n v="45.138888888888886"/>
    <n v="36.93181818181818"/>
    <n v="38.69047619047619"/>
    <n v="40.625"/>
    <m/>
    <m/>
    <m/>
    <m/>
    <m/>
    <n v="0"/>
    <n v="0"/>
    <n v="0"/>
    <n v="0"/>
    <n v="0"/>
    <n v="0"/>
    <n v="325"/>
    <n v="0"/>
    <n v="0"/>
    <n v="0"/>
    <n v="0"/>
    <n v="0"/>
  </r>
  <r>
    <x v="6"/>
    <s v="MP004"/>
    <x v="9"/>
    <x v="12"/>
    <s v="Software Factory"/>
    <n v="0"/>
    <n v="160"/>
    <n v="184"/>
    <n v="144"/>
    <n v="176"/>
    <n v="168"/>
    <n v="160"/>
    <n v="0"/>
    <n v="0"/>
    <n v="0"/>
    <n v="0"/>
    <n v="0"/>
    <n v="0"/>
    <n v="37.5"/>
    <n v="32.608695652173914"/>
    <n v="41.666666666666664"/>
    <n v="34.090909090909093"/>
    <n v="35.714285714285715"/>
    <n v="37.5"/>
    <m/>
    <m/>
    <m/>
    <m/>
    <m/>
    <n v="0"/>
    <n v="6000"/>
    <n v="6000"/>
    <n v="6000"/>
    <n v="6000"/>
    <n v="6000"/>
    <n v="6000"/>
    <n v="0"/>
    <n v="0"/>
    <n v="0"/>
    <n v="0"/>
    <n v="0"/>
  </r>
  <r>
    <x v="7"/>
    <s v="P0013"/>
    <x v="11"/>
    <x v="14"/>
    <s v="Reportes SBS"/>
    <n v="0"/>
    <n v="0"/>
    <n v="0"/>
    <n v="32"/>
    <n v="176"/>
    <n v="168"/>
    <n v="0"/>
    <n v="0"/>
    <n v="0"/>
    <n v="0"/>
    <n v="0"/>
    <n v="0"/>
    <n v="27.27"/>
    <n v="30"/>
    <n v="26.086956521739129"/>
    <n v="37.5"/>
    <n v="30.681818181818183"/>
    <n v="32.142857142857146"/>
    <n v="33.75"/>
    <m/>
    <m/>
    <m/>
    <m/>
    <m/>
    <n v="0"/>
    <n v="0"/>
    <n v="0"/>
    <n v="1200"/>
    <n v="5400"/>
    <n v="5400.0000000000009"/>
    <n v="0"/>
    <n v="0"/>
    <n v="0"/>
    <n v="0"/>
    <n v="0"/>
    <n v="0"/>
  </r>
  <r>
    <x v="7"/>
    <s v="MP004"/>
    <x v="9"/>
    <x v="12"/>
    <s v="Software Factory"/>
    <n v="176"/>
    <n v="160"/>
    <n v="184"/>
    <n v="16"/>
    <n v="0"/>
    <n v="0"/>
    <n v="0"/>
    <n v="0"/>
    <n v="0"/>
    <n v="0"/>
    <n v="0"/>
    <n v="0"/>
    <n v="27.27"/>
    <n v="30"/>
    <n v="26.086956521739129"/>
    <n v="37.5"/>
    <n v="30.681818181818183"/>
    <n v="32.142857142857146"/>
    <n v="33.75"/>
    <m/>
    <m/>
    <m/>
    <m/>
    <m/>
    <n v="4799.5199999999995"/>
    <n v="4800"/>
    <n v="4800"/>
    <n v="600"/>
    <n v="0"/>
    <n v="0"/>
    <n v="0"/>
    <n v="0"/>
    <n v="0"/>
    <n v="0"/>
    <n v="0"/>
    <n v="0"/>
  </r>
  <r>
    <x v="7"/>
    <s v="NO FACT."/>
    <x v="8"/>
    <x v="10"/>
    <s v="No facturable"/>
    <n v="0"/>
    <n v="0"/>
    <n v="0"/>
    <n v="96"/>
    <n v="0"/>
    <n v="0"/>
    <n v="120"/>
    <n v="0"/>
    <n v="0"/>
    <n v="0"/>
    <n v="0"/>
    <n v="0"/>
    <n v="27.27"/>
    <n v="30"/>
    <n v="26.086956521739129"/>
    <n v="37.5"/>
    <n v="30.681818181818183"/>
    <n v="32.142857142857146"/>
    <n v="33.75"/>
    <m/>
    <m/>
    <m/>
    <m/>
    <m/>
    <n v="0"/>
    <n v="0"/>
    <n v="0"/>
    <n v="3600"/>
    <n v="0"/>
    <n v="0"/>
    <n v="4050"/>
    <n v="0"/>
    <n v="0"/>
    <n v="0"/>
    <n v="0"/>
    <n v="0"/>
  </r>
  <r>
    <x v="7"/>
    <s v="INASISTENCIAS"/>
    <x v="7"/>
    <x v="9"/>
    <s v="Inasistencias"/>
    <n v="0"/>
    <n v="0"/>
    <n v="0"/>
    <n v="0"/>
    <n v="0"/>
    <n v="0"/>
    <n v="0"/>
    <n v="0"/>
    <n v="0"/>
    <n v="0"/>
    <n v="0"/>
    <n v="0"/>
    <n v="27.27"/>
    <n v="30"/>
    <n v="26.086956521739129"/>
    <n v="37.5"/>
    <n v="30.681818181818183"/>
    <n v="32.142857142857146"/>
    <n v="33.75"/>
    <m/>
    <m/>
    <m/>
    <m/>
    <m/>
    <n v="0"/>
    <n v="0"/>
    <n v="0"/>
    <n v="0"/>
    <n v="0"/>
    <n v="0"/>
    <n v="0"/>
    <n v="0"/>
    <n v="0"/>
    <n v="0"/>
    <n v="0"/>
    <n v="0"/>
  </r>
  <r>
    <x v="7"/>
    <s v="MP001"/>
    <x v="12"/>
    <x v="15"/>
    <s v="Analista Programador Java Python"/>
    <n v="0"/>
    <n v="0"/>
    <n v="0"/>
    <n v="0"/>
    <n v="0"/>
    <n v="0"/>
    <n v="40"/>
    <n v="32"/>
    <n v="0"/>
    <n v="0"/>
    <n v="0"/>
    <n v="0"/>
    <n v="27.27"/>
    <n v="30"/>
    <n v="26.086956521739129"/>
    <n v="37.5"/>
    <n v="30.681818181818183"/>
    <n v="32.142857142857146"/>
    <n v="33.75"/>
    <m/>
    <m/>
    <m/>
    <m/>
    <m/>
    <n v="0"/>
    <n v="0"/>
    <n v="0"/>
    <n v="0"/>
    <n v="0"/>
    <n v="0"/>
    <n v="1350"/>
    <n v="0"/>
    <n v="0"/>
    <n v="0"/>
    <n v="0"/>
    <n v="0"/>
  </r>
  <r>
    <x v="8"/>
    <s v="INASISTENCIAS"/>
    <x v="7"/>
    <x v="9"/>
    <s v="Inasistencias"/>
    <n v="0"/>
    <n v="0"/>
    <n v="0"/>
    <n v="0"/>
    <n v="22"/>
    <n v="0"/>
    <n v="0"/>
    <n v="0"/>
    <n v="0"/>
    <n v="0"/>
    <n v="0"/>
    <n v="0"/>
    <n v="47.73"/>
    <n v="52.5"/>
    <n v="45.652173913043477"/>
    <n v="58.333333333333336"/>
    <n v="47.727272727272727"/>
    <n v="50"/>
    <n v="52.5"/>
    <m/>
    <m/>
    <m/>
    <m/>
    <m/>
    <n v="0"/>
    <n v="0"/>
    <n v="0"/>
    <n v="0"/>
    <n v="1050"/>
    <n v="0"/>
    <n v="0"/>
    <n v="0"/>
    <n v="0"/>
    <n v="0"/>
    <n v="0"/>
    <n v="0"/>
  </r>
  <r>
    <x v="8"/>
    <s v="VACACIONES"/>
    <x v="10"/>
    <x v="13"/>
    <s v="Vacaciones"/>
    <n v="64"/>
    <n v="0"/>
    <n v="0"/>
    <n v="0"/>
    <n v="0"/>
    <n v="0"/>
    <n v="0"/>
    <n v="0"/>
    <n v="0"/>
    <n v="0"/>
    <n v="0"/>
    <n v="0"/>
    <n v="47.73"/>
    <n v="52.5"/>
    <n v="45.652173913043477"/>
    <n v="58.333333333333336"/>
    <n v="47.727272727272727"/>
    <n v="50"/>
    <n v="52.5"/>
    <m/>
    <m/>
    <m/>
    <m/>
    <m/>
    <n v="3054.72"/>
    <n v="0"/>
    <n v="0"/>
    <n v="0"/>
    <n v="0"/>
    <n v="0"/>
    <n v="0"/>
    <n v="0"/>
    <n v="0"/>
    <n v="0"/>
    <n v="0"/>
    <n v="0"/>
  </r>
  <r>
    <x v="8"/>
    <s v="MP004"/>
    <x v="9"/>
    <x v="12"/>
    <s v="Software Factory"/>
    <n v="112"/>
    <n v="160"/>
    <n v="184"/>
    <n v="144"/>
    <n v="154"/>
    <n v="168"/>
    <n v="160"/>
    <n v="0"/>
    <n v="0"/>
    <n v="0"/>
    <n v="0"/>
    <n v="0"/>
    <n v="47.73"/>
    <n v="52.5"/>
    <n v="45.652173913043477"/>
    <n v="58.333333333333336"/>
    <n v="47.727272727272727"/>
    <n v="50"/>
    <n v="52.5"/>
    <m/>
    <m/>
    <m/>
    <m/>
    <m/>
    <n v="5345.7599999999993"/>
    <n v="8400"/>
    <n v="8400"/>
    <n v="8400"/>
    <n v="7350"/>
    <n v="8400"/>
    <n v="8400"/>
    <n v="0"/>
    <n v="0"/>
    <n v="0"/>
    <n v="0"/>
    <n v="0"/>
  </r>
  <r>
    <x v="9"/>
    <s v="P0005"/>
    <x v="13"/>
    <x v="16"/>
    <s v="Implementación del Sistema de Certificados de Retenciones"/>
    <n v="0"/>
    <n v="0"/>
    <n v="46"/>
    <n v="33"/>
    <n v="36"/>
    <n v="63"/>
    <n v="82"/>
    <n v="0"/>
    <n v="0"/>
    <n v="0"/>
    <n v="0"/>
    <n v="0"/>
    <n v="63.07"/>
    <n v="70.069999999999993"/>
    <n v="60.926630434782609"/>
    <n v="65.972222222222229"/>
    <n v="53.977272727272727"/>
    <n v="56.547619047619051"/>
    <n v="59.375"/>
    <m/>
    <m/>
    <m/>
    <m/>
    <m/>
    <n v="0"/>
    <n v="0"/>
    <n v="2802.625"/>
    <n v="2177.0833333333335"/>
    <n v="1943.1818181818182"/>
    <n v="3562.5"/>
    <n v="4868.75"/>
    <n v="0"/>
    <n v="0"/>
    <n v="0"/>
    <n v="0"/>
    <n v="0"/>
  </r>
  <r>
    <x v="9"/>
    <s v="P0026"/>
    <x v="14"/>
    <x v="17"/>
    <s v="Implementación de Extractores de Gestión TABELAU "/>
    <n v="0"/>
    <n v="0"/>
    <n v="0"/>
    <n v="0"/>
    <n v="0"/>
    <n v="0"/>
    <n v="58"/>
    <n v="32"/>
    <n v="0"/>
    <n v="0"/>
    <n v="0"/>
    <n v="0"/>
    <n v="63.07"/>
    <n v="70.069999999999993"/>
    <n v="60.926630434782609"/>
    <n v="65.972222222222229"/>
    <n v="53.977272727272727"/>
    <n v="56.547619047619051"/>
    <n v="59.375"/>
    <m/>
    <m/>
    <m/>
    <m/>
    <m/>
    <n v="0"/>
    <n v="0"/>
    <n v="0"/>
    <n v="0"/>
    <n v="0"/>
    <n v="0"/>
    <n v="3443.75"/>
    <n v="0"/>
    <n v="0"/>
    <n v="0"/>
    <n v="0"/>
    <n v="0"/>
  </r>
  <r>
    <x v="9"/>
    <s v="P0008"/>
    <x v="1"/>
    <x v="1"/>
    <s v="Aplicativo para la consulta de expedientes de SAREFIS y SADERECHOS con DNI electrónico"/>
    <n v="0"/>
    <n v="32"/>
    <n v="6"/>
    <n v="0"/>
    <n v="0"/>
    <n v="0"/>
    <n v="0"/>
    <n v="0"/>
    <n v="0"/>
    <n v="0"/>
    <n v="0"/>
    <n v="0"/>
    <n v="63.07"/>
    <n v="70.069999999999993"/>
    <n v="60.926630434782609"/>
    <n v="65.972222222222229"/>
    <n v="53.977272727272727"/>
    <n v="56.547619047619051"/>
    <n v="59.375"/>
    <m/>
    <m/>
    <m/>
    <m/>
    <m/>
    <n v="0"/>
    <n v="2242.2399999999998"/>
    <n v="365.55978260869563"/>
    <n v="0"/>
    <n v="0"/>
    <n v="0"/>
    <n v="0"/>
    <n v="0"/>
    <n v="0"/>
    <n v="0"/>
    <n v="0"/>
    <n v="0"/>
  </r>
  <r>
    <x v="9"/>
    <s v="MP002"/>
    <x v="15"/>
    <x v="18"/>
    <s v="Soporte Tecnico"/>
    <n v="0"/>
    <n v="0"/>
    <n v="0"/>
    <n v="18"/>
    <n v="1"/>
    <n v="0"/>
    <n v="0"/>
    <n v="0"/>
    <n v="0"/>
    <n v="0"/>
    <n v="0"/>
    <n v="0"/>
    <n v="63.07"/>
    <n v="70.069999999999993"/>
    <n v="60.926630434782609"/>
    <n v="65.972222222222229"/>
    <n v="53.977272727272727"/>
    <n v="56.547619047619051"/>
    <n v="59.375"/>
    <m/>
    <m/>
    <m/>
    <m/>
    <m/>
    <n v="0"/>
    <n v="0"/>
    <n v="0"/>
    <n v="1187.5"/>
    <n v="53.977272727272727"/>
    <n v="0"/>
    <n v="0"/>
    <n v="0"/>
    <n v="0"/>
    <n v="0"/>
    <n v="0"/>
    <n v="0"/>
  </r>
  <r>
    <x v="9"/>
    <s v="MP003"/>
    <x v="16"/>
    <x v="19"/>
    <s v="Soporte Tecnico"/>
    <n v="0"/>
    <n v="0"/>
    <n v="0"/>
    <n v="8"/>
    <n v="1"/>
    <n v="0"/>
    <n v="0"/>
    <n v="0"/>
    <n v="0"/>
    <n v="0"/>
    <n v="0"/>
    <n v="0"/>
    <n v="63.07"/>
    <n v="70.069999999999993"/>
    <n v="60.926630434782609"/>
    <n v="65.972222222222229"/>
    <n v="53.977272727272727"/>
    <n v="56.547619047619051"/>
    <n v="59.375"/>
    <m/>
    <m/>
    <m/>
    <m/>
    <m/>
    <n v="0"/>
    <n v="0"/>
    <n v="0"/>
    <n v="527.77777777777783"/>
    <n v="53.977272727272727"/>
    <n v="0"/>
    <n v="0"/>
    <n v="0"/>
    <n v="0"/>
    <n v="0"/>
    <n v="0"/>
    <n v="0"/>
  </r>
  <r>
    <x v="9"/>
    <s v="P0020"/>
    <x v="4"/>
    <x v="6"/>
    <s v="Fabrica de Software"/>
    <n v="123"/>
    <n v="96"/>
    <n v="92.5"/>
    <n v="0"/>
    <n v="0"/>
    <n v="0"/>
    <n v="0"/>
    <n v="0"/>
    <n v="0"/>
    <n v="0"/>
    <n v="0"/>
    <n v="0"/>
    <n v="63.07"/>
    <n v="70.069999999999993"/>
    <n v="60.926630434782609"/>
    <n v="65.972222222222229"/>
    <n v="53.977272727272727"/>
    <n v="56.547619047619051"/>
    <n v="59.375"/>
    <m/>
    <m/>
    <m/>
    <m/>
    <m/>
    <n v="7757.61"/>
    <n v="6726.7199999999993"/>
    <n v="5635.713315217391"/>
    <n v="0"/>
    <n v="0"/>
    <n v="0"/>
    <n v="0"/>
    <n v="0"/>
    <n v="0"/>
    <n v="0"/>
    <n v="0"/>
    <n v="0"/>
  </r>
  <r>
    <x v="9"/>
    <s v="P0010"/>
    <x v="17"/>
    <x v="20"/>
    <s v="Soporte de Analista de Calidad"/>
    <n v="0"/>
    <n v="0"/>
    <n v="0"/>
    <n v="5"/>
    <n v="1"/>
    <n v="0"/>
    <n v="0"/>
    <n v="0"/>
    <n v="0"/>
    <n v="0"/>
    <n v="0"/>
    <n v="0"/>
    <n v="63.07"/>
    <n v="70.069999999999993"/>
    <n v="60.926630434782609"/>
    <n v="65.972222222222229"/>
    <n v="53.977272727272727"/>
    <n v="56.547619047619051"/>
    <n v="59.375"/>
    <m/>
    <m/>
    <m/>
    <m/>
    <m/>
    <n v="0"/>
    <n v="0"/>
    <n v="0"/>
    <n v="329.86111111111114"/>
    <n v="53.977272727272727"/>
    <n v="0"/>
    <n v="0"/>
    <n v="0"/>
    <n v="0"/>
    <n v="0"/>
    <n v="0"/>
    <n v="0"/>
  </r>
  <r>
    <x v="9"/>
    <s v="MP001"/>
    <x v="12"/>
    <x v="15"/>
    <s v="Analista Programador Java Python"/>
    <n v="0"/>
    <n v="0"/>
    <n v="0"/>
    <n v="13"/>
    <n v="1"/>
    <n v="0"/>
    <n v="0"/>
    <n v="0"/>
    <n v="0"/>
    <n v="0"/>
    <n v="0"/>
    <n v="0"/>
    <n v="63.07"/>
    <n v="70.069999999999993"/>
    <n v="60.926630434782609"/>
    <n v="65.972222222222229"/>
    <n v="53.977272727272727"/>
    <n v="56.547619047619051"/>
    <n v="59.375"/>
    <m/>
    <m/>
    <m/>
    <m/>
    <m/>
    <n v="0"/>
    <n v="0"/>
    <n v="0"/>
    <n v="857.63888888888891"/>
    <n v="53.977272727272727"/>
    <n v="0"/>
    <n v="0"/>
    <n v="0"/>
    <n v="0"/>
    <n v="0"/>
    <n v="0"/>
    <n v="0"/>
  </r>
  <r>
    <x v="9"/>
    <s v="VACACIONES"/>
    <x v="10"/>
    <x v="13"/>
    <s v="Vacaciones"/>
    <n v="0"/>
    <n v="0"/>
    <n v="0"/>
    <n v="0"/>
    <n v="0"/>
    <n v="8"/>
    <n v="0"/>
    <n v="0"/>
    <n v="0"/>
    <n v="0"/>
    <n v="0"/>
    <n v="0"/>
    <n v="63.07"/>
    <n v="70.069999999999993"/>
    <n v="60.926630434782609"/>
    <n v="65.972222222222229"/>
    <n v="53.977272727272727"/>
    <n v="56.547619047619051"/>
    <n v="59.375"/>
    <m/>
    <m/>
    <m/>
    <m/>
    <m/>
    <n v="0"/>
    <n v="0"/>
    <n v="0"/>
    <n v="0"/>
    <n v="0"/>
    <n v="452.38095238095241"/>
    <n v="0"/>
    <n v="0"/>
    <n v="0"/>
    <n v="0"/>
    <n v="0"/>
    <n v="0"/>
  </r>
  <r>
    <x v="9"/>
    <s v="NO FACT."/>
    <x v="8"/>
    <x v="10"/>
    <s v="No facturable"/>
    <n v="26.5"/>
    <n v="16"/>
    <n v="39.5"/>
    <n v="67"/>
    <n v="72"/>
    <n v="0"/>
    <n v="20"/>
    <n v="0"/>
    <n v="0"/>
    <n v="0"/>
    <n v="0"/>
    <n v="0"/>
    <n v="63.07"/>
    <n v="70.069999999999993"/>
    <n v="60.926630434782609"/>
    <n v="65.972222222222229"/>
    <n v="53.977272727272727"/>
    <n v="56.547619047619051"/>
    <n v="59.375"/>
    <m/>
    <m/>
    <m/>
    <m/>
    <m/>
    <n v="1671.355"/>
    <n v="1121.1199999999999"/>
    <n v="2406.601902173913"/>
    <n v="4420.1388888888896"/>
    <n v="3886.3636363636365"/>
    <n v="0"/>
    <n v="1187.5"/>
    <n v="0"/>
    <n v="0"/>
    <n v="0"/>
    <n v="0"/>
    <n v="0"/>
  </r>
  <r>
    <x v="9"/>
    <s v="PROPUESTA"/>
    <x v="6"/>
    <x v="8"/>
    <s v="Propuesta"/>
    <n v="26.5"/>
    <n v="16"/>
    <n v="0"/>
    <n v="0"/>
    <n v="64"/>
    <n v="97"/>
    <n v="0"/>
    <n v="0"/>
    <n v="0"/>
    <n v="0"/>
    <n v="0"/>
    <n v="0"/>
    <n v="63.07"/>
    <n v="70.069999999999993"/>
    <n v="60.926630434782609"/>
    <n v="65.972222222222229"/>
    <n v="53.977272727272727"/>
    <n v="56.547619047619051"/>
    <n v="59.375"/>
    <m/>
    <m/>
    <m/>
    <m/>
    <m/>
    <n v="1671.355"/>
    <n v="1121.1199999999999"/>
    <n v="0"/>
    <n v="0"/>
    <n v="3454.5454545454545"/>
    <n v="5485.1190476190477"/>
    <n v="0"/>
    <n v="0"/>
    <n v="0"/>
    <n v="0"/>
    <n v="0"/>
    <n v="0"/>
  </r>
  <r>
    <x v="10"/>
    <s v="MP004"/>
    <x v="9"/>
    <x v="12"/>
    <s v="Software Factory"/>
    <n v="176"/>
    <n v="112"/>
    <n v="184"/>
    <n v="144"/>
    <n v="0"/>
    <n v="0"/>
    <n v="0"/>
    <n v="0"/>
    <n v="0"/>
    <n v="0"/>
    <n v="0"/>
    <n v="0"/>
    <n v="44.32"/>
    <n v="48.75"/>
    <n v="42.391304347826086"/>
    <n v="54.166666666666664"/>
    <n v="0"/>
    <n v="0"/>
    <n v="0"/>
    <m/>
    <m/>
    <m/>
    <m/>
    <m/>
    <n v="7800.32"/>
    <n v="5460"/>
    <n v="7800"/>
    <n v="7800"/>
    <n v="0"/>
    <n v="0"/>
    <n v="0"/>
    <n v="0"/>
    <n v="0"/>
    <n v="0"/>
    <n v="0"/>
    <n v="0"/>
  </r>
  <r>
    <x v="10"/>
    <s v="VACACIONES"/>
    <x v="10"/>
    <x v="13"/>
    <s v="Vacaciones"/>
    <n v="0"/>
    <n v="48"/>
    <n v="0"/>
    <n v="0"/>
    <n v="0"/>
    <n v="0"/>
    <n v="0"/>
    <n v="0"/>
    <n v="0"/>
    <n v="0"/>
    <n v="0"/>
    <n v="0"/>
    <n v="44.32"/>
    <n v="48.75"/>
    <n v="42.391304347826086"/>
    <n v="54.166666666666664"/>
    <n v="0"/>
    <n v="0"/>
    <n v="0"/>
    <m/>
    <m/>
    <m/>
    <m/>
    <m/>
    <n v="0"/>
    <n v="2340"/>
    <n v="0"/>
    <n v="0"/>
    <n v="0"/>
    <n v="0"/>
    <n v="0"/>
    <n v="0"/>
    <n v="0"/>
    <n v="0"/>
    <n v="0"/>
    <n v="0"/>
  </r>
  <r>
    <x v="11"/>
    <s v="P0010"/>
    <x v="17"/>
    <x v="20"/>
    <s v="Soporte de Analista de Calidad"/>
    <n v="176"/>
    <n v="160"/>
    <n v="24"/>
    <n v="144"/>
    <n v="160"/>
    <n v="24"/>
    <n v="0"/>
    <n v="0"/>
    <n v="0"/>
    <n v="0"/>
    <n v="0"/>
    <n v="0"/>
    <n v="16.989999999999998"/>
    <n v="18.690000000000001"/>
    <n v="16.25"/>
    <n v="20.763888888888889"/>
    <n v="16.988636363636363"/>
    <n v="18.988095238095237"/>
    <n v="0"/>
    <m/>
    <m/>
    <m/>
    <m/>
    <m/>
    <n v="2990.24"/>
    <n v="2990.4"/>
    <n v="390"/>
    <n v="2990"/>
    <n v="2718.181818181818"/>
    <n v="455.71428571428567"/>
    <n v="0"/>
    <n v="0"/>
    <n v="0"/>
    <n v="0"/>
    <n v="0"/>
    <n v="0"/>
  </r>
  <r>
    <x v="11"/>
    <s v="INASISTENCIAS"/>
    <x v="7"/>
    <x v="9"/>
    <s v="Inasistencias"/>
    <n v="0"/>
    <n v="0"/>
    <n v="0"/>
    <n v="0"/>
    <n v="16"/>
    <n v="0"/>
    <n v="0"/>
    <n v="0"/>
    <n v="0"/>
    <n v="0"/>
    <n v="0"/>
    <n v="0"/>
    <n v="16.989999999999998"/>
    <n v="18.690000000000001"/>
    <n v="16.25"/>
    <n v="20.763888888888889"/>
    <n v="16.988636363636363"/>
    <n v="18.988095238095237"/>
    <n v="0"/>
    <m/>
    <m/>
    <m/>
    <m/>
    <m/>
    <n v="0"/>
    <n v="0"/>
    <n v="0"/>
    <n v="0"/>
    <n v="271.81818181818181"/>
    <n v="0"/>
    <n v="0"/>
    <n v="0"/>
    <n v="0"/>
    <n v="0"/>
    <n v="0"/>
    <n v="0"/>
  </r>
  <r>
    <x v="11"/>
    <s v="NO FACT."/>
    <x v="8"/>
    <x v="10"/>
    <s v="No facturable"/>
    <n v="0"/>
    <n v="0"/>
    <n v="160"/>
    <n v="0"/>
    <n v="0"/>
    <n v="104"/>
    <n v="0"/>
    <n v="0"/>
    <n v="0"/>
    <n v="0"/>
    <n v="0"/>
    <n v="0"/>
    <n v="16.989999999999998"/>
    <n v="18.690000000000001"/>
    <n v="16.25"/>
    <n v="20.763888888888889"/>
    <n v="16.988636363636363"/>
    <n v="18.988095238095237"/>
    <n v="0"/>
    <m/>
    <m/>
    <m/>
    <m/>
    <m/>
    <n v="0"/>
    <n v="0"/>
    <n v="2600"/>
    <n v="0"/>
    <n v="0"/>
    <n v="1974.7619047619046"/>
    <n v="0"/>
    <n v="0"/>
    <n v="0"/>
    <n v="0"/>
    <n v="0"/>
    <n v="0"/>
  </r>
  <r>
    <x v="12"/>
    <s v="MP004"/>
    <x v="9"/>
    <x v="12"/>
    <s v="Software Factory"/>
    <n v="0"/>
    <n v="80"/>
    <n v="184"/>
    <n v="16"/>
    <n v="0"/>
    <n v="0"/>
    <n v="0"/>
    <n v="0"/>
    <n v="0"/>
    <n v="0"/>
    <n v="0"/>
    <n v="0"/>
    <n v="22.16"/>
    <n v="24.38"/>
    <n v="21.195652173913043"/>
    <n v="27.083333333333332"/>
    <n v="0"/>
    <n v="0"/>
    <n v="0"/>
    <m/>
    <m/>
    <m/>
    <m/>
    <m/>
    <n v="0"/>
    <n v="1950.3999999999999"/>
    <n v="3900"/>
    <n v="433.33333333333331"/>
    <n v="0"/>
    <n v="0"/>
    <n v="0"/>
    <n v="0"/>
    <n v="0"/>
    <n v="0"/>
    <n v="0"/>
    <n v="0"/>
  </r>
  <r>
    <x v="12"/>
    <s v="P0008"/>
    <x v="1"/>
    <x v="1"/>
    <s v="Aplicativo para la consulta de expedientes de SAREFIS y SADERECHOS con DNI electrónico"/>
    <n v="0"/>
    <n v="80"/>
    <n v="0"/>
    <n v="0"/>
    <n v="0"/>
    <n v="0"/>
    <n v="0"/>
    <n v="0"/>
    <n v="0"/>
    <n v="0"/>
    <n v="0"/>
    <n v="0"/>
    <n v="22.16"/>
    <n v="24.38"/>
    <n v="21.195652173913043"/>
    <n v="27.083333333333332"/>
    <n v="0"/>
    <n v="0"/>
    <n v="0"/>
    <m/>
    <m/>
    <m/>
    <m/>
    <m/>
    <n v="0"/>
    <n v="1950.3999999999999"/>
    <n v="0"/>
    <n v="0"/>
    <n v="0"/>
    <n v="0"/>
    <n v="0"/>
    <n v="0"/>
    <n v="0"/>
    <n v="0"/>
    <n v="0"/>
    <n v="0"/>
  </r>
  <r>
    <x v="12"/>
    <s v="P0006"/>
    <x v="2"/>
    <x v="2"/>
    <s v="Implementación y despliegue de Pagos Masivos para Caja Arequipa"/>
    <n v="88"/>
    <n v="0"/>
    <n v="0"/>
    <n v="0"/>
    <n v="0"/>
    <n v="0"/>
    <n v="0"/>
    <n v="0"/>
    <n v="0"/>
    <n v="0"/>
    <n v="0"/>
    <n v="0"/>
    <n v="22.16"/>
    <n v="24.38"/>
    <n v="21.195652173913043"/>
    <n v="27.083333333333332"/>
    <n v="0"/>
    <n v="0"/>
    <n v="0"/>
    <m/>
    <m/>
    <m/>
    <m/>
    <m/>
    <n v="1950.08"/>
    <n v="0"/>
    <n v="0"/>
    <n v="0"/>
    <n v="0"/>
    <n v="0"/>
    <n v="0"/>
    <n v="0"/>
    <n v="0"/>
    <n v="0"/>
    <n v="0"/>
    <n v="0"/>
  </r>
  <r>
    <x v="12"/>
    <s v="P0007"/>
    <x v="0"/>
    <x v="0"/>
    <s v="Up Grade Web de Licitaciones Calidda"/>
    <n v="88"/>
    <n v="0"/>
    <n v="0"/>
    <n v="0"/>
    <n v="0"/>
    <n v="0"/>
    <n v="0"/>
    <n v="0"/>
    <n v="0"/>
    <n v="0"/>
    <n v="0"/>
    <n v="0"/>
    <n v="22.16"/>
    <n v="24.38"/>
    <n v="21.195652173913043"/>
    <n v="27.083333333333332"/>
    <n v="0"/>
    <n v="0"/>
    <n v="0"/>
    <m/>
    <m/>
    <m/>
    <m/>
    <m/>
    <n v="1950.08"/>
    <n v="0"/>
    <n v="0"/>
    <n v="0"/>
    <n v="0"/>
    <n v="0"/>
    <n v="0"/>
    <n v="0"/>
    <n v="0"/>
    <n v="0"/>
    <n v="0"/>
    <n v="0"/>
  </r>
  <r>
    <x v="13"/>
    <s v="P0031"/>
    <x v="4"/>
    <x v="11"/>
    <s v="Servicios de Analisis y Desarrollo"/>
    <n v="0"/>
    <n v="0"/>
    <n v="0"/>
    <n v="0"/>
    <n v="96"/>
    <n v="168"/>
    <n v="160"/>
    <n v="32"/>
    <n v="0"/>
    <n v="0"/>
    <n v="0"/>
    <n v="0"/>
    <n v="0"/>
    <n v="0"/>
    <n v="0"/>
    <n v="0"/>
    <n v="34.090909090909093"/>
    <n v="35.714285714285715"/>
    <n v="37.5"/>
    <m/>
    <m/>
    <m/>
    <m/>
    <m/>
    <n v="0"/>
    <n v="0"/>
    <n v="0"/>
    <n v="0"/>
    <n v="3272.727272727273"/>
    <n v="6000"/>
    <n v="6000"/>
    <n v="0"/>
    <n v="0"/>
    <n v="0"/>
    <n v="0"/>
    <n v="0"/>
  </r>
  <r>
    <x v="14"/>
    <s v="MP004"/>
    <x v="9"/>
    <x v="12"/>
    <s v="Software Factory"/>
    <n v="0"/>
    <n v="0"/>
    <n v="0"/>
    <n v="0"/>
    <n v="0"/>
    <n v="0"/>
    <n v="160"/>
    <n v="32"/>
    <n v="0"/>
    <n v="0"/>
    <n v="0"/>
    <n v="0"/>
    <n v="0"/>
    <n v="0"/>
    <n v="0"/>
    <n v="0"/>
    <n v="0"/>
    <n v="0"/>
    <n v="5.9375"/>
    <m/>
    <m/>
    <m/>
    <m/>
    <m/>
    <n v="0"/>
    <n v="0"/>
    <n v="0"/>
    <n v="0"/>
    <n v="0"/>
    <n v="0"/>
    <n v="950"/>
    <n v="0"/>
    <n v="0"/>
    <n v="0"/>
    <n v="0"/>
    <n v="0"/>
  </r>
  <r>
    <x v="15"/>
    <s v="P0018"/>
    <x v="18"/>
    <x v="21"/>
    <s v="Palabritas"/>
    <n v="0"/>
    <n v="0"/>
    <n v="0"/>
    <n v="0"/>
    <n v="0"/>
    <n v="0"/>
    <n v="16"/>
    <n v="0"/>
    <n v="0"/>
    <n v="0"/>
    <n v="0"/>
    <n v="0"/>
    <n v="0"/>
    <n v="0"/>
    <n v="0"/>
    <n v="31.597222222222221"/>
    <n v="25.852272727272727"/>
    <n v="27.741071428571427"/>
    <n v="29.128125000000001"/>
    <m/>
    <m/>
    <m/>
    <m/>
    <m/>
    <n v="0"/>
    <n v="0"/>
    <n v="0"/>
    <n v="0"/>
    <n v="0"/>
    <n v="0"/>
    <n v="466.05"/>
    <n v="0"/>
    <n v="0"/>
    <n v="0"/>
    <n v="0"/>
    <n v="0"/>
  </r>
  <r>
    <x v="15"/>
    <s v="P0009"/>
    <x v="1"/>
    <x v="22"/>
    <s v="Aplicativo SUSALUD contigo IOS"/>
    <n v="0"/>
    <n v="0"/>
    <n v="0"/>
    <n v="40"/>
    <n v="176"/>
    <n v="96"/>
    <n v="0"/>
    <n v="0"/>
    <n v="0"/>
    <n v="0"/>
    <n v="0"/>
    <n v="0"/>
    <n v="0"/>
    <n v="0"/>
    <n v="0"/>
    <n v="31.597222222222221"/>
    <n v="25.852272727272727"/>
    <n v="27.741071428571427"/>
    <n v="29.128125000000001"/>
    <m/>
    <m/>
    <m/>
    <m/>
    <m/>
    <n v="0"/>
    <n v="0"/>
    <n v="0"/>
    <n v="1263.8888888888889"/>
    <n v="4550"/>
    <n v="2663.1428571428569"/>
    <n v="0"/>
    <n v="0"/>
    <n v="0"/>
    <n v="0"/>
    <n v="0"/>
    <n v="0"/>
  </r>
  <r>
    <x v="15"/>
    <s v="NO FACT."/>
    <x v="8"/>
    <x v="10"/>
    <s v="No facturable"/>
    <n v="0"/>
    <n v="0"/>
    <n v="0"/>
    <n v="0"/>
    <n v="0"/>
    <n v="0"/>
    <n v="40"/>
    <n v="32"/>
    <n v="0"/>
    <n v="0"/>
    <n v="0"/>
    <n v="0"/>
    <n v="0"/>
    <n v="0"/>
    <n v="0"/>
    <n v="31.597222222222221"/>
    <n v="25.852272727272727"/>
    <n v="27.741071428571427"/>
    <n v="29.128125000000001"/>
    <m/>
    <m/>
    <m/>
    <m/>
    <m/>
    <n v="0"/>
    <n v="0"/>
    <n v="0"/>
    <n v="0"/>
    <n v="0"/>
    <n v="0"/>
    <n v="1165.125"/>
    <n v="0"/>
    <n v="0"/>
    <n v="0"/>
    <n v="0"/>
    <n v="0"/>
  </r>
  <r>
    <x v="15"/>
    <s v="P0023"/>
    <x v="19"/>
    <x v="23"/>
    <s v=" 8 Aplicaciones Móviles Universidades"/>
    <n v="0"/>
    <n v="0"/>
    <n v="0"/>
    <n v="0"/>
    <n v="0"/>
    <n v="56"/>
    <n v="104"/>
    <n v="0"/>
    <n v="0"/>
    <n v="0"/>
    <n v="0"/>
    <n v="0"/>
    <n v="0"/>
    <n v="0"/>
    <n v="0"/>
    <n v="31.597222222222221"/>
    <n v="25.852272727272727"/>
    <n v="27.741071428571427"/>
    <n v="29.128125000000001"/>
    <m/>
    <m/>
    <m/>
    <m/>
    <m/>
    <n v="0"/>
    <n v="0"/>
    <n v="0"/>
    <n v="0"/>
    <n v="0"/>
    <n v="1553.5"/>
    <n v="3029.3250000000003"/>
    <n v="0"/>
    <n v="0"/>
    <n v="0"/>
    <n v="0"/>
    <n v="0"/>
  </r>
  <r>
    <x v="15"/>
    <s v="INASISTENCIAS"/>
    <x v="7"/>
    <x v="9"/>
    <s v="Inasistencias"/>
    <n v="0"/>
    <n v="0"/>
    <n v="0"/>
    <n v="0"/>
    <n v="0"/>
    <n v="16"/>
    <n v="0"/>
    <n v="0"/>
    <n v="0"/>
    <n v="0"/>
    <n v="0"/>
    <n v="0"/>
    <n v="0"/>
    <n v="0"/>
    <n v="0"/>
    <n v="31.597222222222221"/>
    <n v="25.852272727272727"/>
    <n v="27.741071428571427"/>
    <n v="29.128125000000001"/>
    <m/>
    <m/>
    <m/>
    <m/>
    <m/>
    <n v="0"/>
    <n v="0"/>
    <n v="0"/>
    <n v="0"/>
    <n v="0"/>
    <n v="443.85714285714283"/>
    <n v="0"/>
    <n v="0"/>
    <n v="0"/>
    <n v="0"/>
    <n v="0"/>
    <n v="0"/>
  </r>
  <r>
    <x v="16"/>
    <s v="MP004"/>
    <x v="9"/>
    <x v="12"/>
    <s v="Software Factory"/>
    <n v="0"/>
    <n v="0"/>
    <n v="56"/>
    <n v="144"/>
    <n v="176"/>
    <n v="168"/>
    <n v="0"/>
    <n v="0"/>
    <n v="0"/>
    <n v="0"/>
    <n v="0"/>
    <n v="0"/>
    <n v="0"/>
    <n v="0"/>
    <n v="5.1630434782608692"/>
    <n v="6.5972222222222223"/>
    <n v="5.3977272727272725"/>
    <n v="5.6547619047619051"/>
    <n v="0"/>
    <m/>
    <m/>
    <m/>
    <m/>
    <m/>
    <n v="0"/>
    <n v="0"/>
    <n v="289.13043478260869"/>
    <n v="950"/>
    <n v="950"/>
    <n v="950"/>
    <n v="0"/>
    <n v="0"/>
    <n v="0"/>
    <n v="0"/>
    <n v="0"/>
    <n v="0"/>
  </r>
  <r>
    <x v="17"/>
    <s v="MP004"/>
    <x v="9"/>
    <x v="12"/>
    <s v="Software Factory"/>
    <n v="152"/>
    <n v="160"/>
    <n v="184"/>
    <n v="144"/>
    <n v="176"/>
    <n v="168"/>
    <n v="160"/>
    <n v="0"/>
    <n v="0"/>
    <n v="0"/>
    <n v="0"/>
    <n v="0"/>
    <n v="28.81"/>
    <n v="31.69"/>
    <n v="27.554347826086957"/>
    <n v="35.208333333333336"/>
    <n v="28.806818181818183"/>
    <n v="30.178571428571427"/>
    <n v="31.6875"/>
    <m/>
    <m/>
    <m/>
    <m/>
    <m/>
    <n v="4379.12"/>
    <n v="5070.4000000000005"/>
    <n v="5070"/>
    <n v="5070"/>
    <n v="5070"/>
    <n v="5070"/>
    <n v="5070"/>
    <n v="0"/>
    <n v="0"/>
    <n v="0"/>
    <n v="0"/>
    <n v="0"/>
  </r>
  <r>
    <x v="18"/>
    <s v="MP004"/>
    <x v="9"/>
    <x v="12"/>
    <s v="Software Factory"/>
    <n v="176"/>
    <n v="160"/>
    <n v="176"/>
    <n v="144"/>
    <n v="176"/>
    <n v="168"/>
    <n v="160"/>
    <n v="0"/>
    <n v="0"/>
    <n v="0"/>
    <n v="0"/>
    <n v="0"/>
    <n v="35.950000000000003"/>
    <n v="39.549999999999997"/>
    <n v="34.388586956521742"/>
    <n v="43.940972222222221"/>
    <n v="35.951704545454547"/>
    <n v="37.663690476190474"/>
    <n v="39.546875"/>
    <m/>
    <m/>
    <m/>
    <m/>
    <m/>
    <n v="6327.2000000000007"/>
    <n v="6328"/>
    <n v="6052.3913043478269"/>
    <n v="6327.5"/>
    <n v="6327.5"/>
    <n v="6327.5"/>
    <n v="6327.5"/>
    <n v="0"/>
    <n v="0"/>
    <n v="0"/>
    <n v="0"/>
    <n v="0"/>
  </r>
  <r>
    <x v="18"/>
    <s v="INASISTENCIAS"/>
    <x v="7"/>
    <x v="9"/>
    <s v="Inasistencias"/>
    <n v="0"/>
    <n v="0"/>
    <n v="8"/>
    <n v="0"/>
    <n v="0"/>
    <n v="0"/>
    <n v="0"/>
    <n v="0"/>
    <n v="0"/>
    <n v="0"/>
    <n v="0"/>
    <n v="0"/>
    <n v="35.950000000000003"/>
    <n v="39.549999999999997"/>
    <n v="34.388586956521742"/>
    <n v="43.940972222222221"/>
    <n v="35.951704545454547"/>
    <n v="37.663690476190474"/>
    <n v="39.546875"/>
    <m/>
    <m/>
    <m/>
    <m/>
    <m/>
    <n v="0"/>
    <n v="0"/>
    <n v="275.10869565217394"/>
    <n v="0"/>
    <n v="0"/>
    <n v="0"/>
    <n v="0"/>
    <n v="0"/>
    <n v="0"/>
    <n v="0"/>
    <n v="0"/>
    <n v="0"/>
  </r>
  <r>
    <x v="19"/>
    <s v="MP004"/>
    <x v="9"/>
    <x v="12"/>
    <s v="Software Factory"/>
    <n v="176"/>
    <n v="160"/>
    <n v="184"/>
    <n v="144"/>
    <n v="176"/>
    <n v="168"/>
    <n v="160"/>
    <n v="0"/>
    <n v="0"/>
    <n v="0"/>
    <n v="0"/>
    <n v="0"/>
    <n v="19.89"/>
    <n v="21.88"/>
    <n v="19.021739130434781"/>
    <n v="24.305555555555557"/>
    <n v="19.886363636363637"/>
    <n v="20.833333333333332"/>
    <n v="21.875"/>
    <m/>
    <m/>
    <m/>
    <m/>
    <m/>
    <n v="3500.6400000000003"/>
    <n v="3500.7999999999997"/>
    <n v="3500"/>
    <n v="3500"/>
    <n v="3500"/>
    <n v="3500"/>
    <n v="3500"/>
    <n v="0"/>
    <n v="0"/>
    <n v="0"/>
    <n v="0"/>
    <n v="0"/>
  </r>
  <r>
    <x v="20"/>
    <s v="NO FACT."/>
    <x v="8"/>
    <x v="10"/>
    <s v="No facturable"/>
    <n v="176"/>
    <n v="160"/>
    <n v="184"/>
    <n v="144"/>
    <n v="0"/>
    <n v="0"/>
    <n v="0"/>
    <n v="0"/>
    <n v="0"/>
    <n v="0"/>
    <n v="0"/>
    <n v="0"/>
    <n v="63.92"/>
    <n v="71.11"/>
    <n v="61.834239130434781"/>
    <n v="79.010416666666671"/>
    <n v="0"/>
    <n v="0"/>
    <n v="0"/>
    <m/>
    <m/>
    <m/>
    <m/>
    <m/>
    <n v="11249.92"/>
    <n v="11377.6"/>
    <n v="11377.5"/>
    <n v="11377.5"/>
    <n v="0"/>
    <n v="0"/>
    <n v="0"/>
    <n v="0"/>
    <n v="0"/>
    <n v="0"/>
    <n v="0"/>
    <n v="0"/>
  </r>
  <r>
    <x v="21"/>
    <s v="NO FACT."/>
    <x v="8"/>
    <x v="10"/>
    <s v="No facturable"/>
    <n v="0"/>
    <n v="0"/>
    <n v="0"/>
    <n v="0"/>
    <n v="0"/>
    <n v="8"/>
    <n v="0"/>
    <n v="3"/>
    <n v="0"/>
    <n v="0"/>
    <n v="0"/>
    <n v="0"/>
    <n v="32.67"/>
    <n v="35.94"/>
    <n v="31.25"/>
    <n v="39.930555555555557"/>
    <n v="32.670454545454547"/>
    <n v="34.226190476190474"/>
    <n v="46.875"/>
    <m/>
    <m/>
    <m/>
    <m/>
    <m/>
    <n v="0"/>
    <n v="0"/>
    <n v="0"/>
    <n v="0"/>
    <n v="0"/>
    <n v="273.8095238095238"/>
    <n v="0"/>
    <n v="0"/>
    <n v="0"/>
    <n v="0"/>
    <n v="0"/>
    <n v="0"/>
  </r>
  <r>
    <x v="21"/>
    <s v="INASISTENCIAS"/>
    <x v="7"/>
    <x v="9"/>
    <s v="Inasistencias"/>
    <n v="0"/>
    <n v="0"/>
    <n v="0"/>
    <n v="0"/>
    <n v="8"/>
    <n v="0"/>
    <n v="0"/>
    <n v="0"/>
    <n v="0"/>
    <n v="0"/>
    <n v="0"/>
    <n v="0"/>
    <n v="32.67"/>
    <n v="35.94"/>
    <n v="31.25"/>
    <n v="39.930555555555557"/>
    <n v="32.670454545454547"/>
    <n v="34.226190476190474"/>
    <n v="46.875"/>
    <m/>
    <m/>
    <m/>
    <m/>
    <m/>
    <n v="0"/>
    <n v="0"/>
    <n v="0"/>
    <n v="0"/>
    <n v="261.36363636363637"/>
    <n v="0"/>
    <n v="0"/>
    <n v="0"/>
    <n v="0"/>
    <n v="0"/>
    <n v="0"/>
    <n v="0"/>
  </r>
  <r>
    <x v="21"/>
    <s v="P0027"/>
    <x v="14"/>
    <x v="24"/>
    <s v="Implementacion del Sistema BackOffice SOAT"/>
    <n v="0"/>
    <n v="0"/>
    <n v="0"/>
    <n v="0"/>
    <n v="0"/>
    <n v="0"/>
    <n v="8"/>
    <n v="29"/>
    <n v="0"/>
    <n v="0"/>
    <n v="0"/>
    <n v="0"/>
    <n v="32.67"/>
    <n v="35.94"/>
    <n v="31.25"/>
    <n v="39.930555555555557"/>
    <n v="32.670454545454547"/>
    <n v="34.226190476190474"/>
    <n v="46.875"/>
    <m/>
    <m/>
    <m/>
    <m/>
    <m/>
    <n v="0"/>
    <n v="0"/>
    <n v="0"/>
    <n v="0"/>
    <n v="0"/>
    <n v="0"/>
    <n v="375"/>
    <n v="0"/>
    <n v="0"/>
    <n v="0"/>
    <n v="0"/>
    <n v="0"/>
  </r>
  <r>
    <x v="21"/>
    <s v="MP004"/>
    <x v="9"/>
    <x v="12"/>
    <s v="Software Factory"/>
    <n v="176"/>
    <n v="160"/>
    <n v="184"/>
    <n v="144"/>
    <n v="168"/>
    <n v="160"/>
    <n v="152"/>
    <n v="0"/>
    <n v="0"/>
    <n v="0"/>
    <n v="0"/>
    <n v="0"/>
    <n v="32.67"/>
    <n v="35.94"/>
    <n v="31.25"/>
    <n v="39.930555555555557"/>
    <n v="32.670454545454547"/>
    <n v="34.226190476190474"/>
    <n v="46.875"/>
    <m/>
    <m/>
    <m/>
    <m/>
    <m/>
    <n v="5749.92"/>
    <n v="5750.4"/>
    <n v="5750"/>
    <n v="5750"/>
    <n v="5488.636363636364"/>
    <n v="5476.1904761904761"/>
    <n v="7125"/>
    <n v="0"/>
    <n v="0"/>
    <n v="0"/>
    <n v="0"/>
    <n v="0"/>
  </r>
  <r>
    <x v="22"/>
    <s v="P0019"/>
    <x v="5"/>
    <x v="7"/>
    <s v="Servicios de soporte de segundo nivel sobre Linux en Cloud Softlayer_x000a_"/>
    <n v="0"/>
    <n v="0"/>
    <n v="0"/>
    <n v="0"/>
    <n v="0"/>
    <n v="152"/>
    <n v="152"/>
    <n v="0"/>
    <n v="0"/>
    <n v="0"/>
    <n v="0"/>
    <n v="0"/>
    <n v="0"/>
    <n v="0"/>
    <n v="0"/>
    <n v="0"/>
    <n v="0"/>
    <n v="0"/>
    <n v="0"/>
    <m/>
    <m/>
    <m/>
    <m/>
    <m/>
    <n v="0"/>
    <n v="0"/>
    <n v="0"/>
    <n v="0"/>
    <n v="0"/>
    <n v="0"/>
    <n v="0"/>
    <n v="0"/>
    <n v="0"/>
    <n v="0"/>
    <n v="0"/>
    <n v="0"/>
  </r>
  <r>
    <x v="23"/>
    <s v="VACACIONES"/>
    <x v="10"/>
    <x v="13"/>
    <s v="Vacaciones"/>
    <n v="0"/>
    <n v="0"/>
    <n v="0"/>
    <n v="16"/>
    <n v="0"/>
    <n v="0"/>
    <n v="0"/>
    <n v="0"/>
    <n v="0"/>
    <n v="0"/>
    <n v="0"/>
    <n v="0"/>
    <n v="40.630000000000003"/>
    <n v="44.69"/>
    <n v="38.858695652173914"/>
    <n v="49.652777777777779"/>
    <n v="40.625"/>
    <n v="42.55952380952381"/>
    <n v="44.671875"/>
    <m/>
    <m/>
    <m/>
    <m/>
    <m/>
    <n v="0"/>
    <n v="0"/>
    <n v="0"/>
    <n v="794.44444444444446"/>
    <n v="0"/>
    <n v="0"/>
    <n v="0"/>
    <n v="0"/>
    <n v="0"/>
    <n v="0"/>
    <n v="0"/>
    <n v="0"/>
  </r>
  <r>
    <x v="23"/>
    <s v="MP004"/>
    <x v="9"/>
    <x v="12"/>
    <s v="Software Factory"/>
    <n v="176"/>
    <n v="160"/>
    <n v="184"/>
    <n v="128"/>
    <n v="176"/>
    <n v="168"/>
    <n v="160"/>
    <n v="0"/>
    <n v="0"/>
    <n v="0"/>
    <n v="0"/>
    <n v="0"/>
    <n v="40.630000000000003"/>
    <n v="44.69"/>
    <n v="38.858695652173914"/>
    <n v="49.652777777777779"/>
    <n v="40.625"/>
    <n v="42.55952380952381"/>
    <n v="44.671875"/>
    <m/>
    <m/>
    <m/>
    <m/>
    <m/>
    <n v="7150.88"/>
    <n v="7150.4"/>
    <n v="7150"/>
    <n v="6355.5555555555557"/>
    <n v="7150"/>
    <n v="7150"/>
    <n v="7147.5"/>
    <n v="0"/>
    <n v="0"/>
    <n v="0"/>
    <n v="0"/>
    <n v="0"/>
  </r>
  <r>
    <x v="24"/>
    <s v="MP004"/>
    <x v="9"/>
    <x v="12"/>
    <s v="Software Factory"/>
    <n v="176"/>
    <n v="160"/>
    <n v="184"/>
    <n v="144"/>
    <n v="176"/>
    <n v="168"/>
    <n v="152"/>
    <n v="0"/>
    <n v="0"/>
    <n v="0"/>
    <n v="0"/>
    <n v="0"/>
    <n v="39.08"/>
    <n v="42.98"/>
    <n v="37.377717391304351"/>
    <n v="47.760416666666664"/>
    <n v="39.076704545454547"/>
    <n v="40.9375"/>
    <n v="42.984375"/>
    <m/>
    <m/>
    <m/>
    <m/>
    <m/>
    <n v="6878.08"/>
    <n v="6876.7999999999993"/>
    <n v="6877.5000000000009"/>
    <n v="6877.5"/>
    <n v="6877.5"/>
    <n v="6877.5"/>
    <n v="6533.625"/>
    <n v="0"/>
    <n v="0"/>
    <n v="0"/>
    <n v="0"/>
    <n v="0"/>
  </r>
  <r>
    <x v="24"/>
    <s v="P0027"/>
    <x v="14"/>
    <x v="24"/>
    <s v="Implementacion del Sistema BackOffice SOAT"/>
    <n v="0"/>
    <n v="0"/>
    <n v="0"/>
    <n v="0"/>
    <n v="0"/>
    <n v="0"/>
    <n v="8"/>
    <n v="0"/>
    <n v="0"/>
    <n v="0"/>
    <n v="0"/>
    <n v="0"/>
    <n v="39.08"/>
    <n v="42.98"/>
    <n v="37.377717391304351"/>
    <n v="47.760416666666664"/>
    <n v="39.076704545454547"/>
    <n v="40.9375"/>
    <n v="42.984375"/>
    <m/>
    <m/>
    <m/>
    <m/>
    <m/>
    <n v="0"/>
    <n v="0"/>
    <n v="0"/>
    <n v="0"/>
    <n v="0"/>
    <n v="0"/>
    <n v="343.875"/>
    <n v="0"/>
    <n v="0"/>
    <n v="0"/>
    <n v="0"/>
    <n v="0"/>
  </r>
  <r>
    <x v="25"/>
    <s v="MP001"/>
    <x v="12"/>
    <x v="15"/>
    <s v="Analista Programador Java Python"/>
    <n v="176"/>
    <n v="160"/>
    <n v="184"/>
    <n v="144"/>
    <n v="32"/>
    <n v="0"/>
    <n v="0"/>
    <n v="0"/>
    <n v="0"/>
    <n v="0"/>
    <n v="0"/>
    <n v="0"/>
    <n v="28.13"/>
    <n v="30.94"/>
    <n v="26.902173913043477"/>
    <n v="34.375"/>
    <n v="28.125"/>
    <n v="0"/>
    <n v="0"/>
    <m/>
    <m/>
    <m/>
    <m/>
    <m/>
    <n v="4950.88"/>
    <n v="4950.4000000000005"/>
    <n v="4950"/>
    <n v="4950"/>
    <n v="900"/>
    <n v="0"/>
    <n v="0"/>
    <n v="0"/>
    <n v="0"/>
    <n v="0"/>
    <n v="0"/>
    <n v="0"/>
  </r>
  <r>
    <x v="26"/>
    <s v="MP004"/>
    <x v="9"/>
    <x v="12"/>
    <s v="Software Factory"/>
    <n v="176"/>
    <n v="160"/>
    <n v="184"/>
    <n v="144"/>
    <n v="176"/>
    <n v="168"/>
    <n v="160"/>
    <n v="0"/>
    <n v="0"/>
    <n v="0"/>
    <n v="0"/>
    <n v="0"/>
    <n v="22.16"/>
    <n v="24.38"/>
    <n v="21.195652173913043"/>
    <n v="27.083333333333332"/>
    <n v="22.15909090909091"/>
    <n v="23.214285714285715"/>
    <n v="24.375"/>
    <m/>
    <m/>
    <m/>
    <m/>
    <m/>
    <n v="3900.16"/>
    <n v="3900.7999999999997"/>
    <n v="3900"/>
    <n v="3900"/>
    <n v="3900"/>
    <n v="3900"/>
    <n v="3900"/>
    <n v="0"/>
    <n v="0"/>
    <n v="0"/>
    <n v="0"/>
    <n v="0"/>
  </r>
  <r>
    <x v="27"/>
    <s v="INASISTENCIAS"/>
    <x v="7"/>
    <x v="9"/>
    <s v="Inasistencias"/>
    <n v="0"/>
    <n v="0"/>
    <n v="0"/>
    <n v="0"/>
    <n v="0"/>
    <n v="0"/>
    <n v="8"/>
    <n v="0"/>
    <n v="0"/>
    <n v="0"/>
    <n v="0"/>
    <n v="0"/>
    <n v="0"/>
    <n v="0"/>
    <n v="0"/>
    <n v="0"/>
    <n v="38.409090909090907"/>
    <n v="40.238095238095241"/>
    <n v="42.25"/>
    <m/>
    <m/>
    <m/>
    <m/>
    <m/>
    <n v="0"/>
    <n v="0"/>
    <n v="0"/>
    <n v="0"/>
    <n v="0"/>
    <n v="0"/>
    <n v="338"/>
    <n v="0"/>
    <n v="0"/>
    <n v="0"/>
    <n v="0"/>
    <n v="0"/>
  </r>
  <r>
    <x v="27"/>
    <s v="NO FACT."/>
    <x v="8"/>
    <x v="10"/>
    <s v="No facturable"/>
    <n v="0"/>
    <n v="0"/>
    <n v="0"/>
    <n v="0"/>
    <n v="0"/>
    <n v="0"/>
    <n v="32"/>
    <n v="16"/>
    <n v="0"/>
    <n v="0"/>
    <n v="0"/>
    <n v="0"/>
    <n v="0"/>
    <n v="0"/>
    <n v="0"/>
    <n v="0"/>
    <n v="38.409090909090907"/>
    <n v="40.238095238095241"/>
    <n v="42.25"/>
    <m/>
    <m/>
    <m/>
    <m/>
    <m/>
    <n v="0"/>
    <n v="0"/>
    <n v="0"/>
    <n v="0"/>
    <n v="0"/>
    <n v="0"/>
    <n v="1352"/>
    <n v="0"/>
    <n v="0"/>
    <n v="0"/>
    <n v="0"/>
    <n v="0"/>
  </r>
  <r>
    <x v="27"/>
    <s v="MP001"/>
    <x v="12"/>
    <x v="15"/>
    <s v="Analista Programador Java Python"/>
    <n v="0"/>
    <n v="0"/>
    <n v="0"/>
    <n v="0"/>
    <n v="168"/>
    <n v="152"/>
    <n v="120"/>
    <n v="0"/>
    <n v="0"/>
    <n v="0"/>
    <n v="0"/>
    <n v="0"/>
    <n v="0"/>
    <n v="0"/>
    <n v="0"/>
    <n v="0"/>
    <n v="38.409090909090907"/>
    <n v="40.238095238095241"/>
    <n v="42.25"/>
    <m/>
    <m/>
    <m/>
    <m/>
    <m/>
    <n v="0"/>
    <n v="0"/>
    <n v="0"/>
    <n v="0"/>
    <n v="6452.7272727272721"/>
    <n v="6116.1904761904771"/>
    <n v="5070"/>
    <n v="0"/>
    <n v="0"/>
    <n v="0"/>
    <n v="0"/>
    <n v="0"/>
  </r>
  <r>
    <x v="27"/>
    <s v="P0013"/>
    <x v="11"/>
    <x v="14"/>
    <s v="Reportes SBS"/>
    <n v="0"/>
    <n v="0"/>
    <n v="0"/>
    <n v="0"/>
    <n v="0"/>
    <n v="16"/>
    <n v="0"/>
    <n v="0"/>
    <n v="0"/>
    <n v="0"/>
    <n v="0"/>
    <n v="0"/>
    <n v="0"/>
    <n v="0"/>
    <n v="0"/>
    <n v="0"/>
    <n v="38.409090909090907"/>
    <n v="40.238095238095241"/>
    <n v="42.25"/>
    <m/>
    <m/>
    <m/>
    <m/>
    <m/>
    <n v="0"/>
    <n v="0"/>
    <n v="0"/>
    <n v="0"/>
    <n v="0"/>
    <n v="643.80952380952385"/>
    <n v="0"/>
    <n v="0"/>
    <n v="0"/>
    <n v="0"/>
    <n v="0"/>
    <n v="0"/>
  </r>
  <r>
    <x v="28"/>
    <s v="MP004"/>
    <x v="9"/>
    <x v="12"/>
    <s v="Software Factory"/>
    <n v="176"/>
    <n v="160"/>
    <n v="184"/>
    <n v="144"/>
    <n v="176"/>
    <n v="168"/>
    <n v="160"/>
    <n v="0"/>
    <n v="0"/>
    <n v="0"/>
    <n v="0"/>
    <n v="0"/>
    <n v="31.25"/>
    <n v="34.380000000000003"/>
    <n v="29.891304347826086"/>
    <n v="38.194444444444443"/>
    <n v="31.25"/>
    <n v="32.738095238095241"/>
    <n v="34.375"/>
    <m/>
    <m/>
    <m/>
    <m/>
    <m/>
    <n v="5500"/>
    <n v="5500.8"/>
    <n v="5500"/>
    <n v="5500"/>
    <n v="5500"/>
    <n v="5500"/>
    <n v="5500"/>
    <n v="0"/>
    <n v="0"/>
    <n v="0"/>
    <n v="0"/>
    <n v="0"/>
  </r>
  <r>
    <x v="29"/>
    <s v="MP003"/>
    <x v="16"/>
    <x v="19"/>
    <s v="Soporte Tecnico"/>
    <n v="176"/>
    <n v="160"/>
    <n v="184"/>
    <n v="144"/>
    <n v="176"/>
    <n v="168"/>
    <n v="160"/>
    <n v="32"/>
    <n v="0"/>
    <n v="0"/>
    <n v="0"/>
    <n v="0"/>
    <n v="14.06"/>
    <n v="15.47"/>
    <n v="16.168478260869566"/>
    <n v="20.659722222222221"/>
    <n v="16.90340909090909"/>
    <n v="17.708333333333332"/>
    <n v="18.59375"/>
    <m/>
    <m/>
    <m/>
    <m/>
    <m/>
    <n v="2474.56"/>
    <n v="2475.2000000000003"/>
    <n v="2975"/>
    <n v="2975"/>
    <n v="2975"/>
    <n v="2975"/>
    <n v="2975"/>
    <n v="0"/>
    <n v="0"/>
    <n v="0"/>
    <n v="0"/>
    <n v="0"/>
  </r>
  <r>
    <x v="30"/>
    <s v="MP004"/>
    <x v="9"/>
    <x v="12"/>
    <s v="Software Factory"/>
    <n v="0"/>
    <n v="0"/>
    <n v="56"/>
    <n v="144"/>
    <n v="176"/>
    <n v="32"/>
    <n v="0"/>
    <n v="0"/>
    <n v="0"/>
    <n v="0"/>
    <n v="0"/>
    <n v="0"/>
    <n v="0"/>
    <n v="0"/>
    <n v="17.663043478260871"/>
    <n v="22.569444444444443"/>
    <n v="18.46590909090909"/>
    <n v="19.345238095238095"/>
    <n v="0"/>
    <m/>
    <m/>
    <m/>
    <m/>
    <m/>
    <n v="0"/>
    <n v="0"/>
    <n v="989.13043478260875"/>
    <n v="3250"/>
    <n v="3250"/>
    <n v="619.04761904761904"/>
    <n v="0"/>
    <n v="0"/>
    <n v="0"/>
    <n v="0"/>
    <n v="0"/>
    <n v="0"/>
  </r>
  <r>
    <x v="31"/>
    <s v="P0015"/>
    <x v="14"/>
    <x v="25"/>
    <s v="Mejoras funcionales SOAT Operaciones y RQ de automatización cierre contable"/>
    <n v="0"/>
    <n v="0"/>
    <n v="0"/>
    <n v="0"/>
    <n v="144"/>
    <n v="72"/>
    <n v="0"/>
    <n v="0"/>
    <n v="0"/>
    <n v="0"/>
    <n v="0"/>
    <n v="0"/>
    <n v="42.61"/>
    <n v="46.88"/>
    <n v="0"/>
    <n v="0"/>
    <n v="0"/>
    <n v="38.69047619047619"/>
    <n v="0"/>
    <m/>
    <m/>
    <m/>
    <m/>
    <m/>
    <n v="0"/>
    <n v="0"/>
    <n v="0"/>
    <n v="0"/>
    <n v="0"/>
    <n v="2785.7142857142858"/>
    <n v="0"/>
    <n v="0"/>
    <n v="0"/>
    <n v="0"/>
    <n v="0"/>
    <n v="0"/>
  </r>
  <r>
    <x v="31"/>
    <s v="MP004"/>
    <x v="9"/>
    <x v="12"/>
    <s v="Software Factory"/>
    <n v="176"/>
    <n v="88"/>
    <n v="0"/>
    <n v="0"/>
    <n v="0"/>
    <n v="0"/>
    <n v="0"/>
    <n v="0"/>
    <n v="0"/>
    <n v="0"/>
    <n v="0"/>
    <n v="0"/>
    <n v="42.61"/>
    <n v="46.88"/>
    <n v="0"/>
    <n v="0"/>
    <n v="0"/>
    <n v="38.69047619047619"/>
    <n v="0"/>
    <m/>
    <m/>
    <m/>
    <m/>
    <m/>
    <n v="7499.36"/>
    <n v="4125.4400000000005"/>
    <n v="0"/>
    <n v="0"/>
    <n v="0"/>
    <n v="0"/>
    <n v="0"/>
    <n v="0"/>
    <n v="0"/>
    <n v="0"/>
    <n v="0"/>
    <n v="0"/>
  </r>
  <r>
    <x v="31"/>
    <s v="P0013"/>
    <x v="11"/>
    <x v="14"/>
    <s v="Reportes SBS"/>
    <n v="0"/>
    <n v="0"/>
    <n v="0"/>
    <n v="0"/>
    <n v="0"/>
    <n v="24"/>
    <n v="0"/>
    <n v="0"/>
    <n v="0"/>
    <n v="0"/>
    <n v="0"/>
    <n v="0"/>
    <n v="42.61"/>
    <n v="46.88"/>
    <n v="0"/>
    <n v="0"/>
    <n v="0"/>
    <n v="38.69047619047619"/>
    <n v="0"/>
    <m/>
    <m/>
    <m/>
    <m/>
    <m/>
    <n v="0"/>
    <n v="0"/>
    <n v="0"/>
    <n v="0"/>
    <n v="0"/>
    <n v="928.57142857142856"/>
    <n v="0"/>
    <n v="0"/>
    <n v="0"/>
    <n v="0"/>
    <n v="0"/>
    <n v="0"/>
  </r>
  <r>
    <x v="32"/>
    <s v="NO FACT."/>
    <x v="8"/>
    <x v="10"/>
    <s v="No facturable"/>
    <n v="0"/>
    <n v="0"/>
    <n v="0"/>
    <n v="0"/>
    <n v="0"/>
    <n v="0"/>
    <n v="0"/>
    <n v="0"/>
    <n v="0"/>
    <n v="0"/>
    <n v="0"/>
    <n v="0"/>
    <n v="34.090000000000003"/>
    <n v="37.5"/>
    <n v="32.608695652173914"/>
    <n v="41.666666666666664"/>
    <n v="34.090909090909093"/>
    <n v="35.714285714285715"/>
    <n v="37.5"/>
    <m/>
    <m/>
    <m/>
    <m/>
    <m/>
    <n v="0"/>
    <n v="0"/>
    <n v="0"/>
    <n v="0"/>
    <n v="0"/>
    <n v="0"/>
    <n v="0"/>
    <n v="0"/>
    <n v="0"/>
    <n v="0"/>
    <n v="0"/>
    <n v="0"/>
  </r>
  <r>
    <x v="32"/>
    <s v="INASISTENCIAS"/>
    <x v="7"/>
    <x v="9"/>
    <s v="Inasistencias"/>
    <n v="7"/>
    <n v="0"/>
    <n v="16"/>
    <n v="0"/>
    <n v="8"/>
    <n v="8"/>
    <n v="8"/>
    <n v="0"/>
    <n v="0"/>
    <n v="0"/>
    <n v="0"/>
    <n v="0"/>
    <n v="34.090000000000003"/>
    <n v="37.5"/>
    <n v="32.608695652173914"/>
    <n v="41.666666666666664"/>
    <n v="34.090909090909093"/>
    <n v="35.714285714285715"/>
    <n v="37.5"/>
    <m/>
    <m/>
    <m/>
    <m/>
    <m/>
    <n v="238.63000000000002"/>
    <n v="0"/>
    <n v="521.73913043478262"/>
    <n v="0"/>
    <n v="272.72727272727275"/>
    <n v="285.71428571428572"/>
    <n v="300"/>
    <n v="0"/>
    <n v="0"/>
    <n v="0"/>
    <n v="0"/>
    <n v="0"/>
  </r>
  <r>
    <x v="32"/>
    <s v="VACACIONES"/>
    <x v="10"/>
    <x v="13"/>
    <s v="Vacaciones"/>
    <n v="80"/>
    <n v="24"/>
    <n v="0"/>
    <n v="0"/>
    <n v="0"/>
    <n v="0"/>
    <n v="0"/>
    <n v="0"/>
    <n v="0"/>
    <n v="0"/>
    <n v="0"/>
    <n v="0"/>
    <n v="34.090000000000003"/>
    <n v="37.5"/>
    <n v="32.608695652173914"/>
    <n v="41.666666666666664"/>
    <n v="34.090909090909093"/>
    <n v="35.714285714285715"/>
    <n v="37.5"/>
    <m/>
    <m/>
    <m/>
    <m/>
    <m/>
    <n v="2727.2000000000003"/>
    <n v="900"/>
    <n v="0"/>
    <n v="0"/>
    <n v="0"/>
    <n v="0"/>
    <n v="0"/>
    <n v="0"/>
    <n v="0"/>
    <n v="0"/>
    <n v="0"/>
    <n v="0"/>
  </r>
  <r>
    <x v="32"/>
    <s v="MP004"/>
    <x v="9"/>
    <x v="12"/>
    <s v="Software Factory"/>
    <n v="89"/>
    <n v="136"/>
    <n v="168"/>
    <n v="144"/>
    <n v="168"/>
    <n v="160"/>
    <n v="152"/>
    <n v="0"/>
    <n v="0"/>
    <n v="0"/>
    <n v="0"/>
    <n v="0"/>
    <n v="34.090000000000003"/>
    <n v="37.5"/>
    <n v="32.608695652173914"/>
    <n v="41.666666666666664"/>
    <n v="34.090909090909093"/>
    <n v="35.714285714285715"/>
    <n v="37.5"/>
    <m/>
    <m/>
    <m/>
    <m/>
    <m/>
    <n v="3034.01"/>
    <n v="5100"/>
    <n v="5478.2608695652179"/>
    <n v="6000"/>
    <n v="5727.2727272727279"/>
    <n v="5714.2857142857147"/>
    <n v="5700"/>
    <n v="0"/>
    <n v="0"/>
    <n v="0"/>
    <n v="0"/>
    <n v="0"/>
  </r>
  <r>
    <x v="33"/>
    <s v="P0001"/>
    <x v="20"/>
    <x v="26"/>
    <s v="Evaluacion Sistema Integrado de Polizas - SDP"/>
    <n v="98"/>
    <n v="148"/>
    <n v="0"/>
    <n v="0"/>
    <n v="0"/>
    <n v="0"/>
    <n v="0"/>
    <n v="0"/>
    <n v="0"/>
    <n v="0"/>
    <n v="0"/>
    <n v="0"/>
    <n v="53.98"/>
    <n v="59.38"/>
    <n v="51.630434782608695"/>
    <n v="65.972222222222229"/>
    <n v="53.977272727272727"/>
    <n v="56.547619047619051"/>
    <n v="59.375"/>
    <m/>
    <m/>
    <m/>
    <m/>
    <m/>
    <n v="5290.04"/>
    <n v="8788.24"/>
    <n v="0"/>
    <n v="0"/>
    <n v="0"/>
    <n v="0"/>
    <n v="0"/>
    <n v="0"/>
    <n v="0"/>
    <n v="0"/>
    <n v="0"/>
    <n v="0"/>
  </r>
  <r>
    <x v="33"/>
    <s v="P0013"/>
    <x v="11"/>
    <x v="14"/>
    <s v="Reportes SBS"/>
    <n v="0"/>
    <n v="0"/>
    <n v="0"/>
    <n v="11"/>
    <n v="152"/>
    <n v="96"/>
    <n v="0"/>
    <n v="0"/>
    <n v="0"/>
    <n v="0"/>
    <n v="0"/>
    <n v="0"/>
    <n v="53.98"/>
    <n v="59.38"/>
    <n v="51.630434782608695"/>
    <n v="65.972222222222229"/>
    <n v="53.977272727272727"/>
    <n v="56.547619047619051"/>
    <n v="59.375"/>
    <m/>
    <m/>
    <m/>
    <m/>
    <m/>
    <n v="0"/>
    <n v="0"/>
    <n v="0"/>
    <n v="725.69444444444457"/>
    <n v="8204.545454545454"/>
    <n v="5428.5714285714294"/>
    <n v="0"/>
    <n v="0"/>
    <n v="0"/>
    <n v="0"/>
    <n v="0"/>
    <n v="0"/>
  </r>
  <r>
    <x v="33"/>
    <s v="MP004"/>
    <x v="9"/>
    <x v="12"/>
    <s v="Software Factory"/>
    <n v="54"/>
    <n v="0"/>
    <n v="0"/>
    <n v="0"/>
    <n v="0"/>
    <n v="0"/>
    <n v="78.5"/>
    <n v="0"/>
    <n v="0"/>
    <n v="0"/>
    <n v="0"/>
    <n v="0"/>
    <n v="53.98"/>
    <n v="59.38"/>
    <n v="51.630434782608695"/>
    <n v="65.972222222222229"/>
    <n v="53.977272727272727"/>
    <n v="56.547619047619051"/>
    <n v="59.375"/>
    <m/>
    <m/>
    <m/>
    <m/>
    <m/>
    <n v="2914.9199999999996"/>
    <n v="0"/>
    <n v="0"/>
    <n v="0"/>
    <n v="0"/>
    <n v="0"/>
    <n v="4660.9375"/>
    <n v="0"/>
    <n v="0"/>
    <n v="0"/>
    <n v="0"/>
    <n v="0"/>
  </r>
  <r>
    <x v="33"/>
    <s v="P0030"/>
    <x v="4"/>
    <x v="27"/>
    <s v="Servicios de Elaboracion REF - GA"/>
    <n v="0"/>
    <n v="0"/>
    <n v="0"/>
    <n v="18"/>
    <n v="0"/>
    <n v="0"/>
    <n v="0"/>
    <n v="0"/>
    <n v="0"/>
    <n v="0"/>
    <n v="0"/>
    <n v="0"/>
    <n v="53.98"/>
    <n v="59.38"/>
    <n v="51.630434782608695"/>
    <n v="65.972222222222229"/>
    <n v="53.977272727272727"/>
    <n v="56.547619047619051"/>
    <n v="59.375"/>
    <m/>
    <m/>
    <m/>
    <m/>
    <m/>
    <n v="0"/>
    <n v="0"/>
    <n v="0"/>
    <n v="1187.5"/>
    <n v="0"/>
    <n v="0"/>
    <n v="0"/>
    <n v="0"/>
    <n v="0"/>
    <n v="0"/>
    <n v="0"/>
    <n v="0"/>
  </r>
  <r>
    <x v="33"/>
    <s v="NO FACT."/>
    <x v="8"/>
    <x v="10"/>
    <s v="No facturable"/>
    <n v="0"/>
    <n v="0"/>
    <n v="37"/>
    <n v="102"/>
    <n v="0"/>
    <n v="0"/>
    <n v="0"/>
    <n v="0"/>
    <n v="0"/>
    <n v="0"/>
    <n v="0"/>
    <n v="0"/>
    <n v="53.98"/>
    <n v="59.38"/>
    <n v="51.630434782608695"/>
    <n v="65.972222222222229"/>
    <n v="53.977272727272727"/>
    <n v="56.547619047619051"/>
    <n v="59.375"/>
    <m/>
    <m/>
    <m/>
    <m/>
    <m/>
    <n v="0"/>
    <n v="0"/>
    <n v="1910.3260869565217"/>
    <n v="6729.166666666667"/>
    <n v="0"/>
    <n v="0"/>
    <n v="0"/>
    <n v="0"/>
    <n v="0"/>
    <n v="0"/>
    <n v="0"/>
    <n v="0"/>
  </r>
  <r>
    <x v="33"/>
    <s v="VACACIONES"/>
    <x v="10"/>
    <x v="13"/>
    <s v="Vacaciones"/>
    <n v="0"/>
    <n v="0"/>
    <n v="0"/>
    <n v="0"/>
    <n v="0"/>
    <n v="0"/>
    <n v="24"/>
    <n v="0"/>
    <n v="0"/>
    <n v="0"/>
    <n v="0"/>
    <n v="0"/>
    <n v="53.98"/>
    <n v="59.38"/>
    <n v="51.630434782608695"/>
    <n v="65.972222222222229"/>
    <n v="53.977272727272727"/>
    <n v="56.547619047619051"/>
    <n v="59.375"/>
    <m/>
    <m/>
    <m/>
    <m/>
    <m/>
    <n v="0"/>
    <n v="0"/>
    <n v="0"/>
    <n v="0"/>
    <n v="0"/>
    <n v="0"/>
    <n v="1425"/>
    <n v="0"/>
    <n v="0"/>
    <n v="0"/>
    <n v="0"/>
    <n v="0"/>
  </r>
  <r>
    <x v="33"/>
    <s v="PROPUESTA"/>
    <x v="6"/>
    <x v="8"/>
    <s v="Propuesta"/>
    <n v="24"/>
    <n v="12"/>
    <n v="0"/>
    <n v="11"/>
    <n v="0"/>
    <n v="0"/>
    <n v="0"/>
    <n v="0"/>
    <n v="0"/>
    <n v="0"/>
    <n v="0"/>
    <n v="0"/>
    <n v="53.98"/>
    <n v="59.38"/>
    <n v="51.630434782608695"/>
    <n v="65.972222222222229"/>
    <n v="53.977272727272727"/>
    <n v="56.547619047619051"/>
    <n v="59.375"/>
    <m/>
    <m/>
    <m/>
    <m/>
    <m/>
    <n v="1295.52"/>
    <n v="712.56000000000006"/>
    <n v="0"/>
    <n v="725.69444444444457"/>
    <n v="0"/>
    <n v="0"/>
    <n v="0"/>
    <n v="0"/>
    <n v="0"/>
    <n v="0"/>
    <n v="0"/>
    <n v="0"/>
  </r>
  <r>
    <x v="33"/>
    <s v="INASISTENCIAS"/>
    <x v="7"/>
    <x v="9"/>
    <s v="Inasistencias"/>
    <n v="0"/>
    <n v="0"/>
    <n v="0"/>
    <n v="0"/>
    <n v="0"/>
    <n v="8"/>
    <n v="0"/>
    <n v="0"/>
    <n v="0"/>
    <n v="0"/>
    <n v="0"/>
    <n v="0"/>
    <n v="53.98"/>
    <n v="59.38"/>
    <n v="51.630434782608695"/>
    <n v="65.972222222222229"/>
    <n v="53.977272727272727"/>
    <n v="56.547619047619051"/>
    <n v="59.375"/>
    <m/>
    <m/>
    <m/>
    <m/>
    <m/>
    <n v="0"/>
    <n v="0"/>
    <n v="0"/>
    <n v="0"/>
    <n v="0"/>
    <n v="452.38095238095241"/>
    <n v="0"/>
    <n v="0"/>
    <n v="0"/>
    <n v="0"/>
    <n v="0"/>
    <n v="0"/>
  </r>
  <r>
    <x v="33"/>
    <s v="P0030"/>
    <x v="4"/>
    <x v="27"/>
    <s v="Servicios de Elaboracion REF - GA"/>
    <n v="0"/>
    <n v="0"/>
    <n v="123"/>
    <n v="0"/>
    <n v="0"/>
    <n v="0"/>
    <n v="0"/>
    <n v="0"/>
    <n v="0"/>
    <n v="0"/>
    <n v="0"/>
    <n v="0"/>
    <n v="53.98"/>
    <n v="59.38"/>
    <n v="51.630434782608695"/>
    <n v="65.972222222222229"/>
    <n v="53.977272727272727"/>
    <n v="56.547619047619051"/>
    <n v="59.375"/>
    <m/>
    <m/>
    <m/>
    <m/>
    <m/>
    <n v="0"/>
    <n v="0"/>
    <n v="6350.54347826087"/>
    <n v="0"/>
    <n v="0"/>
    <n v="0"/>
    <n v="0"/>
    <n v="0"/>
    <n v="0"/>
    <n v="0"/>
    <n v="0"/>
    <n v="0"/>
  </r>
  <r>
    <x v="33"/>
    <s v="P0011"/>
    <x v="11"/>
    <x v="28"/>
    <s v="outsourcing  de configuración de productos BBVA"/>
    <n v="0"/>
    <n v="0"/>
    <n v="0"/>
    <n v="0"/>
    <n v="0"/>
    <n v="0"/>
    <n v="0"/>
    <n v="0"/>
    <n v="0"/>
    <n v="0"/>
    <n v="0"/>
    <n v="0"/>
    <n v="53.98"/>
    <n v="59.38"/>
    <n v="51.630434782608695"/>
    <n v="65.972222222222229"/>
    <n v="53.977272727272727"/>
    <n v="56.547619047619051"/>
    <n v="59.375"/>
    <m/>
    <m/>
    <m/>
    <m/>
    <m/>
    <n v="0"/>
    <n v="0"/>
    <n v="0"/>
    <n v="0"/>
    <n v="0"/>
    <n v="0"/>
    <n v="0"/>
    <n v="0"/>
    <n v="0"/>
    <n v="0"/>
    <n v="0"/>
    <n v="0"/>
  </r>
  <r>
    <x v="33"/>
    <s v="P0014"/>
    <x v="20"/>
    <x v="29"/>
    <s v="REQUERIMIENTO CORE URGENCIA ALTA:DOC REQ.FUNCIONAL 100% FINALIZADO"/>
    <n v="0"/>
    <n v="0"/>
    <n v="24"/>
    <n v="2"/>
    <n v="0"/>
    <n v="0"/>
    <n v="0"/>
    <n v="0"/>
    <n v="0"/>
    <n v="0"/>
    <n v="0"/>
    <n v="0"/>
    <n v="53.98"/>
    <n v="59.38"/>
    <n v="51.630434782608695"/>
    <n v="65.972222222222229"/>
    <n v="53.977272727272727"/>
    <n v="56.547619047619051"/>
    <n v="59.375"/>
    <m/>
    <m/>
    <m/>
    <m/>
    <m/>
    <n v="0"/>
    <n v="0"/>
    <n v="1239.1304347826087"/>
    <n v="131.94444444444446"/>
    <n v="0"/>
    <n v="0"/>
    <n v="0"/>
    <n v="0"/>
    <n v="0"/>
    <n v="0"/>
    <n v="0"/>
    <n v="0"/>
  </r>
  <r>
    <x v="33"/>
    <s v="P0017"/>
    <x v="20"/>
    <x v="30"/>
    <s v="Análisis Funcional - Requerimientos"/>
    <n v="0"/>
    <n v="0"/>
    <n v="0"/>
    <n v="0"/>
    <n v="24"/>
    <n v="64"/>
    <n v="57.5"/>
    <n v="0"/>
    <n v="0"/>
    <n v="0"/>
    <n v="0"/>
    <n v="0"/>
    <n v="53.98"/>
    <n v="59.38"/>
    <n v="51.630434782608695"/>
    <n v="65.972222222222229"/>
    <n v="53.977272727272727"/>
    <n v="56.547619047619051"/>
    <n v="59.375"/>
    <m/>
    <m/>
    <m/>
    <m/>
    <m/>
    <n v="0"/>
    <n v="0"/>
    <n v="0"/>
    <n v="0"/>
    <n v="1295.4545454545455"/>
    <n v="3619.0476190476193"/>
    <n v="3414.0625"/>
    <n v="0"/>
    <n v="0"/>
    <n v="0"/>
    <n v="0"/>
    <n v="0"/>
  </r>
  <r>
    <x v="34"/>
    <s v="MP004"/>
    <x v="9"/>
    <x v="12"/>
    <s v="Software Factory"/>
    <n v="0"/>
    <n v="0"/>
    <n v="0"/>
    <n v="128"/>
    <n v="176"/>
    <n v="168"/>
    <n v="8"/>
    <n v="0"/>
    <n v="0"/>
    <n v="0"/>
    <n v="0"/>
    <n v="0"/>
    <n v="0"/>
    <n v="0"/>
    <n v="0"/>
    <n v="40.625"/>
    <n v="33.238636363636367"/>
    <n v="34.821428571428569"/>
    <n v="36.5625"/>
    <m/>
    <m/>
    <m/>
    <m/>
    <m/>
    <n v="0"/>
    <n v="0"/>
    <n v="0"/>
    <n v="5200"/>
    <n v="5850.0000000000009"/>
    <n v="5850"/>
    <n v="292.5"/>
    <n v="0"/>
    <n v="0"/>
    <n v="0"/>
    <n v="0"/>
    <n v="0"/>
  </r>
  <r>
    <x v="35"/>
    <s v="P0031"/>
    <x v="4"/>
    <x v="11"/>
    <s v="Servicios de Analisis y Desarrollo"/>
    <n v="0"/>
    <n v="0"/>
    <n v="0"/>
    <n v="0"/>
    <n v="0"/>
    <n v="0"/>
    <n v="72"/>
    <n v="0"/>
    <n v="0"/>
    <n v="0"/>
    <n v="0"/>
    <n v="0"/>
    <n v="0"/>
    <n v="0"/>
    <n v="0"/>
    <n v="0"/>
    <n v="33.238636363636367"/>
    <n v="34.821428571428569"/>
    <n v="36.5625"/>
    <m/>
    <m/>
    <m/>
    <m/>
    <m/>
    <n v="0"/>
    <n v="0"/>
    <n v="0"/>
    <n v="0"/>
    <n v="0"/>
    <n v="0"/>
    <n v="2632.5"/>
    <n v="0"/>
    <n v="0"/>
    <n v="0"/>
    <n v="0"/>
    <n v="0"/>
  </r>
  <r>
    <x v="35"/>
    <s v="NO FACT."/>
    <x v="8"/>
    <x v="10"/>
    <s v="No facturable"/>
    <n v="0"/>
    <n v="0"/>
    <n v="0"/>
    <n v="0"/>
    <n v="0"/>
    <n v="0"/>
    <n v="40"/>
    <n v="0"/>
    <n v="0"/>
    <n v="0"/>
    <n v="0"/>
    <n v="0"/>
    <n v="0"/>
    <n v="0"/>
    <n v="0"/>
    <n v="0"/>
    <n v="33.238636363636367"/>
    <n v="34.821428571428569"/>
    <n v="36.5625"/>
    <m/>
    <m/>
    <m/>
    <m/>
    <m/>
    <n v="0"/>
    <n v="0"/>
    <n v="0"/>
    <n v="0"/>
    <n v="0"/>
    <n v="0"/>
    <n v="1462.5"/>
    <n v="0"/>
    <n v="0"/>
    <n v="0"/>
    <n v="0"/>
    <n v="0"/>
  </r>
  <r>
    <x v="35"/>
    <s v="P0013"/>
    <x v="11"/>
    <x v="14"/>
    <s v="Reportes SBS"/>
    <n v="0"/>
    <n v="0"/>
    <n v="0"/>
    <n v="0"/>
    <n v="168"/>
    <n v="168"/>
    <n v="48"/>
    <n v="32"/>
    <n v="0"/>
    <n v="0"/>
    <n v="0"/>
    <n v="0"/>
    <n v="0"/>
    <n v="0"/>
    <n v="0"/>
    <n v="0"/>
    <n v="33.238636363636367"/>
    <n v="34.821428571428569"/>
    <n v="36.5625"/>
    <m/>
    <m/>
    <m/>
    <m/>
    <m/>
    <n v="0"/>
    <n v="0"/>
    <n v="0"/>
    <n v="0"/>
    <n v="5584.0909090909099"/>
    <n v="5850"/>
    <n v="1755"/>
    <n v="0"/>
    <n v="0"/>
    <n v="0"/>
    <n v="0"/>
    <n v="0"/>
  </r>
  <r>
    <x v="36"/>
    <s v="NO FACT."/>
    <x v="8"/>
    <x v="10"/>
    <s v="No facturable"/>
    <n v="0"/>
    <n v="0"/>
    <n v="0"/>
    <n v="0"/>
    <n v="0"/>
    <n v="0"/>
    <n v="0"/>
    <n v="0"/>
    <n v="0"/>
    <n v="0"/>
    <n v="0"/>
    <n v="0"/>
    <n v="40.5"/>
    <n v="44.546875"/>
    <n v="38.736413043478258"/>
    <n v="49.496527777777779"/>
    <n v="40.497159090909093"/>
    <n v="42.425595238095241"/>
    <n v="44.546875"/>
    <m/>
    <m/>
    <m/>
    <m/>
    <m/>
    <n v="0"/>
    <n v="0"/>
    <n v="0"/>
    <n v="0"/>
    <n v="0"/>
    <n v="0"/>
    <n v="0"/>
    <n v="0"/>
    <n v="0"/>
    <n v="0"/>
    <n v="0"/>
    <n v="0"/>
  </r>
  <r>
    <x v="36"/>
    <s v="INASISTENCIAS"/>
    <x v="7"/>
    <x v="9"/>
    <s v="Inasistencias"/>
    <n v="0"/>
    <n v="0"/>
    <n v="0"/>
    <n v="8"/>
    <n v="0"/>
    <n v="24"/>
    <n v="0"/>
    <n v="0"/>
    <n v="0"/>
    <n v="0"/>
    <n v="0"/>
    <n v="0"/>
    <n v="40.5"/>
    <n v="44.546875"/>
    <n v="38.736413043478258"/>
    <n v="49.496527777777779"/>
    <n v="40.497159090909093"/>
    <n v="42.425595238095241"/>
    <n v="44.546875"/>
    <m/>
    <m/>
    <m/>
    <m/>
    <m/>
    <n v="0"/>
    <n v="0"/>
    <n v="0"/>
    <n v="395.97222222222223"/>
    <n v="0"/>
    <n v="1018.2142857142858"/>
    <n v="0"/>
    <n v="0"/>
    <n v="0"/>
    <n v="0"/>
    <n v="0"/>
    <n v="0"/>
  </r>
  <r>
    <x v="36"/>
    <s v="MP004"/>
    <x v="9"/>
    <x v="12"/>
    <s v="Software Factory"/>
    <n v="176"/>
    <n v="160"/>
    <n v="184"/>
    <n v="136"/>
    <n v="176"/>
    <n v="144"/>
    <n v="160"/>
    <n v="0"/>
    <n v="0"/>
    <n v="0"/>
    <n v="0"/>
    <n v="0"/>
    <n v="40.5"/>
    <n v="44.546875"/>
    <n v="38.736413043478258"/>
    <n v="49.496527777777779"/>
    <n v="40.497159090909093"/>
    <n v="42.425595238095241"/>
    <n v="44.546875"/>
    <m/>
    <m/>
    <m/>
    <m/>
    <m/>
    <n v="7128"/>
    <n v="7127.5"/>
    <n v="7127.4999999999991"/>
    <n v="6731.5277777777783"/>
    <n v="7127.5"/>
    <n v="6109.2857142857147"/>
    <n v="7127.5"/>
    <n v="0"/>
    <n v="0"/>
    <n v="0"/>
    <n v="0"/>
    <n v="0"/>
  </r>
  <r>
    <x v="37"/>
    <s v="MP004"/>
    <x v="9"/>
    <x v="12"/>
    <s v="Software Factory"/>
    <n v="174"/>
    <n v="160"/>
    <n v="184"/>
    <n v="144"/>
    <n v="176"/>
    <n v="168"/>
    <n v="152"/>
    <n v="0"/>
    <n v="0"/>
    <n v="0"/>
    <n v="0"/>
    <n v="0"/>
    <n v="29.83"/>
    <n v="32.8125"/>
    <n v="28.532608695652176"/>
    <n v="36.458333333333336"/>
    <n v="29.829545454545453"/>
    <n v="31.25"/>
    <n v="32.8125"/>
    <m/>
    <m/>
    <m/>
    <m/>
    <m/>
    <n v="5190.42"/>
    <n v="5250"/>
    <n v="5250"/>
    <n v="5250"/>
    <n v="5250"/>
    <n v="5250"/>
    <n v="4987.5"/>
    <n v="0"/>
    <n v="0"/>
    <n v="0"/>
    <n v="0"/>
    <n v="0"/>
  </r>
  <r>
    <x v="37"/>
    <s v="INASISTENCIAS"/>
    <x v="7"/>
    <x v="9"/>
    <s v="Inasistencias"/>
    <n v="2"/>
    <n v="0"/>
    <n v="0"/>
    <n v="0"/>
    <n v="0"/>
    <n v="0"/>
    <n v="8"/>
    <n v="0"/>
    <n v="0"/>
    <n v="0"/>
    <n v="0"/>
    <n v="0"/>
    <n v="29.83"/>
    <n v="32.8125"/>
    <n v="28.532608695652176"/>
    <n v="36.458333333333336"/>
    <n v="29.829545454545453"/>
    <n v="31.25"/>
    <n v="32.8125"/>
    <m/>
    <m/>
    <m/>
    <m/>
    <m/>
    <n v="59.66"/>
    <n v="0"/>
    <n v="0"/>
    <n v="0"/>
    <n v="0"/>
    <n v="0"/>
    <n v="262.5"/>
    <n v="0"/>
    <n v="0"/>
    <n v="0"/>
    <n v="0"/>
    <n v="0"/>
  </r>
  <r>
    <x v="38"/>
    <s v="P0011"/>
    <x v="11"/>
    <x v="28"/>
    <s v="outsourcing  de configuración de productos BBVA"/>
    <n v="100"/>
    <n v="94"/>
    <n v="4"/>
    <n v="0"/>
    <n v="0"/>
    <n v="0"/>
    <n v="0"/>
    <n v="0"/>
    <n v="0"/>
    <n v="0"/>
    <n v="0"/>
    <n v="0"/>
    <n v="74.349999999999994"/>
    <n v="81.78125"/>
    <n v="71.114130434782609"/>
    <n v="0"/>
    <n v="0"/>
    <n v="0"/>
    <n v="0"/>
    <m/>
    <m/>
    <m/>
    <m/>
    <m/>
    <n v="7434.9999999999991"/>
    <n v="7687.4375"/>
    <n v="284.45652173913044"/>
    <n v="0"/>
    <n v="0"/>
    <n v="0"/>
    <n v="0"/>
    <n v="0"/>
    <n v="0"/>
    <n v="0"/>
    <n v="0"/>
    <n v="0"/>
  </r>
  <r>
    <x v="38"/>
    <s v="P0001"/>
    <x v="20"/>
    <x v="26"/>
    <s v="Evaluacion Sistema Integrado de Polizas - SDP"/>
    <n v="76"/>
    <n v="66"/>
    <n v="0"/>
    <n v="0"/>
    <n v="0"/>
    <n v="0"/>
    <n v="0"/>
    <n v="0"/>
    <n v="0"/>
    <n v="0"/>
    <n v="0"/>
    <n v="0"/>
    <n v="74.349999999999994"/>
    <n v="81.78125"/>
    <n v="71.114130434782609"/>
    <n v="0"/>
    <n v="0"/>
    <n v="0"/>
    <n v="0"/>
    <m/>
    <m/>
    <m/>
    <m/>
    <m/>
    <n v="5650.5999999999995"/>
    <n v="5397.5625"/>
    <n v="0"/>
    <n v="0"/>
    <n v="0"/>
    <n v="0"/>
    <n v="0"/>
    <n v="0"/>
    <n v="0"/>
    <n v="0"/>
    <n v="0"/>
    <n v="0"/>
  </r>
  <r>
    <x v="38"/>
    <s v="NO FACT."/>
    <x v="8"/>
    <x v="10"/>
    <s v="No facturable"/>
    <n v="0"/>
    <n v="0"/>
    <n v="55"/>
    <n v="0"/>
    <n v="0"/>
    <n v="0"/>
    <n v="0"/>
    <n v="0"/>
    <n v="0"/>
    <n v="0"/>
    <n v="0"/>
    <n v="0"/>
    <n v="74.349999999999994"/>
    <n v="81.78125"/>
    <n v="71.114130434782609"/>
    <n v="0"/>
    <n v="0"/>
    <n v="0"/>
    <n v="0"/>
    <m/>
    <m/>
    <m/>
    <m/>
    <m/>
    <n v="0"/>
    <n v="0"/>
    <n v="3911.2771739130435"/>
    <n v="0"/>
    <n v="0"/>
    <n v="0"/>
    <n v="0"/>
    <n v="0"/>
    <n v="0"/>
    <n v="0"/>
    <n v="0"/>
    <n v="0"/>
  </r>
  <r>
    <x v="38"/>
    <s v="PROPUESTA"/>
    <x v="6"/>
    <x v="8"/>
    <s v="Propuesta"/>
    <n v="0"/>
    <n v="0"/>
    <n v="29"/>
    <n v="0"/>
    <n v="0"/>
    <n v="0"/>
    <n v="0"/>
    <n v="0"/>
    <n v="0"/>
    <n v="0"/>
    <n v="0"/>
    <n v="0"/>
    <n v="74.349999999999994"/>
    <n v="81.78125"/>
    <n v="71.114130434782609"/>
    <n v="0"/>
    <n v="0"/>
    <n v="0"/>
    <n v="0"/>
    <m/>
    <m/>
    <m/>
    <m/>
    <m/>
    <n v="0"/>
    <n v="0"/>
    <n v="2062.3097826086955"/>
    <n v="0"/>
    <n v="0"/>
    <n v="0"/>
    <n v="0"/>
    <n v="0"/>
    <n v="0"/>
    <n v="0"/>
    <n v="0"/>
    <n v="0"/>
  </r>
  <r>
    <x v="39"/>
    <s v="VACACIONES"/>
    <x v="10"/>
    <x v="13"/>
    <s v="Vacaciones"/>
    <n v="0"/>
    <n v="0"/>
    <n v="0"/>
    <n v="0"/>
    <n v="0"/>
    <n v="4"/>
    <n v="0"/>
    <n v="0"/>
    <n v="0"/>
    <n v="0"/>
    <n v="0"/>
    <n v="0"/>
    <n v="26.48"/>
    <n v="29.125"/>
    <n v="25.326086956521738"/>
    <n v="32.361111111111114"/>
    <n v="26.477272727272727"/>
    <n v="27.738095238095237"/>
    <n v="29.125"/>
    <m/>
    <m/>
    <m/>
    <m/>
    <m/>
    <n v="0"/>
    <n v="0"/>
    <n v="0"/>
    <n v="0"/>
    <n v="0"/>
    <n v="110.95238095238095"/>
    <n v="0"/>
    <n v="0"/>
    <n v="0"/>
    <n v="0"/>
    <n v="0"/>
    <n v="0"/>
  </r>
  <r>
    <x v="39"/>
    <s v="INASISTENCIAS"/>
    <x v="7"/>
    <x v="9"/>
    <s v="Inasistencias"/>
    <n v="8"/>
    <n v="0"/>
    <n v="0"/>
    <n v="0"/>
    <n v="16"/>
    <n v="0"/>
    <n v="0"/>
    <n v="0"/>
    <n v="0"/>
    <n v="0"/>
    <n v="0"/>
    <n v="0"/>
    <n v="26.48"/>
    <n v="29.125"/>
    <n v="25.326086956521738"/>
    <n v="32.361111111111114"/>
    <n v="26.477272727272727"/>
    <n v="27.738095238095237"/>
    <n v="29.125"/>
    <m/>
    <m/>
    <m/>
    <m/>
    <m/>
    <n v="211.84"/>
    <n v="0"/>
    <n v="0"/>
    <n v="0"/>
    <n v="423.63636363636363"/>
    <n v="0"/>
    <n v="0"/>
    <n v="0"/>
    <n v="0"/>
    <n v="0"/>
    <n v="0"/>
    <n v="0"/>
  </r>
  <r>
    <x v="39"/>
    <s v="MP004"/>
    <x v="9"/>
    <x v="12"/>
    <s v="Software Factory"/>
    <n v="168"/>
    <n v="160"/>
    <n v="184"/>
    <n v="144"/>
    <n v="160"/>
    <n v="164"/>
    <n v="160"/>
    <n v="0"/>
    <n v="0"/>
    <n v="0"/>
    <n v="0"/>
    <n v="0"/>
    <n v="26.48"/>
    <n v="29.125"/>
    <n v="25.326086956521738"/>
    <n v="32.361111111111114"/>
    <n v="26.477272727272727"/>
    <n v="27.738095238095237"/>
    <n v="29.125"/>
    <m/>
    <m/>
    <m/>
    <m/>
    <m/>
    <n v="4448.6400000000003"/>
    <n v="4660"/>
    <n v="4660"/>
    <n v="4660"/>
    <n v="4236.363636363636"/>
    <n v="4549.0476190476193"/>
    <n v="4660"/>
    <n v="0"/>
    <n v="0"/>
    <n v="0"/>
    <n v="0"/>
    <n v="0"/>
  </r>
  <r>
    <x v="40"/>
    <s v="INASISTENCIAS"/>
    <x v="7"/>
    <x v="9"/>
    <s v="Inasistencias"/>
    <n v="0"/>
    <n v="0"/>
    <n v="0"/>
    <n v="24"/>
    <n v="0"/>
    <n v="0"/>
    <n v="0"/>
    <n v="0"/>
    <n v="0"/>
    <n v="0"/>
    <n v="0"/>
    <n v="0"/>
    <n v="39.86"/>
    <n v="43.85"/>
    <n v="38.130434782608695"/>
    <n v="48.722222222222221"/>
    <n v="39.863636363636367"/>
    <n v="41.761904761904759"/>
    <n v="42.875"/>
    <m/>
    <m/>
    <m/>
    <m/>
    <m/>
    <n v="0"/>
    <n v="0"/>
    <n v="0"/>
    <n v="1169.3333333333333"/>
    <n v="0"/>
    <n v="0"/>
    <n v="0"/>
    <n v="0"/>
    <n v="0"/>
    <n v="0"/>
    <n v="0"/>
    <n v="0"/>
  </r>
  <r>
    <x v="40"/>
    <s v="MP004"/>
    <x v="9"/>
    <x v="12"/>
    <s v="Software Factory"/>
    <n v="176"/>
    <n v="160"/>
    <n v="184"/>
    <n v="120"/>
    <n v="176"/>
    <n v="168"/>
    <n v="160"/>
    <n v="0"/>
    <n v="0"/>
    <n v="0"/>
    <n v="0"/>
    <n v="0"/>
    <n v="39.86"/>
    <n v="43.85"/>
    <n v="38.130434782608695"/>
    <n v="48.722222222222221"/>
    <n v="39.863636363636367"/>
    <n v="41.761904761904759"/>
    <n v="42.875"/>
    <m/>
    <m/>
    <m/>
    <m/>
    <m/>
    <n v="7015.36"/>
    <n v="7016"/>
    <n v="7016"/>
    <n v="5846.666666666667"/>
    <n v="7016.0000000000009"/>
    <n v="7016"/>
    <n v="6860"/>
    <n v="0"/>
    <n v="0"/>
    <n v="0"/>
    <n v="0"/>
    <n v="0"/>
  </r>
  <r>
    <x v="41"/>
    <s v="NO FACT."/>
    <x v="8"/>
    <x v="10"/>
    <s v="No facturable"/>
    <n v="0"/>
    <n v="0"/>
    <n v="0"/>
    <n v="0"/>
    <n v="0"/>
    <n v="8"/>
    <n v="0"/>
    <n v="0"/>
    <n v="0"/>
    <n v="0"/>
    <n v="0"/>
    <n v="0"/>
    <n v="0"/>
    <n v="0"/>
    <n v="0"/>
    <n v="0"/>
    <n v="0"/>
    <n v="0"/>
    <n v="0"/>
    <m/>
    <m/>
    <m/>
    <m/>
    <m/>
    <n v="0"/>
    <n v="0"/>
    <n v="0"/>
    <n v="0"/>
    <n v="0"/>
    <n v="0"/>
    <n v="0"/>
    <n v="0"/>
    <n v="0"/>
    <n v="0"/>
    <n v="0"/>
    <n v="0"/>
  </r>
  <r>
    <x v="41"/>
    <s v="MP004"/>
    <x v="9"/>
    <x v="12"/>
    <s v="Software Factory"/>
    <n v="0"/>
    <n v="56"/>
    <n v="184"/>
    <n v="144"/>
    <n v="176"/>
    <n v="136"/>
    <n v="0"/>
    <n v="0"/>
    <n v="0"/>
    <n v="0"/>
    <n v="0"/>
    <n v="0"/>
    <n v="0"/>
    <n v="0"/>
    <n v="0"/>
    <n v="0"/>
    <n v="0"/>
    <n v="0"/>
    <n v="0"/>
    <m/>
    <m/>
    <m/>
    <m/>
    <m/>
    <n v="0"/>
    <n v="0"/>
    <n v="0"/>
    <n v="0"/>
    <n v="0"/>
    <n v="0"/>
    <n v="0"/>
    <n v="0"/>
    <n v="0"/>
    <n v="0"/>
    <n v="0"/>
    <n v="0"/>
  </r>
  <r>
    <x v="41"/>
    <s v="P0025"/>
    <x v="14"/>
    <x v="31"/>
    <s v="Implementación de Indicadores de Gestión TABELAU "/>
    <n v="0"/>
    <n v="0"/>
    <n v="0"/>
    <n v="0"/>
    <n v="0"/>
    <n v="0"/>
    <n v="88"/>
    <n v="32"/>
    <n v="0"/>
    <n v="0"/>
    <n v="0"/>
    <n v="0"/>
    <n v="0"/>
    <n v="0"/>
    <n v="0"/>
    <n v="0"/>
    <n v="0"/>
    <n v="0"/>
    <n v="0"/>
    <m/>
    <m/>
    <m/>
    <m/>
    <m/>
    <n v="0"/>
    <n v="0"/>
    <n v="0"/>
    <n v="0"/>
    <n v="0"/>
    <n v="0"/>
    <n v="0"/>
    <n v="0"/>
    <n v="0"/>
    <n v="0"/>
    <n v="0"/>
    <n v="0"/>
  </r>
  <r>
    <x v="42"/>
    <s v="MP004"/>
    <x v="9"/>
    <x v="12"/>
    <s v="Software Factory"/>
    <n v="176"/>
    <n v="160"/>
    <n v="24"/>
    <n v="0"/>
    <n v="0"/>
    <n v="0"/>
    <n v="0"/>
    <n v="0"/>
    <n v="0"/>
    <n v="0"/>
    <n v="0"/>
    <n v="0"/>
    <n v="25.85"/>
    <n v="28.4375"/>
    <n v="24.728260869565219"/>
    <n v="31.597222222222221"/>
    <n v="25.852272727272727"/>
    <n v="27.083333333333332"/>
    <n v="28.4375"/>
    <m/>
    <m/>
    <m/>
    <m/>
    <m/>
    <n v="4549.6000000000004"/>
    <n v="4550"/>
    <n v="593.47826086956525"/>
    <n v="0"/>
    <n v="0"/>
    <n v="0"/>
    <n v="0"/>
    <n v="0"/>
    <n v="0"/>
    <n v="0"/>
    <n v="0"/>
    <n v="0"/>
  </r>
  <r>
    <x v="42"/>
    <s v="MP004"/>
    <x v="9"/>
    <x v="12"/>
    <s v="Software Factory"/>
    <n v="0"/>
    <n v="0"/>
    <n v="160"/>
    <n v="144"/>
    <n v="176"/>
    <n v="168"/>
    <n v="160"/>
    <n v="0"/>
    <n v="0"/>
    <n v="0"/>
    <n v="0"/>
    <n v="0"/>
    <n v="25.85"/>
    <n v="28.4375"/>
    <n v="24.728260869565219"/>
    <n v="31.597222222222221"/>
    <n v="25.852272727272727"/>
    <n v="27.083333333333332"/>
    <n v="28.4375"/>
    <m/>
    <m/>
    <m/>
    <m/>
    <m/>
    <n v="0"/>
    <n v="0"/>
    <n v="3956.521739130435"/>
    <n v="4550"/>
    <n v="4550"/>
    <n v="4550"/>
    <n v="4550"/>
    <n v="0"/>
    <n v="0"/>
    <n v="0"/>
    <n v="0"/>
    <n v="0"/>
  </r>
  <r>
    <x v="43"/>
    <s v="MP004"/>
    <x v="9"/>
    <x v="12"/>
    <s v="Software Factory"/>
    <n v="176"/>
    <n v="104"/>
    <n v="0"/>
    <n v="0"/>
    <n v="0"/>
    <n v="0"/>
    <n v="0"/>
    <n v="0"/>
    <n v="0"/>
    <n v="0"/>
    <n v="0"/>
    <n v="0"/>
    <n v="27.56"/>
    <n v="30.3125"/>
    <n v="0"/>
    <n v="0"/>
    <n v="0"/>
    <n v="0"/>
    <n v="0"/>
    <m/>
    <m/>
    <m/>
    <m/>
    <m/>
    <n v="4850.5599999999995"/>
    <n v="3152.5"/>
    <n v="0"/>
    <n v="0"/>
    <n v="0"/>
    <n v="0"/>
    <n v="0"/>
    <n v="0"/>
    <n v="0"/>
    <n v="0"/>
    <n v="0"/>
    <n v="0"/>
  </r>
  <r>
    <x v="43"/>
    <s v="NO FACT."/>
    <x v="8"/>
    <x v="10"/>
    <s v="No facturable"/>
    <n v="0"/>
    <n v="0"/>
    <n v="0"/>
    <n v="0"/>
    <n v="0"/>
    <n v="0"/>
    <n v="0"/>
    <n v="0"/>
    <n v="0"/>
    <n v="0"/>
    <n v="0"/>
    <n v="0"/>
    <n v="27.56"/>
    <n v="30.3125"/>
    <n v="0"/>
    <n v="0"/>
    <n v="0"/>
    <n v="0"/>
    <n v="0"/>
    <m/>
    <m/>
    <m/>
    <m/>
    <m/>
    <n v="0"/>
    <n v="0"/>
    <n v="0"/>
    <n v="0"/>
    <n v="0"/>
    <n v="0"/>
    <n v="0"/>
    <n v="0"/>
    <n v="0"/>
    <n v="0"/>
    <n v="0"/>
    <n v="0"/>
  </r>
  <r>
    <x v="44"/>
    <s v="MP004"/>
    <x v="9"/>
    <x v="12"/>
    <s v="Software Factory"/>
    <n v="0"/>
    <n v="0"/>
    <n v="0"/>
    <n v="0"/>
    <n v="0"/>
    <n v="0"/>
    <n v="160"/>
    <n v="0"/>
    <n v="0"/>
    <n v="0"/>
    <n v="0"/>
    <n v="0"/>
    <n v="0"/>
    <n v="0"/>
    <n v="0"/>
    <n v="0"/>
    <n v="0"/>
    <n v="0"/>
    <n v="40.625"/>
    <m/>
    <m/>
    <m/>
    <m/>
    <m/>
    <n v="0"/>
    <n v="0"/>
    <n v="0"/>
    <n v="0"/>
    <n v="0"/>
    <n v="0"/>
    <n v="6500"/>
    <n v="0"/>
    <n v="0"/>
    <n v="0"/>
    <n v="0"/>
    <n v="0"/>
  </r>
  <r>
    <x v="45"/>
    <s v="MP004"/>
    <x v="9"/>
    <x v="12"/>
    <s v="Software Factory"/>
    <n v="176"/>
    <n v="160"/>
    <n v="184"/>
    <n v="144"/>
    <n v="176"/>
    <n v="168"/>
    <n v="80"/>
    <n v="0"/>
    <n v="0"/>
    <n v="0"/>
    <n v="0"/>
    <n v="0"/>
    <n v="53.98"/>
    <n v="59.375"/>
    <n v="51.630434782608695"/>
    <n v="65.972222222222229"/>
    <n v="53.977272727272727"/>
    <n v="56.547619047619051"/>
    <n v="59.375"/>
    <m/>
    <m/>
    <m/>
    <m/>
    <m/>
    <n v="9500.48"/>
    <n v="9500"/>
    <n v="9500"/>
    <n v="9500"/>
    <n v="9500"/>
    <n v="9500"/>
    <n v="4750"/>
    <n v="0"/>
    <n v="0"/>
    <n v="0"/>
    <n v="0"/>
    <n v="0"/>
  </r>
  <r>
    <x v="46"/>
    <s v="INASISTENCIAS"/>
    <x v="7"/>
    <x v="9"/>
    <s v="Inasistencias"/>
    <n v="8"/>
    <n v="0"/>
    <n v="0"/>
    <n v="0"/>
    <n v="0"/>
    <n v="16"/>
    <n v="0"/>
    <n v="0"/>
    <n v="0"/>
    <n v="0"/>
    <n v="0"/>
    <n v="0"/>
    <n v="40.5"/>
    <n v="44.546875"/>
    <n v="38.736413043478258"/>
    <n v="49.496527777777779"/>
    <n v="40.497159090909093"/>
    <n v="42.425595238095241"/>
    <n v="44.546875"/>
    <m/>
    <m/>
    <m/>
    <m/>
    <m/>
    <n v="324"/>
    <n v="0"/>
    <n v="0"/>
    <n v="0"/>
    <n v="0"/>
    <n v="678.80952380952385"/>
    <n v="0"/>
    <n v="0"/>
    <n v="0"/>
    <n v="0"/>
    <n v="0"/>
    <n v="0"/>
  </r>
  <r>
    <x v="46"/>
    <s v="VACACIONES"/>
    <x v="10"/>
    <x v="13"/>
    <s v="Vacaciones"/>
    <n v="0"/>
    <n v="40"/>
    <n v="0"/>
    <n v="0"/>
    <n v="12"/>
    <n v="0"/>
    <n v="0"/>
    <n v="0"/>
    <n v="0"/>
    <n v="0"/>
    <n v="0"/>
    <n v="0"/>
    <n v="40.5"/>
    <n v="44.546875"/>
    <n v="38.736413043478258"/>
    <n v="49.496527777777779"/>
    <n v="40.497159090909093"/>
    <n v="42.425595238095241"/>
    <n v="44.546875"/>
    <m/>
    <m/>
    <m/>
    <m/>
    <m/>
    <n v="0"/>
    <n v="1781.875"/>
    <n v="0"/>
    <n v="0"/>
    <n v="485.96590909090912"/>
    <n v="0"/>
    <n v="0"/>
    <n v="0"/>
    <n v="0"/>
    <n v="0"/>
    <n v="0"/>
    <n v="0"/>
  </r>
  <r>
    <x v="46"/>
    <s v="MP004"/>
    <x v="9"/>
    <x v="12"/>
    <s v="Software Factory"/>
    <n v="168"/>
    <n v="120"/>
    <n v="184"/>
    <n v="144"/>
    <n v="164"/>
    <n v="152"/>
    <n v="160"/>
    <n v="0"/>
    <n v="0"/>
    <n v="0"/>
    <n v="0"/>
    <n v="0"/>
    <n v="40.5"/>
    <n v="44.546875"/>
    <n v="38.736413043478258"/>
    <n v="49.496527777777779"/>
    <n v="40.497159090909093"/>
    <n v="42.425595238095241"/>
    <n v="44.546875"/>
    <m/>
    <m/>
    <m/>
    <m/>
    <m/>
    <n v="6804"/>
    <n v="5345.625"/>
    <n v="7127.4999999999991"/>
    <n v="7127.5"/>
    <n v="6641.534090909091"/>
    <n v="6448.6904761904771"/>
    <n v="7127.5"/>
    <n v="0"/>
    <n v="0"/>
    <n v="0"/>
    <n v="0"/>
    <n v="0"/>
  </r>
  <r>
    <x v="47"/>
    <s v="P0007"/>
    <x v="0"/>
    <x v="0"/>
    <s v="Up Grade Web de Licitaciones Calidda"/>
    <n v="0"/>
    <n v="0"/>
    <n v="8"/>
    <n v="72"/>
    <n v="0"/>
    <n v="24"/>
    <n v="0"/>
    <n v="0"/>
    <n v="0"/>
    <n v="0"/>
    <n v="0"/>
    <n v="0"/>
    <n v="19.89"/>
    <n v="21.875"/>
    <n v="19.021739130434781"/>
    <n v="24.305555555555557"/>
    <n v="21.59090909090909"/>
    <n v="22.61904761904762"/>
    <n v="23.75"/>
    <m/>
    <m/>
    <m/>
    <m/>
    <m/>
    <n v="0"/>
    <n v="0"/>
    <n v="152.17391304347825"/>
    <n v="1750"/>
    <n v="0"/>
    <n v="542.85714285714289"/>
    <n v="0"/>
    <n v="0"/>
    <n v="0"/>
    <n v="0"/>
    <n v="0"/>
    <n v="0"/>
  </r>
  <r>
    <x v="47"/>
    <s v="P0008"/>
    <x v="1"/>
    <x v="1"/>
    <s v="Aplicativo para la consulta de expedientes de SAREFIS y SADERECHOS con DNI electrónico"/>
    <n v="0"/>
    <n v="156"/>
    <n v="176"/>
    <n v="32"/>
    <n v="8"/>
    <n v="0"/>
    <n v="0"/>
    <n v="0"/>
    <n v="0"/>
    <n v="0"/>
    <n v="0"/>
    <n v="0"/>
    <n v="19.89"/>
    <n v="21.875"/>
    <n v="19.021739130434781"/>
    <n v="24.305555555555557"/>
    <n v="21.59090909090909"/>
    <n v="22.61904761904762"/>
    <n v="23.75"/>
    <m/>
    <m/>
    <m/>
    <m/>
    <m/>
    <n v="0"/>
    <n v="3412.5"/>
    <n v="3347.8260869565215"/>
    <n v="777.77777777777783"/>
    <n v="172.72727272727272"/>
    <n v="0"/>
    <n v="0"/>
    <n v="0"/>
    <n v="0"/>
    <n v="0"/>
    <n v="0"/>
    <n v="0"/>
  </r>
  <r>
    <x v="47"/>
    <s v="P0006"/>
    <x v="2"/>
    <x v="2"/>
    <s v="Implementación y despliegue de Pagos Masivos para Caja Arequipa"/>
    <n v="176"/>
    <n v="4"/>
    <n v="0"/>
    <n v="0"/>
    <n v="0"/>
    <n v="0"/>
    <n v="2"/>
    <n v="0"/>
    <n v="0"/>
    <n v="0"/>
    <n v="0"/>
    <n v="0"/>
    <n v="19.89"/>
    <n v="21.875"/>
    <n v="19.021739130434781"/>
    <n v="24.305555555555557"/>
    <n v="21.59090909090909"/>
    <n v="22.61904761904762"/>
    <n v="23.75"/>
    <m/>
    <m/>
    <m/>
    <m/>
    <m/>
    <n v="3500.6400000000003"/>
    <n v="87.5"/>
    <n v="0"/>
    <n v="0"/>
    <n v="0"/>
    <n v="0"/>
    <n v="47.5"/>
    <n v="0"/>
    <n v="0"/>
    <n v="0"/>
    <n v="0"/>
    <n v="0"/>
  </r>
  <r>
    <x v="47"/>
    <s v="P0020"/>
    <x v="4"/>
    <x v="6"/>
    <s v="Fabrica de Software"/>
    <n v="0"/>
    <n v="0"/>
    <n v="0"/>
    <n v="0"/>
    <n v="0"/>
    <n v="0"/>
    <n v="0"/>
    <n v="0"/>
    <n v="0"/>
    <n v="0"/>
    <n v="0"/>
    <n v="0"/>
    <n v="19.89"/>
    <n v="21.875"/>
    <n v="19.021739130434781"/>
    <n v="24.305555555555557"/>
    <n v="21.59090909090909"/>
    <n v="22.61904761904762"/>
    <n v="23.75"/>
    <m/>
    <m/>
    <m/>
    <m/>
    <m/>
    <n v="0"/>
    <n v="0"/>
    <n v="0"/>
    <n v="0"/>
    <n v="0"/>
    <n v="0"/>
    <n v="0"/>
    <n v="0"/>
    <n v="0"/>
    <n v="0"/>
    <n v="0"/>
    <n v="0"/>
  </r>
  <r>
    <x v="47"/>
    <s v="P0020"/>
    <x v="4"/>
    <x v="6"/>
    <s v="Fabrica de Software"/>
    <n v="0"/>
    <n v="0"/>
    <n v="0"/>
    <n v="40"/>
    <n v="168"/>
    <n v="96"/>
    <n v="32"/>
    <n v="0"/>
    <n v="0"/>
    <n v="0"/>
    <n v="0"/>
    <n v="0"/>
    <n v="19.89"/>
    <n v="21.875"/>
    <n v="19.021739130434781"/>
    <n v="24.305555555555557"/>
    <n v="21.59090909090909"/>
    <n v="22.61904761904762"/>
    <n v="23.75"/>
    <m/>
    <m/>
    <m/>
    <m/>
    <m/>
    <n v="0"/>
    <n v="0"/>
    <n v="0"/>
    <n v="972.22222222222229"/>
    <n v="3627.272727272727"/>
    <n v="2171.4285714285716"/>
    <n v="760"/>
    <n v="0"/>
    <n v="0"/>
    <n v="0"/>
    <n v="0"/>
    <n v="0"/>
  </r>
  <r>
    <x v="47"/>
    <s v="INASISTENCIAS"/>
    <x v="7"/>
    <x v="9"/>
    <s v="Inasistencias"/>
    <n v="0"/>
    <n v="0"/>
    <n v="0"/>
    <n v="0"/>
    <n v="0"/>
    <n v="16"/>
    <n v="0"/>
    <n v="0"/>
    <n v="0"/>
    <n v="0"/>
    <n v="0"/>
    <n v="0"/>
    <n v="19.89"/>
    <n v="21.875"/>
    <n v="19.021739130434781"/>
    <n v="24.305555555555557"/>
    <n v="21.59090909090909"/>
    <n v="22.61904761904762"/>
    <n v="23.75"/>
    <m/>
    <m/>
    <m/>
    <m/>
    <m/>
    <n v="0"/>
    <n v="0"/>
    <n v="0"/>
    <n v="0"/>
    <n v="0"/>
    <n v="361.90476190476193"/>
    <n v="0"/>
    <n v="0"/>
    <n v="0"/>
    <n v="0"/>
    <n v="0"/>
    <n v="0"/>
  </r>
  <r>
    <x v="47"/>
    <s v="P0024"/>
    <x v="1"/>
    <x v="5"/>
    <s v="Totem Digital"/>
    <n v="0"/>
    <n v="0"/>
    <n v="0"/>
    <n v="0"/>
    <n v="0"/>
    <n v="32"/>
    <n v="30"/>
    <n v="0"/>
    <n v="0"/>
    <n v="0"/>
    <n v="0"/>
    <n v="0"/>
    <n v="19.89"/>
    <n v="21.875"/>
    <n v="19.021739130434781"/>
    <n v="24.305555555555557"/>
    <n v="21.59090909090909"/>
    <n v="22.61904761904762"/>
    <n v="23.75"/>
    <m/>
    <m/>
    <m/>
    <m/>
    <m/>
    <n v="0"/>
    <n v="0"/>
    <n v="0"/>
    <n v="0"/>
    <n v="0"/>
    <n v="723.80952380952385"/>
    <n v="712.5"/>
    <n v="0"/>
    <n v="0"/>
    <n v="0"/>
    <n v="0"/>
    <n v="0"/>
  </r>
  <r>
    <x v="47"/>
    <s v="P0031"/>
    <x v="4"/>
    <x v="11"/>
    <s v="Servicios de Analisis y Desarrollo"/>
    <n v="0"/>
    <n v="0"/>
    <n v="0"/>
    <n v="0"/>
    <n v="0"/>
    <n v="0"/>
    <n v="96"/>
    <n v="32"/>
    <n v="0"/>
    <n v="0"/>
    <n v="0"/>
    <n v="0"/>
    <n v="19.89"/>
    <n v="21.875"/>
    <n v="19.021739130434781"/>
    <n v="24.305555555555557"/>
    <n v="21.59090909090909"/>
    <n v="22.61904761904762"/>
    <n v="23.75"/>
    <m/>
    <m/>
    <m/>
    <m/>
    <m/>
    <n v="0"/>
    <n v="0"/>
    <n v="0"/>
    <n v="0"/>
    <n v="0"/>
    <n v="0"/>
    <n v="2280"/>
    <n v="0"/>
    <n v="0"/>
    <n v="0"/>
    <n v="0"/>
    <n v="0"/>
  </r>
  <r>
    <x v="48"/>
    <s v="P0002"/>
    <x v="3"/>
    <x v="3"/>
    <s v="Implementación del Módulo Básico de Interconexión Radios - Tetra Server - BD PNP"/>
    <n v="140"/>
    <n v="0"/>
    <n v="0"/>
    <n v="0"/>
    <n v="0"/>
    <n v="0"/>
    <n v="0"/>
    <n v="0"/>
    <n v="0"/>
    <n v="0"/>
    <n v="0"/>
    <n v="0"/>
    <n v="35.799999999999997"/>
    <n v="39.375"/>
    <n v="34.239130434782609"/>
    <n v="43.75"/>
    <n v="35.795454545454547"/>
    <n v="37.5"/>
    <n v="39.375"/>
    <m/>
    <m/>
    <m/>
    <m/>
    <m/>
    <n v="5012"/>
    <n v="0"/>
    <n v="0"/>
    <n v="0"/>
    <n v="0"/>
    <n v="0"/>
    <n v="0"/>
    <n v="0"/>
    <n v="0"/>
    <n v="0"/>
    <n v="0"/>
    <n v="0"/>
  </r>
  <r>
    <x v="48"/>
    <s v="P0003"/>
    <x v="3"/>
    <x v="4"/>
    <s v="Implementación de los Módulos para la interconexión de los Radios - Tetra Server - BD PNP"/>
    <n v="36"/>
    <n v="160"/>
    <n v="0"/>
    <n v="0"/>
    <n v="0"/>
    <n v="0"/>
    <n v="0"/>
    <n v="0"/>
    <n v="0"/>
    <n v="0"/>
    <n v="0"/>
    <n v="0"/>
    <n v="35.799999999999997"/>
    <n v="39.375"/>
    <n v="34.239130434782609"/>
    <n v="43.75"/>
    <n v="35.795454545454547"/>
    <n v="37.5"/>
    <n v="39.375"/>
    <m/>
    <m/>
    <m/>
    <m/>
    <m/>
    <n v="1288.8"/>
    <n v="6300"/>
    <n v="0"/>
    <n v="0"/>
    <n v="0"/>
    <n v="0"/>
    <n v="0"/>
    <n v="0"/>
    <n v="0"/>
    <n v="0"/>
    <n v="0"/>
    <n v="0"/>
  </r>
  <r>
    <x v="48"/>
    <s v="P0018"/>
    <x v="18"/>
    <x v="21"/>
    <s v="Palabritas"/>
    <n v="0"/>
    <n v="0"/>
    <n v="184"/>
    <n v="132"/>
    <n v="132"/>
    <n v="104"/>
    <n v="0"/>
    <n v="0"/>
    <n v="0"/>
    <n v="0"/>
    <n v="0"/>
    <n v="0"/>
    <n v="35.799999999999997"/>
    <n v="39.375"/>
    <n v="34.239130434782609"/>
    <n v="43.75"/>
    <n v="35.795454545454547"/>
    <n v="37.5"/>
    <n v="39.375"/>
    <m/>
    <m/>
    <m/>
    <m/>
    <m/>
    <n v="0"/>
    <n v="0"/>
    <n v="6300"/>
    <n v="5775"/>
    <n v="4725"/>
    <n v="3900"/>
    <n v="0"/>
    <n v="0"/>
    <n v="0"/>
    <n v="0"/>
    <n v="0"/>
    <n v="0"/>
  </r>
  <r>
    <x v="48"/>
    <s v="P0009"/>
    <x v="1"/>
    <x v="22"/>
    <s v="Aplicativo SUSALUD contigo IOS"/>
    <n v="0"/>
    <n v="0"/>
    <n v="0"/>
    <n v="0"/>
    <n v="4"/>
    <n v="0"/>
    <n v="0"/>
    <n v="0"/>
    <n v="0"/>
    <n v="0"/>
    <n v="0"/>
    <n v="0"/>
    <n v="35.799999999999997"/>
    <n v="39.375"/>
    <n v="34.239130434782609"/>
    <n v="43.75"/>
    <n v="35.795454545454547"/>
    <n v="37.5"/>
    <n v="39.375"/>
    <m/>
    <m/>
    <m/>
    <m/>
    <m/>
    <n v="0"/>
    <n v="0"/>
    <n v="0"/>
    <n v="0"/>
    <n v="143.18181818181819"/>
    <n v="0"/>
    <n v="0"/>
    <n v="0"/>
    <n v="0"/>
    <n v="0"/>
    <n v="0"/>
    <n v="0"/>
  </r>
  <r>
    <x v="48"/>
    <s v="P0013"/>
    <x v="11"/>
    <x v="14"/>
    <s v="Reportes SBS"/>
    <n v="0"/>
    <n v="0"/>
    <n v="0"/>
    <n v="0"/>
    <n v="0"/>
    <n v="16"/>
    <n v="0"/>
    <n v="0"/>
    <n v="0"/>
    <n v="0"/>
    <n v="0"/>
    <n v="0"/>
    <n v="35.799999999999997"/>
    <n v="39.375"/>
    <n v="34.239130434782609"/>
    <n v="43.75"/>
    <n v="35.795454545454547"/>
    <n v="37.5"/>
    <n v="39.375"/>
    <m/>
    <m/>
    <m/>
    <m/>
    <m/>
    <n v="0"/>
    <n v="0"/>
    <n v="0"/>
    <n v="0"/>
    <n v="0"/>
    <n v="600"/>
    <n v="0"/>
    <n v="0"/>
    <n v="0"/>
    <n v="0"/>
    <n v="0"/>
    <n v="0"/>
  </r>
  <r>
    <x v="48"/>
    <s v="P0023"/>
    <x v="19"/>
    <x v="23"/>
    <s v=" 8 Aplicaciones Móviles Universidades"/>
    <n v="0"/>
    <n v="0"/>
    <n v="0"/>
    <n v="0"/>
    <n v="0"/>
    <n v="40"/>
    <n v="75"/>
    <n v="0"/>
    <n v="0"/>
    <n v="0"/>
    <n v="0"/>
    <n v="0"/>
    <n v="35.799999999999997"/>
    <n v="39.375"/>
    <n v="34.239130434782609"/>
    <n v="43.75"/>
    <n v="35.795454545454547"/>
    <n v="37.5"/>
    <n v="39.375"/>
    <m/>
    <m/>
    <m/>
    <m/>
    <m/>
    <n v="0"/>
    <n v="0"/>
    <n v="0"/>
    <n v="0"/>
    <n v="0"/>
    <n v="1500"/>
    <n v="2953.125"/>
    <n v="0"/>
    <n v="0"/>
    <n v="0"/>
    <n v="0"/>
    <n v="0"/>
  </r>
  <r>
    <x v="48"/>
    <s v="NO FACT."/>
    <x v="8"/>
    <x v="10"/>
    <s v="No facturable"/>
    <n v="0"/>
    <n v="0"/>
    <n v="0"/>
    <n v="0"/>
    <n v="40"/>
    <n v="0"/>
    <n v="45"/>
    <n v="24"/>
    <n v="0"/>
    <n v="0"/>
    <n v="0"/>
    <n v="0"/>
    <n v="35.799999999999997"/>
    <n v="39.375"/>
    <n v="34.239130434782609"/>
    <n v="43.75"/>
    <n v="35.795454545454547"/>
    <n v="37.5"/>
    <n v="39.375"/>
    <m/>
    <m/>
    <m/>
    <m/>
    <m/>
    <n v="0"/>
    <n v="0"/>
    <n v="0"/>
    <n v="0"/>
    <n v="1431.818181818182"/>
    <n v="0"/>
    <n v="1771.875"/>
    <n v="0"/>
    <n v="0"/>
    <n v="0"/>
    <n v="0"/>
    <n v="0"/>
  </r>
  <r>
    <x v="48"/>
    <s v="VACACIONES"/>
    <x v="10"/>
    <x v="13"/>
    <s v="Vacaciones"/>
    <n v="0"/>
    <n v="0"/>
    <n v="0"/>
    <n v="0"/>
    <n v="0"/>
    <n v="0"/>
    <n v="32"/>
    <n v="0"/>
    <n v="0"/>
    <n v="0"/>
    <n v="0"/>
    <n v="0"/>
    <n v="35.799999999999997"/>
    <n v="39.375"/>
    <n v="34.239130434782609"/>
    <n v="43.75"/>
    <n v="35.795454545454547"/>
    <n v="37.5"/>
    <n v="39.375"/>
    <m/>
    <m/>
    <m/>
    <m/>
    <m/>
    <n v="0"/>
    <n v="0"/>
    <n v="0"/>
    <n v="0"/>
    <n v="0"/>
    <n v="0"/>
    <n v="1260"/>
    <n v="0"/>
    <n v="0"/>
    <n v="0"/>
    <n v="0"/>
    <n v="0"/>
  </r>
  <r>
    <x v="48"/>
    <s v="PROPUESTA"/>
    <x v="6"/>
    <x v="8"/>
    <s v="Propuesta"/>
    <n v="0"/>
    <n v="0"/>
    <n v="0"/>
    <n v="12"/>
    <n v="0"/>
    <n v="0"/>
    <n v="0"/>
    <n v="0"/>
    <n v="0"/>
    <n v="0"/>
    <n v="0"/>
    <n v="0"/>
    <n v="35.799999999999997"/>
    <n v="39.375"/>
    <n v="34.239130434782609"/>
    <n v="43.75"/>
    <n v="35.795454545454547"/>
    <n v="37.5"/>
    <n v="39.375"/>
    <m/>
    <m/>
    <m/>
    <m/>
    <m/>
    <n v="0"/>
    <n v="0"/>
    <n v="0"/>
    <n v="525"/>
    <n v="0"/>
    <n v="0"/>
    <n v="0"/>
    <n v="0"/>
    <n v="0"/>
    <n v="0"/>
    <n v="0"/>
    <n v="0"/>
  </r>
  <r>
    <x v="48"/>
    <s v="INASISTENCIAS"/>
    <x v="7"/>
    <x v="9"/>
    <s v="Inasistencias"/>
    <n v="0"/>
    <n v="0"/>
    <n v="0"/>
    <n v="0"/>
    <n v="0"/>
    <n v="8"/>
    <n v="8"/>
    <n v="8"/>
    <n v="0"/>
    <n v="0"/>
    <n v="0"/>
    <n v="0"/>
    <n v="35.799999999999997"/>
    <n v="39.375"/>
    <n v="34.239130434782609"/>
    <n v="43.75"/>
    <n v="35.795454545454547"/>
    <n v="37.5"/>
    <n v="39.375"/>
    <m/>
    <m/>
    <m/>
    <m/>
    <m/>
    <n v="0"/>
    <n v="0"/>
    <n v="0"/>
    <n v="0"/>
    <n v="0"/>
    <n v="300"/>
    <n v="315"/>
    <n v="0"/>
    <n v="0"/>
    <n v="0"/>
    <n v="0"/>
    <n v="0"/>
  </r>
  <r>
    <x v="49"/>
    <s v="NO FACT."/>
    <x v="8"/>
    <x v="10"/>
    <s v="No facturable"/>
    <n v="0"/>
    <n v="0"/>
    <n v="0"/>
    <n v="0"/>
    <n v="0"/>
    <n v="0"/>
    <n v="45"/>
    <n v="24"/>
    <n v="0"/>
    <n v="0"/>
    <n v="0"/>
    <n v="0"/>
    <n v="38.07"/>
    <n v="41.875"/>
    <n v="36.413043478260867"/>
    <n v="46.527777777777779"/>
    <n v="38.06818181818182"/>
    <n v="39.88095238095238"/>
    <n v="41.875"/>
    <m/>
    <m/>
    <m/>
    <m/>
    <m/>
    <n v="0"/>
    <n v="0"/>
    <n v="0"/>
    <n v="0"/>
    <n v="0"/>
    <n v="0"/>
    <n v="1884.375"/>
    <n v="0"/>
    <n v="0"/>
    <n v="0"/>
    <n v="0"/>
    <n v="0"/>
  </r>
  <r>
    <x v="49"/>
    <s v="P0002"/>
    <x v="3"/>
    <x v="3"/>
    <s v="Implementación del Módulo Básico de Interconexión Radios - Tetra Server - BD PNP"/>
    <n v="140"/>
    <n v="0"/>
    <n v="0"/>
    <n v="0"/>
    <n v="0"/>
    <n v="0"/>
    <n v="0"/>
    <n v="0"/>
    <n v="0"/>
    <n v="0"/>
    <n v="0"/>
    <n v="0"/>
    <n v="38.07"/>
    <n v="41.875"/>
    <n v="36.413043478260867"/>
    <n v="46.527777777777779"/>
    <n v="38.06818181818182"/>
    <n v="39.88095238095238"/>
    <n v="41.875"/>
    <m/>
    <m/>
    <m/>
    <m/>
    <m/>
    <n v="5329.8"/>
    <n v="0"/>
    <n v="0"/>
    <n v="0"/>
    <n v="0"/>
    <n v="0"/>
    <n v="0"/>
    <n v="0"/>
    <n v="0"/>
    <n v="0"/>
    <n v="0"/>
    <n v="0"/>
  </r>
  <r>
    <x v="49"/>
    <s v="P0003"/>
    <x v="3"/>
    <x v="4"/>
    <s v="Implementación de los Módulos para la interconexión de los Radios - Tetra Server - BD PNP"/>
    <n v="36"/>
    <n v="160"/>
    <n v="0"/>
    <n v="0"/>
    <n v="0"/>
    <n v="0"/>
    <n v="0"/>
    <n v="0"/>
    <n v="0"/>
    <n v="0"/>
    <n v="0"/>
    <n v="0"/>
    <n v="38.07"/>
    <n v="41.875"/>
    <n v="36.413043478260867"/>
    <n v="46.527777777777779"/>
    <n v="38.06818181818182"/>
    <n v="39.88095238095238"/>
    <n v="41.875"/>
    <m/>
    <m/>
    <m/>
    <m/>
    <m/>
    <n v="1370.52"/>
    <n v="6700"/>
    <n v="0"/>
    <n v="0"/>
    <n v="0"/>
    <n v="0"/>
    <n v="0"/>
    <n v="0"/>
    <n v="0"/>
    <n v="0"/>
    <n v="0"/>
    <n v="0"/>
  </r>
  <r>
    <x v="49"/>
    <s v="P0009"/>
    <x v="1"/>
    <x v="22"/>
    <s v="Aplicativo SUSALUD contigo IOS"/>
    <n v="0"/>
    <n v="0"/>
    <n v="0"/>
    <n v="12"/>
    <n v="12"/>
    <n v="50"/>
    <n v="0"/>
    <n v="0"/>
    <n v="0"/>
    <n v="0"/>
    <n v="0"/>
    <n v="0"/>
    <n v="38.07"/>
    <n v="41.875"/>
    <n v="36.413043478260867"/>
    <n v="46.527777777777779"/>
    <n v="38.06818181818182"/>
    <n v="39.88095238095238"/>
    <n v="41.875"/>
    <m/>
    <m/>
    <m/>
    <m/>
    <m/>
    <n v="0"/>
    <n v="0"/>
    <n v="0"/>
    <n v="558.33333333333337"/>
    <n v="456.81818181818187"/>
    <n v="1994.047619047619"/>
    <n v="0"/>
    <n v="0"/>
    <n v="0"/>
    <n v="0"/>
    <n v="0"/>
    <n v="0"/>
  </r>
  <r>
    <x v="49"/>
    <s v="P0018"/>
    <x v="18"/>
    <x v="21"/>
    <s v="Palabritas"/>
    <n v="0"/>
    <n v="0"/>
    <n v="184"/>
    <n v="92"/>
    <n v="133"/>
    <n v="48"/>
    <n v="16"/>
    <n v="0"/>
    <n v="0"/>
    <n v="0"/>
    <n v="0"/>
    <n v="0"/>
    <n v="38.07"/>
    <n v="41.875"/>
    <n v="36.413043478260867"/>
    <n v="46.527777777777779"/>
    <n v="38.06818181818182"/>
    <n v="39.88095238095238"/>
    <n v="41.875"/>
    <m/>
    <m/>
    <m/>
    <m/>
    <m/>
    <n v="0"/>
    <n v="0"/>
    <n v="6700"/>
    <n v="4280.5555555555557"/>
    <n v="5063.068181818182"/>
    <n v="1914.2857142857142"/>
    <n v="670"/>
    <n v="0"/>
    <n v="0"/>
    <n v="0"/>
    <n v="0"/>
    <n v="0"/>
  </r>
  <r>
    <x v="49"/>
    <s v="P0013"/>
    <x v="11"/>
    <x v="14"/>
    <s v="Reportes SBS"/>
    <n v="0"/>
    <n v="0"/>
    <n v="0"/>
    <n v="0"/>
    <n v="0"/>
    <n v="16"/>
    <n v="0"/>
    <n v="0"/>
    <n v="0"/>
    <n v="0"/>
    <n v="0"/>
    <n v="0"/>
    <n v="38.07"/>
    <n v="41.875"/>
    <n v="36.413043478260867"/>
    <n v="46.527777777777779"/>
    <n v="38.06818181818182"/>
    <n v="39.88095238095238"/>
    <n v="41.875"/>
    <m/>
    <m/>
    <m/>
    <m/>
    <m/>
    <n v="0"/>
    <n v="0"/>
    <n v="0"/>
    <n v="0"/>
    <n v="0"/>
    <n v="638.09523809523807"/>
    <n v="0"/>
    <n v="0"/>
    <n v="0"/>
    <n v="0"/>
    <n v="0"/>
    <n v="0"/>
  </r>
  <r>
    <x v="49"/>
    <s v="P0023"/>
    <x v="19"/>
    <x v="23"/>
    <s v=" 8 Aplicaciones Móviles Universidades"/>
    <n v="0"/>
    <n v="0"/>
    <n v="0"/>
    <n v="0"/>
    <n v="0"/>
    <n v="46"/>
    <n v="83"/>
    <n v="8"/>
    <n v="0"/>
    <n v="0"/>
    <n v="0"/>
    <n v="0"/>
    <n v="38.07"/>
    <n v="41.875"/>
    <n v="36.413043478260867"/>
    <n v="46.527777777777779"/>
    <n v="38.06818181818182"/>
    <n v="39.88095238095238"/>
    <n v="41.875"/>
    <m/>
    <m/>
    <m/>
    <m/>
    <m/>
    <n v="0"/>
    <n v="0"/>
    <n v="0"/>
    <n v="0"/>
    <n v="0"/>
    <n v="1834.5238095238094"/>
    <n v="3475.625"/>
    <n v="0"/>
    <n v="0"/>
    <n v="0"/>
    <n v="0"/>
    <n v="0"/>
  </r>
  <r>
    <x v="49"/>
    <s v="VACACIONES"/>
    <x v="10"/>
    <x v="13"/>
    <s v="Vacaciones"/>
    <n v="0"/>
    <n v="0"/>
    <n v="0"/>
    <n v="0"/>
    <n v="0"/>
    <n v="0"/>
    <n v="8"/>
    <n v="0"/>
    <n v="0"/>
    <n v="0"/>
    <n v="0"/>
    <n v="0"/>
    <n v="38.07"/>
    <n v="41.875"/>
    <n v="36.413043478260867"/>
    <n v="46.527777777777779"/>
    <n v="38.06818181818182"/>
    <n v="39.88095238095238"/>
    <n v="41.875"/>
    <m/>
    <m/>
    <m/>
    <m/>
    <m/>
    <n v="0"/>
    <n v="0"/>
    <n v="0"/>
    <n v="0"/>
    <n v="0"/>
    <n v="0"/>
    <n v="335"/>
    <n v="0"/>
    <n v="0"/>
    <n v="0"/>
    <n v="0"/>
    <n v="0"/>
  </r>
  <r>
    <x v="49"/>
    <s v="PROPUESTA"/>
    <x v="6"/>
    <x v="8"/>
    <s v="Propuesta"/>
    <n v="0"/>
    <n v="0"/>
    <n v="0"/>
    <n v="40"/>
    <n v="31"/>
    <n v="8"/>
    <n v="8"/>
    <n v="0"/>
    <n v="0"/>
    <n v="0"/>
    <n v="0"/>
    <n v="0"/>
    <n v="38.07"/>
    <n v="41.875"/>
    <n v="36.413043478260867"/>
    <n v="46.527777777777779"/>
    <n v="38.06818181818182"/>
    <n v="39.88095238095238"/>
    <n v="41.875"/>
    <m/>
    <m/>
    <m/>
    <m/>
    <m/>
    <n v="0"/>
    <n v="0"/>
    <n v="0"/>
    <n v="1861.1111111111111"/>
    <n v="1180.1136363636365"/>
    <n v="319.04761904761904"/>
    <n v="335"/>
    <n v="0"/>
    <n v="0"/>
    <n v="0"/>
    <n v="0"/>
    <n v="0"/>
  </r>
  <r>
    <x v="50"/>
    <s v="MP004"/>
    <x v="9"/>
    <x v="12"/>
    <s v="Software Factory"/>
    <n v="168"/>
    <n v="160"/>
    <n v="184"/>
    <n v="144"/>
    <n v="0"/>
    <n v="0"/>
    <n v="0"/>
    <n v="0"/>
    <n v="0"/>
    <n v="0"/>
    <n v="0"/>
    <n v="0"/>
    <n v="34.090000000000003"/>
    <n v="37.5"/>
    <n v="32.608695652173914"/>
    <n v="41.666666666666664"/>
    <n v="0"/>
    <n v="0"/>
    <n v="0"/>
    <m/>
    <m/>
    <m/>
    <m/>
    <m/>
    <n v="5727.1200000000008"/>
    <n v="6000"/>
    <n v="6000"/>
    <n v="6000"/>
    <n v="0"/>
    <n v="0"/>
    <n v="0"/>
    <n v="0"/>
    <n v="0"/>
    <n v="0"/>
    <n v="0"/>
    <n v="0"/>
  </r>
  <r>
    <x v="50"/>
    <s v="INASISTENCIAS"/>
    <x v="7"/>
    <x v="9"/>
    <s v="Inasistencias"/>
    <n v="8"/>
    <n v="0"/>
    <n v="0"/>
    <n v="0"/>
    <n v="0"/>
    <n v="0"/>
    <n v="0"/>
    <n v="0"/>
    <n v="0"/>
    <n v="0"/>
    <n v="0"/>
    <n v="0"/>
    <n v="34.090000000000003"/>
    <n v="37.5"/>
    <n v="32.608695652173914"/>
    <n v="41.666666666666664"/>
    <n v="0"/>
    <n v="0"/>
    <n v="0"/>
    <m/>
    <m/>
    <m/>
    <m/>
    <m/>
    <n v="272.72000000000003"/>
    <n v="0"/>
    <n v="0"/>
    <n v="0"/>
    <n v="0"/>
    <n v="0"/>
    <n v="0"/>
    <n v="0"/>
    <n v="0"/>
    <n v="0"/>
    <n v="0"/>
    <n v="0"/>
  </r>
  <r>
    <x v="51"/>
    <s v="P0020"/>
    <x v="4"/>
    <x v="6"/>
    <s v="Fabrica de Software"/>
    <n v="176"/>
    <n v="0"/>
    <n v="0"/>
    <n v="0"/>
    <n v="0"/>
    <n v="0"/>
    <n v="0"/>
    <n v="0"/>
    <n v="0"/>
    <n v="0"/>
    <n v="0"/>
    <n v="0"/>
    <n v="26.2"/>
    <n v="30.315625000000001"/>
    <n v="26.361413043478262"/>
    <n v="33.684027777777779"/>
    <n v="27.55965909090909"/>
    <n v="28.87202380952381"/>
    <n v="0"/>
    <m/>
    <m/>
    <m/>
    <m/>
    <m/>
    <n v="4611.2"/>
    <n v="0"/>
    <n v="0"/>
    <n v="0"/>
    <n v="0"/>
    <n v="0"/>
    <n v="0"/>
    <n v="0"/>
    <n v="0"/>
    <n v="0"/>
    <n v="0"/>
    <n v="0"/>
  </r>
  <r>
    <x v="51"/>
    <s v="P0005"/>
    <x v="13"/>
    <x v="16"/>
    <s v="Implementación del Sistema de Certificados de Retenciones"/>
    <n v="0"/>
    <n v="160"/>
    <n v="184"/>
    <n v="112"/>
    <n v="96"/>
    <n v="0"/>
    <n v="0"/>
    <n v="0"/>
    <n v="0"/>
    <n v="0"/>
    <n v="0"/>
    <n v="0"/>
    <n v="26.2"/>
    <n v="30.315625000000001"/>
    <n v="26.361413043478262"/>
    <n v="33.684027777777779"/>
    <n v="27.55965909090909"/>
    <n v="28.87202380952381"/>
    <n v="0"/>
    <m/>
    <m/>
    <m/>
    <m/>
    <m/>
    <n v="0"/>
    <n v="4850.5"/>
    <n v="4850.5"/>
    <n v="3772.6111111111113"/>
    <n v="2645.7272727272725"/>
    <n v="0"/>
    <n v="0"/>
    <n v="0"/>
    <n v="0"/>
    <n v="0"/>
    <n v="0"/>
    <n v="0"/>
  </r>
  <r>
    <x v="51"/>
    <s v="MP004"/>
    <x v="9"/>
    <x v="12"/>
    <s v="Software Factory"/>
    <n v="0"/>
    <n v="0"/>
    <n v="0"/>
    <n v="0"/>
    <n v="64"/>
    <n v="16"/>
    <n v="0"/>
    <n v="0"/>
    <n v="0"/>
    <n v="0"/>
    <n v="0"/>
    <n v="0"/>
    <n v="26.2"/>
    <n v="30.315625000000001"/>
    <n v="26.361413043478262"/>
    <n v="33.684027777777779"/>
    <n v="27.55965909090909"/>
    <n v="28.87202380952381"/>
    <n v="0"/>
    <m/>
    <m/>
    <m/>
    <m/>
    <m/>
    <n v="0"/>
    <n v="0"/>
    <n v="0"/>
    <n v="0"/>
    <n v="1763.8181818181818"/>
    <n v="461.95238095238096"/>
    <n v="0"/>
    <n v="0"/>
    <n v="0"/>
    <n v="0"/>
    <n v="0"/>
    <n v="0"/>
  </r>
  <r>
    <x v="51"/>
    <s v="NO FACT."/>
    <x v="8"/>
    <x v="10"/>
    <s v="No facturable"/>
    <n v="0"/>
    <n v="0"/>
    <n v="0"/>
    <n v="32"/>
    <n v="16"/>
    <n v="0"/>
    <n v="0"/>
    <n v="0"/>
    <n v="0"/>
    <n v="0"/>
    <n v="0"/>
    <n v="0"/>
    <n v="26.2"/>
    <n v="30.315625000000001"/>
    <n v="26.361413043478262"/>
    <n v="33.684027777777779"/>
    <n v="27.55965909090909"/>
    <n v="28.87202380952381"/>
    <n v="0"/>
    <m/>
    <m/>
    <m/>
    <m/>
    <m/>
    <n v="0"/>
    <n v="0"/>
    <n v="0"/>
    <n v="1077.8888888888889"/>
    <n v="440.95454545454544"/>
    <n v="0"/>
    <n v="0"/>
    <n v="0"/>
    <n v="0"/>
    <n v="0"/>
    <n v="0"/>
    <n v="0"/>
  </r>
  <r>
    <x v="52"/>
    <s v="P0022"/>
    <x v="14"/>
    <x v="32"/>
    <s v="Adecuacion SISWEP-Cargas Masivas"/>
    <n v="0"/>
    <n v="0"/>
    <n v="0"/>
    <n v="0"/>
    <n v="0"/>
    <n v="112"/>
    <n v="160"/>
    <n v="32"/>
    <n v="0"/>
    <n v="0"/>
    <n v="0"/>
    <n v="0"/>
    <n v="0"/>
    <n v="0"/>
    <n v="0"/>
    <n v="0"/>
    <n v="0"/>
    <n v="35.714285714285715"/>
    <n v="37.5"/>
    <m/>
    <m/>
    <m/>
    <m/>
    <m/>
    <n v="0"/>
    <n v="0"/>
    <n v="0"/>
    <n v="0"/>
    <n v="0"/>
    <n v="4000"/>
    <n v="6000"/>
    <n v="0"/>
    <n v="0"/>
    <n v="0"/>
    <n v="0"/>
    <n v="0"/>
  </r>
  <r>
    <x v="52"/>
    <s v="NO FACT."/>
    <x v="8"/>
    <x v="10"/>
    <s v="No facturable"/>
    <n v="0"/>
    <n v="0"/>
    <n v="0"/>
    <n v="0"/>
    <n v="0"/>
    <n v="0"/>
    <n v="0"/>
    <n v="0"/>
    <n v="0"/>
    <n v="0"/>
    <n v="0"/>
    <n v="0"/>
    <n v="0"/>
    <n v="0"/>
    <n v="0"/>
    <n v="0"/>
    <n v="0"/>
    <n v="35.714285714285715"/>
    <n v="37.5"/>
    <m/>
    <m/>
    <m/>
    <m/>
    <m/>
    <n v="0"/>
    <n v="0"/>
    <n v="0"/>
    <n v="0"/>
    <n v="0"/>
    <n v="0"/>
    <n v="0"/>
    <n v="0"/>
    <n v="0"/>
    <n v="0"/>
    <n v="0"/>
    <n v="0"/>
  </r>
  <r>
    <x v="52"/>
    <s v="P0027"/>
    <x v="14"/>
    <x v="24"/>
    <s v="Implementacion del Sistema BackOffice SOAT"/>
    <n v="0"/>
    <n v="0"/>
    <n v="0"/>
    <n v="0"/>
    <n v="0"/>
    <n v="0"/>
    <n v="0"/>
    <n v="0"/>
    <n v="0"/>
    <n v="0"/>
    <n v="0"/>
    <n v="0"/>
    <n v="0"/>
    <n v="0"/>
    <n v="0"/>
    <n v="0"/>
    <n v="0"/>
    <n v="35.714285714285715"/>
    <n v="37.5"/>
    <m/>
    <m/>
    <m/>
    <m/>
    <m/>
    <n v="0"/>
    <n v="0"/>
    <n v="0"/>
    <n v="0"/>
    <n v="0"/>
    <n v="0"/>
    <n v="0"/>
    <n v="0"/>
    <n v="0"/>
    <n v="0"/>
    <n v="0"/>
    <n v="0"/>
  </r>
  <r>
    <x v="53"/>
    <s v="P0013"/>
    <x v="11"/>
    <x v="14"/>
    <s v="Reportes SBS"/>
    <n v="0"/>
    <n v="0"/>
    <n v="0"/>
    <n v="0"/>
    <n v="0"/>
    <n v="120"/>
    <n v="0"/>
    <n v="0"/>
    <n v="0"/>
    <n v="0"/>
    <n v="0"/>
    <n v="0"/>
    <n v="0"/>
    <n v="0"/>
    <n v="0"/>
    <n v="0"/>
    <n v="0"/>
    <n v="0"/>
    <n v="0"/>
    <m/>
    <m/>
    <m/>
    <m/>
    <m/>
    <n v="0"/>
    <n v="0"/>
    <n v="0"/>
    <n v="0"/>
    <n v="0"/>
    <n v="0"/>
    <n v="0"/>
    <n v="0"/>
    <n v="0"/>
    <n v="0"/>
    <n v="0"/>
    <n v="0"/>
  </r>
  <r>
    <x v="54"/>
    <s v="NO FACT."/>
    <x v="8"/>
    <x v="10"/>
    <s v="No facturable"/>
    <n v="0"/>
    <n v="0"/>
    <n v="0"/>
    <n v="0"/>
    <n v="0"/>
    <n v="0"/>
    <n v="1"/>
    <n v="13"/>
    <n v="0"/>
    <n v="0"/>
    <n v="0"/>
    <n v="0"/>
    <n v="0"/>
    <n v="0"/>
    <n v="0"/>
    <n v="0"/>
    <n v="0"/>
    <n v="0"/>
    <n v="43.75"/>
    <m/>
    <m/>
    <m/>
    <m/>
    <m/>
    <n v="0"/>
    <n v="0"/>
    <n v="0"/>
    <n v="0"/>
    <n v="0"/>
    <n v="0"/>
    <n v="43.75"/>
    <n v="0"/>
    <n v="0"/>
    <n v="0"/>
    <n v="0"/>
    <n v="0"/>
  </r>
  <r>
    <x v="54"/>
    <s v="P0033"/>
    <x v="14"/>
    <x v="33"/>
    <s v="Mejoras Sistema V-Time"/>
    <n v="0"/>
    <n v="0"/>
    <n v="0"/>
    <n v="0"/>
    <n v="0"/>
    <n v="0"/>
    <n v="2"/>
    <n v="9"/>
    <n v="0"/>
    <n v="0"/>
    <n v="0"/>
    <n v="0"/>
    <n v="0"/>
    <n v="0"/>
    <n v="0"/>
    <n v="0"/>
    <n v="0"/>
    <n v="0"/>
    <n v="43.75"/>
    <m/>
    <m/>
    <m/>
    <m/>
    <m/>
    <n v="0"/>
    <n v="0"/>
    <n v="0"/>
    <n v="0"/>
    <n v="0"/>
    <n v="0"/>
    <n v="87.5"/>
    <n v="0"/>
    <n v="0"/>
    <n v="0"/>
    <n v="0"/>
    <n v="0"/>
  </r>
  <r>
    <x v="54"/>
    <s v="P0027"/>
    <x v="14"/>
    <x v="24"/>
    <s v="Implementacion del Sistema BackOffice SOAT"/>
    <n v="0"/>
    <n v="0"/>
    <n v="0"/>
    <n v="0"/>
    <n v="0"/>
    <n v="0"/>
    <n v="37"/>
    <n v="10"/>
    <n v="0"/>
    <n v="0"/>
    <n v="0"/>
    <n v="0"/>
    <n v="0"/>
    <n v="0"/>
    <n v="0"/>
    <n v="0"/>
    <n v="0"/>
    <n v="0"/>
    <n v="43.75"/>
    <m/>
    <m/>
    <m/>
    <m/>
    <m/>
    <n v="0"/>
    <n v="0"/>
    <n v="0"/>
    <n v="0"/>
    <n v="0"/>
    <n v="0"/>
    <n v="1618.75"/>
    <n v="0"/>
    <n v="0"/>
    <n v="0"/>
    <n v="0"/>
    <n v="0"/>
  </r>
  <r>
    <x v="55"/>
    <s v="MP001"/>
    <x v="12"/>
    <x v="15"/>
    <s v="Analista Programador Java Python"/>
    <n v="0"/>
    <n v="0"/>
    <n v="0"/>
    <n v="0"/>
    <n v="0"/>
    <n v="0"/>
    <n v="8"/>
    <n v="32"/>
    <n v="0"/>
    <n v="0"/>
    <n v="0"/>
    <n v="0"/>
    <n v="0"/>
    <n v="0"/>
    <n v="0"/>
    <n v="0"/>
    <n v="0"/>
    <n v="0"/>
    <n v="43.75"/>
    <m/>
    <m/>
    <m/>
    <m/>
    <m/>
    <n v="0"/>
    <n v="0"/>
    <n v="0"/>
    <n v="0"/>
    <n v="0"/>
    <n v="0"/>
    <n v="350"/>
    <n v="0"/>
    <n v="0"/>
    <n v="0"/>
    <n v="0"/>
    <n v="0"/>
  </r>
  <r>
    <x v="56"/>
    <s v="MP004"/>
    <x v="9"/>
    <x v="12"/>
    <s v="Software Factory"/>
    <n v="176"/>
    <n v="0"/>
    <n v="0"/>
    <n v="0"/>
    <n v="0"/>
    <n v="0"/>
    <n v="0"/>
    <n v="0"/>
    <n v="0"/>
    <n v="0"/>
    <n v="0"/>
    <n v="0"/>
    <n v="22.16"/>
    <n v="24.375"/>
    <n v="21.195652173913043"/>
    <n v="0"/>
    <n v="0"/>
    <n v="0"/>
    <n v="0"/>
    <m/>
    <m/>
    <m/>
    <m/>
    <m/>
    <n v="3900.16"/>
    <n v="0"/>
    <n v="0"/>
    <n v="0"/>
    <n v="0"/>
    <n v="0"/>
    <n v="0"/>
    <n v="0"/>
    <n v="0"/>
    <n v="0"/>
    <n v="0"/>
    <n v="0"/>
  </r>
  <r>
    <x v="56"/>
    <s v="P0020"/>
    <x v="4"/>
    <x v="6"/>
    <s v="Fabrica de Software"/>
    <n v="0"/>
    <n v="160"/>
    <n v="0"/>
    <n v="0"/>
    <n v="0"/>
    <n v="0"/>
    <n v="0"/>
    <n v="0"/>
    <n v="0"/>
    <n v="0"/>
    <n v="0"/>
    <n v="0"/>
    <n v="22.16"/>
    <n v="24.375"/>
    <n v="21.195652173913043"/>
    <n v="0"/>
    <n v="0"/>
    <n v="0"/>
    <n v="0"/>
    <m/>
    <m/>
    <m/>
    <m/>
    <m/>
    <n v="0"/>
    <n v="3900"/>
    <n v="0"/>
    <n v="0"/>
    <n v="0"/>
    <n v="0"/>
    <n v="0"/>
    <n v="0"/>
    <n v="0"/>
    <n v="0"/>
    <n v="0"/>
    <n v="0"/>
  </r>
  <r>
    <x v="56"/>
    <s v="NO FACT."/>
    <x v="8"/>
    <x v="10"/>
    <s v="No facturable"/>
    <n v="0"/>
    <n v="0"/>
    <n v="184"/>
    <n v="0"/>
    <n v="0"/>
    <n v="0"/>
    <n v="0"/>
    <n v="0"/>
    <n v="0"/>
    <n v="0"/>
    <n v="0"/>
    <n v="0"/>
    <n v="22.16"/>
    <n v="24.375"/>
    <n v="21.195652173913043"/>
    <n v="0"/>
    <n v="0"/>
    <n v="0"/>
    <n v="0"/>
    <m/>
    <m/>
    <m/>
    <m/>
    <m/>
    <n v="0"/>
    <n v="0"/>
    <n v="3900"/>
    <n v="0"/>
    <n v="0"/>
    <n v="0"/>
    <n v="0"/>
    <n v="0"/>
    <n v="0"/>
    <n v="0"/>
    <n v="0"/>
    <n v="0"/>
  </r>
  <r>
    <x v="57"/>
    <s v="P0005"/>
    <x v="13"/>
    <x v="16"/>
    <s v="Implementación del Sistema de Certificados de Retenciones"/>
    <n v="0"/>
    <n v="0"/>
    <n v="176"/>
    <n v="0"/>
    <n v="0"/>
    <n v="0"/>
    <n v="80"/>
    <n v="0"/>
    <n v="0"/>
    <n v="0"/>
    <n v="0"/>
    <n v="0"/>
    <n v="42.61"/>
    <n v="46.875"/>
    <n v="32.5"/>
    <n v="41.527777777777779"/>
    <n v="33.977272727272727"/>
    <n v="35.595238095238095"/>
    <n v="37.375"/>
    <m/>
    <m/>
    <m/>
    <m/>
    <m/>
    <n v="0"/>
    <n v="0"/>
    <n v="5720"/>
    <n v="0"/>
    <n v="0"/>
    <n v="0"/>
    <n v="2990"/>
    <n v="0"/>
    <n v="0"/>
    <n v="0"/>
    <n v="0"/>
    <n v="0"/>
  </r>
  <r>
    <x v="57"/>
    <s v="P0011"/>
    <x v="11"/>
    <x v="28"/>
    <s v="outsourcing  de configuración de productos BBVA"/>
    <n v="80"/>
    <n v="0"/>
    <n v="0"/>
    <n v="0"/>
    <n v="0"/>
    <n v="0"/>
    <n v="0"/>
    <n v="0"/>
    <n v="0"/>
    <n v="0"/>
    <n v="0"/>
    <n v="0"/>
    <n v="42.61"/>
    <n v="46.875"/>
    <n v="32.5"/>
    <n v="41.527777777777779"/>
    <n v="33.977272727272727"/>
    <n v="35.595238095238095"/>
    <n v="37.375"/>
    <m/>
    <m/>
    <m/>
    <m/>
    <m/>
    <n v="3408.8"/>
    <n v="0"/>
    <n v="0"/>
    <n v="0"/>
    <n v="0"/>
    <n v="0"/>
    <n v="0"/>
    <n v="0"/>
    <n v="0"/>
    <n v="0"/>
    <n v="0"/>
    <n v="0"/>
  </r>
  <r>
    <x v="57"/>
    <s v="P0013"/>
    <x v="11"/>
    <x v="14"/>
    <s v="Reportes SBS"/>
    <n v="0"/>
    <n v="0"/>
    <n v="0"/>
    <n v="0"/>
    <n v="36"/>
    <n v="40"/>
    <n v="0"/>
    <n v="0"/>
    <n v="0"/>
    <n v="0"/>
    <n v="0"/>
    <n v="0"/>
    <n v="42.61"/>
    <n v="46.875"/>
    <n v="32.5"/>
    <n v="41.527777777777779"/>
    <n v="33.977272727272727"/>
    <n v="35.595238095238095"/>
    <n v="37.375"/>
    <m/>
    <m/>
    <m/>
    <m/>
    <m/>
    <n v="0"/>
    <n v="0"/>
    <n v="0"/>
    <n v="0"/>
    <n v="1223.1818181818182"/>
    <n v="1423.8095238095239"/>
    <n v="0"/>
    <n v="0"/>
    <n v="0"/>
    <n v="0"/>
    <n v="0"/>
    <n v="0"/>
  </r>
  <r>
    <x v="57"/>
    <s v="P0012"/>
    <x v="11"/>
    <x v="34"/>
    <s v="Configuración de productos PIMS"/>
    <n v="0"/>
    <n v="0"/>
    <n v="0"/>
    <n v="144"/>
    <n v="132"/>
    <n v="112"/>
    <n v="0"/>
    <n v="0"/>
    <n v="0"/>
    <n v="0"/>
    <n v="0"/>
    <n v="0"/>
    <n v="42.61"/>
    <n v="46.875"/>
    <n v="32.5"/>
    <n v="41.527777777777779"/>
    <n v="33.977272727272727"/>
    <n v="35.595238095238095"/>
    <n v="37.375"/>
    <m/>
    <m/>
    <m/>
    <m/>
    <m/>
    <n v="0"/>
    <n v="0"/>
    <n v="0"/>
    <n v="5980"/>
    <n v="4485"/>
    <n v="3986.6666666666665"/>
    <n v="0"/>
    <n v="0"/>
    <n v="0"/>
    <n v="0"/>
    <n v="0"/>
    <n v="0"/>
  </r>
  <r>
    <x v="57"/>
    <s v="P0002"/>
    <x v="3"/>
    <x v="3"/>
    <s v="Implementación del Módulo Básico de Interconexión Radios - Tetra Server - BD PNP"/>
    <n v="88"/>
    <n v="0"/>
    <n v="0"/>
    <n v="0"/>
    <n v="0"/>
    <n v="0"/>
    <n v="0"/>
    <n v="0"/>
    <n v="0"/>
    <n v="0"/>
    <n v="0"/>
    <n v="0"/>
    <n v="42.61"/>
    <n v="46.875"/>
    <n v="32.5"/>
    <n v="41.527777777777779"/>
    <n v="33.977272727272727"/>
    <n v="35.595238095238095"/>
    <n v="37.375"/>
    <m/>
    <m/>
    <m/>
    <m/>
    <m/>
    <n v="3749.68"/>
    <n v="0"/>
    <n v="0"/>
    <n v="0"/>
    <n v="0"/>
    <n v="0"/>
    <n v="0"/>
    <n v="0"/>
    <n v="0"/>
    <n v="0"/>
    <n v="0"/>
    <n v="0"/>
  </r>
  <r>
    <x v="57"/>
    <s v="P0032"/>
    <x v="11"/>
    <x v="35"/>
    <s v="Configuración de nuevos productos PIMS"/>
    <n v="0"/>
    <n v="0"/>
    <n v="0"/>
    <n v="0"/>
    <n v="0"/>
    <n v="0"/>
    <n v="40"/>
    <n v="32"/>
    <n v="0"/>
    <n v="0"/>
    <n v="0"/>
    <n v="0"/>
    <n v="42.61"/>
    <n v="46.875"/>
    <n v="32.5"/>
    <n v="41.527777777777779"/>
    <n v="33.977272727272727"/>
    <n v="35.595238095238095"/>
    <n v="37.375"/>
    <m/>
    <m/>
    <m/>
    <m/>
    <m/>
    <n v="0"/>
    <n v="0"/>
    <n v="0"/>
    <n v="0"/>
    <n v="0"/>
    <n v="0"/>
    <n v="1495"/>
    <n v="0"/>
    <n v="0"/>
    <n v="0"/>
    <n v="0"/>
    <n v="0"/>
  </r>
  <r>
    <x v="57"/>
    <s v="INASISTENCIAS"/>
    <x v="7"/>
    <x v="9"/>
    <s v="Inasistencias"/>
    <n v="0"/>
    <n v="0"/>
    <n v="0"/>
    <n v="0"/>
    <n v="0"/>
    <n v="0"/>
    <n v="32"/>
    <n v="0"/>
    <n v="0"/>
    <n v="0"/>
    <n v="0"/>
    <n v="0"/>
    <n v="42.61"/>
    <n v="46.875"/>
    <n v="32.5"/>
    <n v="41.527777777777779"/>
    <n v="33.977272727272727"/>
    <n v="35.595238095238095"/>
    <n v="37.375"/>
    <m/>
    <m/>
    <m/>
    <m/>
    <m/>
    <n v="0"/>
    <n v="0"/>
    <n v="0"/>
    <n v="0"/>
    <n v="0"/>
    <n v="0"/>
    <n v="1196"/>
    <n v="0"/>
    <n v="0"/>
    <n v="0"/>
    <n v="0"/>
    <n v="0"/>
  </r>
  <r>
    <x v="57"/>
    <s v="NO FACT."/>
    <x v="8"/>
    <x v="10"/>
    <s v="No facturable"/>
    <n v="8"/>
    <n v="160"/>
    <n v="8"/>
    <n v="0"/>
    <n v="8"/>
    <n v="16"/>
    <n v="8"/>
    <n v="0"/>
    <n v="0"/>
    <n v="0"/>
    <n v="0"/>
    <n v="0"/>
    <n v="42.61"/>
    <n v="46.875"/>
    <n v="32.5"/>
    <n v="41.527777777777779"/>
    <n v="33.977272727272727"/>
    <n v="35.595238095238095"/>
    <n v="37.375"/>
    <m/>
    <m/>
    <m/>
    <m/>
    <m/>
    <n v="340.88"/>
    <n v="7500"/>
    <n v="260"/>
    <n v="0"/>
    <n v="271.81818181818181"/>
    <n v="569.52380952380952"/>
    <n v="299"/>
    <n v="0"/>
    <n v="0"/>
    <n v="0"/>
    <n v="0"/>
    <n v="0"/>
  </r>
  <r>
    <x v="58"/>
    <s v="MP004"/>
    <x v="9"/>
    <x v="12"/>
    <s v="Software Factory"/>
    <n v="168"/>
    <n v="160"/>
    <n v="184"/>
    <n v="144"/>
    <n v="176"/>
    <n v="168"/>
    <n v="160"/>
    <n v="0"/>
    <n v="0"/>
    <n v="0"/>
    <n v="0"/>
    <n v="0"/>
    <n v="22.16"/>
    <n v="24.375"/>
    <n v="21.195652173913043"/>
    <n v="27.083333333333332"/>
    <n v="22.15909090909091"/>
    <n v="23.214285714285715"/>
    <n v="24.375"/>
    <m/>
    <m/>
    <m/>
    <m/>
    <m/>
    <n v="3722.88"/>
    <n v="3900"/>
    <n v="3900"/>
    <n v="3900"/>
    <n v="3900"/>
    <n v="3900"/>
    <n v="3900"/>
    <n v="0"/>
    <n v="0"/>
    <n v="0"/>
    <n v="0"/>
    <n v="0"/>
  </r>
  <r>
    <x v="58"/>
    <s v="INASISTENCIAS"/>
    <x v="7"/>
    <x v="9"/>
    <s v="Inasistencias"/>
    <n v="8"/>
    <n v="0"/>
    <n v="0"/>
    <n v="0"/>
    <n v="0"/>
    <n v="0"/>
    <n v="0"/>
    <n v="0"/>
    <n v="0"/>
    <n v="0"/>
    <n v="0"/>
    <n v="0"/>
    <n v="22.16"/>
    <n v="24.375"/>
    <n v="21.195652173913043"/>
    <n v="27.083333333333332"/>
    <n v="22.15909090909091"/>
    <n v="23.214285714285715"/>
    <n v="24.375"/>
    <m/>
    <m/>
    <m/>
    <m/>
    <m/>
    <n v="177.28"/>
    <n v="0"/>
    <n v="0"/>
    <n v="0"/>
    <n v="0"/>
    <n v="0"/>
    <n v="0"/>
    <n v="0"/>
    <n v="0"/>
    <n v="0"/>
    <n v="0"/>
    <n v="0"/>
  </r>
  <r>
    <x v="59"/>
    <s v="INASISTENCIAS"/>
    <x v="7"/>
    <x v="9"/>
    <s v="Inasistencias"/>
    <n v="8"/>
    <n v="0"/>
    <n v="0"/>
    <n v="0"/>
    <n v="0"/>
    <n v="0"/>
    <n v="0"/>
    <n v="0"/>
    <n v="0"/>
    <n v="0"/>
    <n v="0"/>
    <n v="0"/>
    <n v="46.88"/>
    <n v="0"/>
    <n v="0"/>
    <n v="0"/>
    <n v="0"/>
    <n v="0"/>
    <n v="0"/>
    <m/>
    <m/>
    <m/>
    <m/>
    <m/>
    <n v="375.04"/>
    <n v="0"/>
    <n v="0"/>
    <n v="0"/>
    <n v="0"/>
    <n v="0"/>
    <n v="0"/>
    <n v="0"/>
    <n v="0"/>
    <n v="0"/>
    <n v="0"/>
    <n v="0"/>
  </r>
  <r>
    <x v="59"/>
    <s v="MP004"/>
    <x v="9"/>
    <x v="12"/>
    <s v="Software Factory"/>
    <n v="168"/>
    <n v="0"/>
    <n v="0"/>
    <n v="0"/>
    <n v="0"/>
    <n v="0"/>
    <n v="0"/>
    <n v="0"/>
    <n v="0"/>
    <n v="0"/>
    <n v="0"/>
    <n v="0"/>
    <n v="46.88"/>
    <n v="0"/>
    <n v="0"/>
    <n v="0"/>
    <n v="0"/>
    <n v="0"/>
    <n v="0"/>
    <m/>
    <m/>
    <m/>
    <m/>
    <m/>
    <n v="7875.84"/>
    <n v="0"/>
    <n v="0"/>
    <n v="0"/>
    <n v="0"/>
    <n v="0"/>
    <n v="0"/>
    <n v="0"/>
    <n v="0"/>
    <n v="0"/>
    <n v="0"/>
    <n v="0"/>
  </r>
  <r>
    <x v="60"/>
    <s v="P0013"/>
    <x v="11"/>
    <x v="14"/>
    <s v="Reportes SBS"/>
    <n v="0"/>
    <n v="0"/>
    <n v="0"/>
    <n v="0"/>
    <n v="176"/>
    <n v="128"/>
    <n v="0"/>
    <n v="0"/>
    <n v="0"/>
    <n v="0"/>
    <n v="0"/>
    <n v="0"/>
    <n v="0"/>
    <n v="0"/>
    <n v="0"/>
    <n v="0"/>
    <n v="34.090909090909093"/>
    <n v="35.714285714285715"/>
    <n v="0"/>
    <m/>
    <m/>
    <m/>
    <m/>
    <m/>
    <n v="0"/>
    <n v="0"/>
    <n v="0"/>
    <n v="0"/>
    <n v="6000"/>
    <n v="4571.4285714285716"/>
    <n v="0"/>
    <n v="0"/>
    <n v="0"/>
    <n v="0"/>
    <n v="0"/>
    <n v="0"/>
  </r>
  <r>
    <x v="61"/>
    <s v="MP004"/>
    <x v="9"/>
    <x v="12"/>
    <s v="Software Factory"/>
    <n v="152"/>
    <n v="160"/>
    <n v="184"/>
    <n v="144"/>
    <n v="176"/>
    <n v="168"/>
    <n v="160"/>
    <n v="0"/>
    <n v="0"/>
    <n v="0"/>
    <n v="0"/>
    <n v="0"/>
    <n v="29.83"/>
    <n v="32.8125"/>
    <n v="28.532608695652176"/>
    <n v="36.458333333333336"/>
    <n v="29.829545454545453"/>
    <n v="31.25"/>
    <n v="32.8125"/>
    <m/>
    <m/>
    <m/>
    <m/>
    <m/>
    <n v="4534.16"/>
    <n v="5250"/>
    <n v="5250"/>
    <n v="5250"/>
    <n v="5250"/>
    <n v="5250"/>
    <n v="5250"/>
    <n v="0"/>
    <n v="0"/>
    <n v="0"/>
    <n v="0"/>
    <n v="0"/>
  </r>
  <r>
    <x v="61"/>
    <s v="VACACIONES"/>
    <x v="10"/>
    <x v="13"/>
    <s v="Vacaciones"/>
    <n v="24"/>
    <n v="0"/>
    <n v="0"/>
    <n v="0"/>
    <n v="0"/>
    <n v="0"/>
    <n v="0"/>
    <n v="0"/>
    <n v="0"/>
    <n v="0"/>
    <n v="0"/>
    <n v="0"/>
    <n v="29.83"/>
    <n v="32.8125"/>
    <n v="28.532608695652176"/>
    <n v="36.458333333333336"/>
    <n v="29.829545454545453"/>
    <n v="31.25"/>
    <n v="32.8125"/>
    <m/>
    <m/>
    <m/>
    <m/>
    <m/>
    <n v="715.92"/>
    <n v="0"/>
    <n v="0"/>
    <n v="0"/>
    <n v="0"/>
    <n v="0"/>
    <n v="0"/>
    <n v="0"/>
    <n v="0"/>
    <n v="0"/>
    <n v="0"/>
    <n v="0"/>
  </r>
  <r>
    <x v="62"/>
    <s v="MP002"/>
    <x v="15"/>
    <x v="18"/>
    <s v="Soporte Tecnico"/>
    <n v="176"/>
    <n v="160"/>
    <n v="184"/>
    <n v="144"/>
    <n v="176"/>
    <n v="168"/>
    <n v="160"/>
    <n v="32"/>
    <n v="0"/>
    <n v="0"/>
    <n v="0"/>
    <n v="0"/>
    <n v="11.36"/>
    <n v="12.5"/>
    <n v="10.869565217391305"/>
    <n v="13.888888888888889"/>
    <n v="12.5"/>
    <n v="13.095238095238095"/>
    <n v="13.75"/>
    <m/>
    <m/>
    <m/>
    <m/>
    <m/>
    <n v="1999.36"/>
    <n v="2000"/>
    <n v="2000"/>
    <n v="2000"/>
    <n v="2200"/>
    <n v="2200"/>
    <n v="2200"/>
    <n v="0"/>
    <n v="0"/>
    <n v="0"/>
    <n v="0"/>
    <n v="0"/>
  </r>
  <r>
    <x v="63"/>
    <s v="MP004"/>
    <x v="9"/>
    <x v="12"/>
    <s v="Software Factory"/>
    <n v="106"/>
    <n v="160"/>
    <n v="184"/>
    <n v="144"/>
    <n v="176"/>
    <n v="168"/>
    <n v="160"/>
    <n v="0"/>
    <n v="0"/>
    <n v="0"/>
    <n v="0"/>
    <n v="0"/>
    <n v="0"/>
    <n v="0"/>
    <n v="0"/>
    <n v="0"/>
    <n v="0"/>
    <n v="0"/>
    <n v="0"/>
    <m/>
    <m/>
    <m/>
    <m/>
    <m/>
    <n v="0"/>
    <n v="0"/>
    <n v="0"/>
    <n v="0"/>
    <n v="0"/>
    <n v="0"/>
    <n v="0"/>
    <n v="0"/>
    <n v="0"/>
    <n v="0"/>
    <n v="0"/>
    <n v="0"/>
  </r>
  <r>
    <x v="64"/>
    <s v="MP004"/>
    <x v="9"/>
    <x v="12"/>
    <s v="Software Factory"/>
    <n v="80"/>
    <n v="0"/>
    <n v="60"/>
    <n v="0"/>
    <n v="0"/>
    <n v="0"/>
    <n v="0"/>
    <n v="0"/>
    <n v="0"/>
    <n v="0"/>
    <n v="0"/>
    <n v="0"/>
    <n v="19.89"/>
    <n v="21.875"/>
    <n v="19.021739130434781"/>
    <n v="0"/>
    <n v="0"/>
    <n v="0"/>
    <n v="0"/>
    <m/>
    <m/>
    <m/>
    <m/>
    <m/>
    <n v="1591.2"/>
    <n v="0"/>
    <n v="1141.304347826087"/>
    <n v="0"/>
    <n v="0"/>
    <n v="0"/>
    <n v="0"/>
    <n v="0"/>
    <n v="0"/>
    <n v="0"/>
    <n v="0"/>
    <n v="0"/>
  </r>
  <r>
    <x v="64"/>
    <s v="P0020"/>
    <x v="4"/>
    <x v="6"/>
    <s v="Fabrica de Software"/>
    <n v="96"/>
    <n v="160"/>
    <n v="4"/>
    <n v="0"/>
    <n v="0"/>
    <n v="0"/>
    <n v="0"/>
    <n v="0"/>
    <n v="0"/>
    <n v="0"/>
    <n v="0"/>
    <n v="0"/>
    <n v="19.89"/>
    <n v="21.875"/>
    <n v="19.021739130434781"/>
    <n v="0"/>
    <n v="0"/>
    <n v="0"/>
    <n v="0"/>
    <m/>
    <m/>
    <m/>
    <m/>
    <m/>
    <n v="1909.44"/>
    <n v="3500"/>
    <n v="76.086956521739125"/>
    <n v="0"/>
    <n v="0"/>
    <n v="0"/>
    <n v="0"/>
    <n v="0"/>
    <n v="0"/>
    <n v="0"/>
    <n v="0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36">
  <r>
    <x v="0"/>
    <x v="0"/>
    <x v="0"/>
    <s v="Analista Programador Java Python"/>
    <n v="104250.84745762713"/>
    <n v="61027.685425685428"/>
    <m/>
    <n v="0"/>
    <n v="43223.162031941698"/>
    <m/>
    <n v="0.41460729659305456"/>
  </r>
  <r>
    <x v="1"/>
    <x v="0"/>
    <x v="1"/>
    <s v="Soporte Tecnico"/>
    <n v="39782.186440677964"/>
    <n v="20109.659090909088"/>
    <m/>
    <n v="0"/>
    <n v="19672.527349768876"/>
    <m/>
    <n v="0.49450593619593974"/>
  </r>
  <r>
    <x v="2"/>
    <x v="0"/>
    <x v="2"/>
    <s v="Soporte Tecnico"/>
    <n v="36424.923728813563"/>
    <n v="25126.957070707071"/>
    <m/>
    <n v="0"/>
    <n v="11297.966658106492"/>
    <m/>
    <n v="0.31017131956735855"/>
  </r>
  <r>
    <x v="3"/>
    <x v="0"/>
    <x v="3"/>
    <s v="Software Factory"/>
    <n v="2543139.66"/>
    <n v="1376914.4404957965"/>
    <m/>
    <n v="187150"/>
    <n v="979075.21950420365"/>
    <m/>
    <n v="0.3849868078044143"/>
  </r>
  <r>
    <x v="4"/>
    <x v="0"/>
    <x v="4"/>
    <s v="Soporte de Analista de Calidad"/>
    <n v="7000"/>
    <n v="4687.0562770562774"/>
    <n v="7200"/>
    <n v="0"/>
    <n v="2312.9437229437226"/>
    <n v="7000"/>
    <n v="0.33042053184910325"/>
  </r>
  <r>
    <x v="5"/>
    <x v="0"/>
    <x v="5"/>
    <s v="Servicios de Desarrollo"/>
    <n v="39000"/>
    <n v="27357.727272727272"/>
    <n v="29750"/>
    <n v="0"/>
    <n v="11642.272727272728"/>
    <n v="12000"/>
    <n v="0.29851981351981355"/>
  </r>
  <r>
    <x v="6"/>
    <x v="1"/>
    <x v="6"/>
    <s v="Evaluacion Sistema Integrado de Polizas - SDP"/>
    <n v="71500"/>
    <n v="25125.176136363636"/>
    <n v="25336"/>
    <n v="0"/>
    <n v="46374.823863636368"/>
    <n v="0"/>
    <n v="0.6485989351557534"/>
  </r>
  <r>
    <x v="7"/>
    <x v="1"/>
    <x v="7"/>
    <s v="Implementación del Módulo Básico de Interconexión Radios - Tetra Server - BD PNP"/>
    <n v="30712.5"/>
    <n v="16079.545454545456"/>
    <n v="16080"/>
    <n v="0"/>
    <n v="14632.954545454544"/>
    <n v="0"/>
    <n v="0.47644947644947638"/>
  </r>
  <r>
    <x v="8"/>
    <x v="1"/>
    <x v="7"/>
    <s v="Implementación de los Módulos para la interconexión de los Radios - Tetra Server - BD PNP"/>
    <n v="73710"/>
    <n v="20545.454545454544"/>
    <n v="20545"/>
    <n v="0"/>
    <n v="53164.545454545456"/>
    <n v="0"/>
    <n v="0.72126638793305464"/>
  </r>
  <r>
    <x v="9"/>
    <x v="1"/>
    <x v="8"/>
    <s v="Implementación del Sistema de Certificados de Retenciones"/>
    <n v="23200"/>
    <n v="42173.954725829732"/>
    <n v="11600"/>
    <n v="0"/>
    <n v="-18973.954725829732"/>
    <n v="0"/>
    <n v="-0.81784287611335049"/>
  </r>
  <r>
    <x v="10"/>
    <x v="1"/>
    <x v="9"/>
    <s v="Implementación y despliegue de Pagos Masivos para Caja Arequipa"/>
    <n v="38340"/>
    <n v="7573.636363636364"/>
    <n v="44730"/>
    <n v="0"/>
    <n v="30766.363636363636"/>
    <n v="0"/>
    <n v="0.80246123203869679"/>
  </r>
  <r>
    <x v="11"/>
    <x v="2"/>
    <x v="10"/>
    <s v="Up Grade Web de Licitaciones Calidda"/>
    <n v="0"/>
    <n v="5341.1773009599101"/>
    <n v="4798.32"/>
    <n v="0"/>
    <n v="-5341.1773009599101"/>
    <n v="11675"/>
    <n v="0"/>
  </r>
  <r>
    <x v="12"/>
    <x v="1"/>
    <x v="11"/>
    <s v="Aplicativo para la consulta de expedientes de SAREFIS y SADERECHOS con DNI electrónico"/>
    <n v="25423.729644067796"/>
    <n v="15094.577876592006"/>
    <n v="14275.199999999999"/>
    <n v="0"/>
    <n v="10329.151767475791"/>
    <n v="3.559322030923795E-4"/>
    <n v="0.40627995624890251"/>
  </r>
  <r>
    <x v="13"/>
    <x v="1"/>
    <x v="11"/>
    <s v="Aplicativo SUSALUD contigo IOS"/>
    <n v="27288.137999999999"/>
    <n v="11629.4126984127"/>
    <n v="11566.27"/>
    <n v="0"/>
    <n v="15658.725301587299"/>
    <n v="2.0000000004074536E-3"/>
    <n v="0.5738290132359819"/>
  </r>
  <r>
    <x v="14"/>
    <x v="1"/>
    <x v="4"/>
    <s v="Soporte de Analista de Calidad"/>
    <n v="14000"/>
    <n v="12787.734487734488"/>
    <n v="7000"/>
    <n v="0"/>
    <n v="1212.2655122655124"/>
    <n v="0"/>
    <n v="8.6590393733250878E-2"/>
  </r>
  <r>
    <x v="15"/>
    <x v="1"/>
    <x v="12"/>
    <s v="Outsourcing  de configuración de productos BBVA"/>
    <n v="16800"/>
    <n v="3409.0909090909095"/>
    <n v="9450"/>
    <n v="0"/>
    <n v="13390.90909090909"/>
    <n v="0"/>
    <n v="0.79707792207792205"/>
  </r>
  <r>
    <x v="16"/>
    <x v="1"/>
    <x v="12"/>
    <s v="Configuración de productos PIMS"/>
    <n v="25473"/>
    <n v="13454.999999999998"/>
    <n v="17820"/>
    <n v="0"/>
    <n v="12018.000000000002"/>
    <n v="0"/>
    <n v="0.4717936638794018"/>
  </r>
  <r>
    <x v="17"/>
    <x v="1"/>
    <x v="12"/>
    <s v="Reportes SBS"/>
    <n v="42676"/>
    <n v="58576.798340548339"/>
    <n v="27500"/>
    <n v="0"/>
    <n v="-15900.798340548339"/>
    <n v="0"/>
    <n v="-0.37259345628803869"/>
  </r>
  <r>
    <x v="18"/>
    <x v="1"/>
    <x v="6"/>
    <s v="REQUERIMIENTO CORE URGENCIA ALTA:DOC REQ.FUNCIONAL 100% FINALIZADO"/>
    <n v="15000"/>
    <n v="1371.0748792270533"/>
    <n v="0"/>
    <n v="0"/>
    <n v="13628.925120772947"/>
    <n v="0"/>
    <n v="0.90859500805152982"/>
  </r>
  <r>
    <x v="19"/>
    <x v="1"/>
    <x v="13"/>
    <s v="Mejoras funcionales SOAT Operaciones y RQ de automatización cierre contable"/>
    <n v="22500"/>
    <n v="8103.8961038961043"/>
    <n v="7920"/>
    <n v="0"/>
    <n v="14396.103896103896"/>
    <n v="0"/>
    <n v="0.63982683982683985"/>
  </r>
  <r>
    <x v="20"/>
    <x v="2"/>
    <x v="10"/>
    <s v="ADICIONAL WEB DE LICITACIONES PUBLICAS – SERVICIO ADICIONAL"/>
    <n v="2235"/>
    <n v="0"/>
    <n v="0"/>
    <n v="0"/>
    <n v="2235"/>
    <n v="1165"/>
    <n v="1"/>
  </r>
  <r>
    <x v="21"/>
    <x v="1"/>
    <x v="6"/>
    <s v="Análisis Funcional - Requerimientos"/>
    <n v="20520"/>
    <n v="8328.5646645021643"/>
    <n v="6332.7999999999993"/>
    <n v="0"/>
    <n v="12191.435335497836"/>
    <n v="0"/>
    <n v="0.59412452902036239"/>
  </r>
  <r>
    <x v="22"/>
    <x v="1"/>
    <x v="14"/>
    <s v="Palabritas"/>
    <n v="32000"/>
    <n v="38896.133364702939"/>
    <n v="44700"/>
    <n v="0"/>
    <n v="-6896.1333647029387"/>
    <n v="0"/>
    <n v="-0.21550416764696684"/>
  </r>
  <r>
    <x v="23"/>
    <x v="0"/>
    <x v="15"/>
    <s v="Servicios de soporte de segundo nivel sobre Linux en Cloud Softlayer_x000a_"/>
    <n v="39200"/>
    <n v="0"/>
    <n v="72364.799999999988"/>
    <n v="18090"/>
    <n v="21110"/>
    <n v="78400"/>
    <n v="0.5385204081632653"/>
  </r>
  <r>
    <x v="24"/>
    <x v="1"/>
    <x v="5"/>
    <s v="Fabrica de Software"/>
    <n v="35400"/>
    <n v="48176.001065389923"/>
    <n v="34125"/>
    <n v="0"/>
    <n v="-12776.001065389923"/>
    <n v="-4142"/>
    <n v="-0.36090398489802039"/>
  </r>
  <r>
    <x v="25"/>
    <x v="1"/>
    <x v="13"/>
    <s v="Adecuacion SISWEP-Cargas Masivas"/>
    <n v="22750"/>
    <n v="14321.022727272728"/>
    <n v="5416"/>
    <n v="0"/>
    <n v="8428.9772727272721"/>
    <n v="0"/>
    <n v="0.37050449550449549"/>
  </r>
  <r>
    <x v="26"/>
    <x v="0"/>
    <x v="16"/>
    <s v=" 8 Aplicaciones Móviles Universidades"/>
    <n v="0"/>
    <n v="41461.438906926407"/>
    <n v="64800"/>
    <n v="0"/>
    <n v="-41461.438906926407"/>
    <n v="144625"/>
    <n v="0"/>
  </r>
  <r>
    <x v="27"/>
    <x v="1"/>
    <x v="11"/>
    <s v="Totem Digital"/>
    <n v="9322"/>
    <n v="2910.1190476190477"/>
    <n v="4375"/>
    <n v="0"/>
    <n v="6411.8809523809523"/>
    <n v="0"/>
    <n v="0.68782245788253082"/>
  </r>
  <r>
    <x v="28"/>
    <x v="1"/>
    <x v="13"/>
    <s v="Implementación de Indicadores de Gestión TABLEAU "/>
    <n v="39180"/>
    <n v="835.22727272727275"/>
    <n v="0"/>
    <n v="0"/>
    <n v="38344.772727272728"/>
    <n v="0"/>
    <n v="0.97868230544340806"/>
  </r>
  <r>
    <x v="29"/>
    <x v="1"/>
    <x v="13"/>
    <s v="Implementación de Extractores de Gestión TABLEAU "/>
    <n v="17710"/>
    <n v="23506.628787878788"/>
    <n v="0"/>
    <n v="0"/>
    <n v="-5796.628787878788"/>
    <n v="0"/>
    <n v="-0.32730823195250075"/>
  </r>
  <r>
    <x v="30"/>
    <x v="0"/>
    <x v="13"/>
    <s v="Implementacion del Sistema BackOffice SOAT"/>
    <n v="87457.5"/>
    <n v="43099.182900432905"/>
    <n v="139748"/>
    <n v="0"/>
    <n v="44358.317099567095"/>
    <n v="203080.8"/>
    <n v="0.50719854900456907"/>
  </r>
  <r>
    <x v="31"/>
    <x v="1"/>
    <x v="15"/>
    <s v="Servicios de Soporte a la Migración de IAS desde Softlayer a AWS Amazon"/>
    <n v="9800"/>
    <n v="0"/>
    <n v="6500"/>
    <n v="6000"/>
    <n v="3800"/>
    <n v="0"/>
    <n v="0.38775510204081631"/>
  </r>
  <r>
    <x v="32"/>
    <x v="1"/>
    <x v="5"/>
    <s v="Servicios de Elaboracion REF - GA"/>
    <n v="6000"/>
    <n v="7538.04347826087"/>
    <n v="0"/>
    <n v="0"/>
    <n v="-1538.04347826087"/>
    <n v="0"/>
    <n v="-0.25634057971014501"/>
  </r>
  <r>
    <x v="33"/>
    <x v="1"/>
    <x v="12"/>
    <s v="Configuración de nuevos productos PIMS"/>
    <n v="12000"/>
    <n v="6115.909090909091"/>
    <n v="0"/>
    <n v="0"/>
    <n v="5884.090909090909"/>
    <n v="0"/>
    <n v="0.49034090909090911"/>
  </r>
  <r>
    <x v="34"/>
    <x v="0"/>
    <x v="13"/>
    <s v="Mejoras Sistema V-Time"/>
    <n v="16476.080000000002"/>
    <n v="26990.170319264067"/>
    <n v="36689"/>
    <n v="0"/>
    <n v="-10514.090319264065"/>
    <n v="50894.92"/>
    <n v="-0.63814270865788858"/>
  </r>
  <r>
    <x v="35"/>
    <x v="1"/>
    <x v="5"/>
    <s v="Servicios de Desarrollo GDO"/>
    <n v="15000"/>
    <n v="8168.6471861471864"/>
    <n v="10192.32"/>
    <n v="0"/>
    <n v="6831.3528138528136"/>
    <n v="0"/>
    <n v="0.4554235209235209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235">
  <r>
    <x v="0"/>
    <x v="0"/>
    <x v="0"/>
    <x v="0"/>
    <x v="0"/>
    <x v="0"/>
    <x v="0"/>
    <s v="Hernani Lau Patricia Rosa"/>
    <n v="10"/>
    <n v="16"/>
    <n v="40"/>
    <n v="20"/>
    <n v="12"/>
    <n v="24"/>
    <n v="40"/>
    <n v="40"/>
    <n v="4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8"/>
    <n v="148"/>
    <n v="0"/>
    <n v="0"/>
    <n v="0"/>
    <n v="0"/>
    <n v="0"/>
    <n v="0"/>
    <n v="0"/>
    <n v="0"/>
    <n v="0"/>
    <n v="0"/>
    <n v="246"/>
  </r>
  <r>
    <x v="0"/>
    <x v="0"/>
    <x v="1"/>
    <x v="0"/>
    <x v="0"/>
    <x v="1"/>
    <x v="1"/>
    <s v="Hernani Lau Patricia Rosa"/>
    <n v="0"/>
    <n v="0"/>
    <n v="0"/>
    <n v="0"/>
    <n v="0"/>
    <n v="0"/>
    <n v="0"/>
    <n v="0"/>
    <n v="0"/>
    <n v="0"/>
    <n v="0"/>
    <n v="0"/>
    <n v="0"/>
    <n v="0"/>
    <n v="0"/>
    <n v="0"/>
    <n v="11"/>
    <n v="0"/>
    <n v="0"/>
    <n v="32"/>
    <n v="40"/>
    <n v="20"/>
    <n v="36"/>
    <n v="24"/>
    <n v="13"/>
    <n v="40"/>
    <n v="4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"/>
    <n v="152"/>
    <n v="96"/>
    <n v="0"/>
    <n v="0"/>
    <n v="0"/>
    <n v="0"/>
    <n v="0"/>
    <n v="0"/>
    <n v="259"/>
  </r>
  <r>
    <x v="0"/>
    <x v="0"/>
    <x v="2"/>
    <x v="1"/>
    <x v="0"/>
    <x v="2"/>
    <x v="2"/>
    <s v="Hernani Lau Patricia Rosa"/>
    <n v="30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.5"/>
    <n v="32"/>
    <n v="0"/>
    <n v="8"/>
    <n v="32"/>
    <n v="40"/>
    <n v="40"/>
    <n v="40"/>
    <n v="24"/>
    <n v="8"/>
    <n v="40"/>
    <n v="32"/>
    <n v="40"/>
    <n v="40"/>
    <n v="40"/>
    <n v="0"/>
    <n v="0"/>
    <n v="0"/>
    <n v="0"/>
    <n v="0"/>
    <n v="0"/>
    <n v="0"/>
    <n v="0"/>
    <n v="0"/>
    <n v="0"/>
    <n v="0"/>
    <n v="0"/>
    <n v="0"/>
    <n v="0"/>
    <n v="54"/>
    <n v="0"/>
    <n v="0"/>
    <n v="0"/>
    <n v="0"/>
    <n v="0"/>
    <n v="78.5"/>
    <n v="176"/>
    <n v="160"/>
    <n v="40"/>
    <n v="0"/>
    <n v="0"/>
    <n v="508.5"/>
  </r>
  <r>
    <x v="0"/>
    <x v="0"/>
    <x v="3"/>
    <x v="2"/>
    <x v="1"/>
    <x v="3"/>
    <x v="3"/>
    <s v="Hernani Lau Patricia Rosa"/>
    <n v="0"/>
    <n v="0"/>
    <n v="0"/>
    <n v="0"/>
    <n v="0"/>
    <n v="0"/>
    <n v="0"/>
    <n v="0"/>
    <n v="0"/>
    <n v="0"/>
    <n v="21"/>
    <n v="16"/>
    <n v="0"/>
    <n v="0"/>
    <n v="0"/>
    <n v="14"/>
    <n v="8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"/>
    <n v="102"/>
    <n v="0"/>
    <n v="0"/>
    <n v="0"/>
    <n v="0"/>
    <n v="0"/>
    <n v="0"/>
    <n v="0"/>
    <n v="0"/>
    <n v="139"/>
  </r>
  <r>
    <x v="0"/>
    <x v="0"/>
    <x v="4"/>
    <x v="2"/>
    <x v="1"/>
    <x v="4"/>
    <x v="4"/>
    <s v="Hernani Lau Patricia Ros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n v="0"/>
    <n v="0"/>
    <n v="24"/>
  </r>
  <r>
    <x v="0"/>
    <x v="0"/>
    <x v="5"/>
    <x v="2"/>
    <x v="1"/>
    <x v="5"/>
    <x v="5"/>
    <s v="Hernani Lau Patricia Rosa"/>
    <n v="0"/>
    <n v="0"/>
    <n v="0"/>
    <n v="20"/>
    <n v="4"/>
    <n v="0"/>
    <n v="0"/>
    <n v="0"/>
    <n v="0"/>
    <n v="12"/>
    <n v="0"/>
    <n v="0"/>
    <n v="0"/>
    <n v="0"/>
    <n v="0"/>
    <n v="8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12"/>
    <n v="0"/>
    <n v="11"/>
    <n v="0"/>
    <n v="0"/>
    <n v="0"/>
    <n v="0"/>
    <n v="0"/>
    <n v="0"/>
    <n v="0"/>
    <n v="0"/>
    <n v="47"/>
  </r>
  <r>
    <x v="0"/>
    <x v="0"/>
    <x v="6"/>
    <x v="2"/>
    <x v="1"/>
    <x v="6"/>
    <x v="6"/>
    <s v="Hernani Lau Patricia Ros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n v="0"/>
    <n v="8"/>
  </r>
  <r>
    <x v="1"/>
    <x v="1"/>
    <x v="7"/>
    <x v="0"/>
    <x v="0"/>
    <x v="7"/>
    <x v="7"/>
    <s v="Benito Bendezú Marco Antonio"/>
    <n v="0"/>
    <n v="0"/>
    <n v="0"/>
    <n v="0"/>
    <n v="0"/>
    <n v="0"/>
    <n v="0"/>
    <n v="0"/>
    <n v="0"/>
    <n v="0"/>
    <n v="6"/>
    <n v="10"/>
    <n v="10"/>
    <n v="10"/>
    <n v="10"/>
    <n v="13"/>
    <n v="6"/>
    <n v="4"/>
    <n v="10"/>
    <n v="20"/>
    <n v="16"/>
    <n v="0"/>
    <n v="0"/>
    <n v="0"/>
    <n v="0"/>
    <n v="0"/>
    <n v="3"/>
    <n v="32"/>
    <n v="28"/>
    <n v="35"/>
    <n v="35"/>
    <n v="12"/>
    <n v="0"/>
    <n v="0"/>
    <n v="0"/>
    <n v="0"/>
    <n v="0"/>
    <n v="0"/>
    <n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6"/>
    <n v="33"/>
    <n v="36"/>
    <n v="63"/>
    <n v="82"/>
    <n v="0"/>
    <n v="16"/>
    <n v="0"/>
    <n v="0"/>
    <n v="0"/>
    <n v="276"/>
  </r>
  <r>
    <x v="1"/>
    <x v="1"/>
    <x v="8"/>
    <x v="1"/>
    <x v="0"/>
    <x v="8"/>
    <x v="8"/>
    <s v="Benito Bendezú Marco Antoni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"/>
    <n v="28"/>
    <n v="0"/>
    <n v="8"/>
    <n v="32"/>
    <n v="40"/>
    <n v="40"/>
    <n v="40"/>
    <n v="24"/>
    <n v="8"/>
    <n v="24"/>
    <n v="40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8"/>
    <n v="176"/>
    <n v="152"/>
    <n v="0"/>
    <n v="0"/>
    <n v="0"/>
    <n v="386"/>
  </r>
  <r>
    <x v="1"/>
    <x v="1"/>
    <x v="9"/>
    <x v="0"/>
    <x v="0"/>
    <x v="9"/>
    <x v="9"/>
    <s v="Benito Bendezú Marco Antonio"/>
    <n v="0"/>
    <n v="0"/>
    <n v="0"/>
    <n v="0"/>
    <n v="0"/>
    <n v="0"/>
    <n v="8"/>
    <n v="10"/>
    <n v="10"/>
    <n v="4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6"/>
    <n v="0"/>
    <n v="0"/>
    <n v="0"/>
    <n v="0"/>
    <n v="0"/>
    <n v="0"/>
    <n v="0"/>
    <n v="0"/>
    <n v="0"/>
    <n v="38"/>
  </r>
  <r>
    <x v="1"/>
    <x v="1"/>
    <x v="10"/>
    <x v="1"/>
    <x v="0"/>
    <x v="10"/>
    <x v="10"/>
    <s v="Benito Bendezú Marco Antonio"/>
    <n v="0"/>
    <n v="0"/>
    <n v="0"/>
    <n v="0"/>
    <n v="0"/>
    <n v="0"/>
    <n v="0"/>
    <n v="0"/>
    <n v="0"/>
    <n v="0"/>
    <n v="0"/>
    <n v="0"/>
    <n v="0"/>
    <n v="0"/>
    <n v="0"/>
    <n v="5"/>
    <n v="3"/>
    <n v="5"/>
    <n v="5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"/>
    <n v="1"/>
    <n v="0"/>
    <n v="0"/>
    <n v="0"/>
    <n v="0"/>
    <n v="0"/>
    <n v="0"/>
    <n v="0"/>
    <n v="19"/>
  </r>
  <r>
    <x v="1"/>
    <x v="1"/>
    <x v="11"/>
    <x v="1"/>
    <x v="0"/>
    <x v="11"/>
    <x v="10"/>
    <s v="Benito Bendezú Marco Antonio"/>
    <n v="0"/>
    <n v="0"/>
    <n v="0"/>
    <n v="0"/>
    <n v="0"/>
    <n v="0"/>
    <n v="0"/>
    <n v="0"/>
    <n v="0"/>
    <n v="0"/>
    <n v="0"/>
    <n v="0"/>
    <n v="0"/>
    <n v="0"/>
    <n v="0"/>
    <n v="2"/>
    <n v="3"/>
    <n v="2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1"/>
    <n v="0"/>
    <n v="0"/>
    <n v="0"/>
    <n v="0"/>
    <n v="0"/>
    <n v="0"/>
    <n v="0"/>
    <n v="9"/>
  </r>
  <r>
    <x v="1"/>
    <x v="1"/>
    <x v="12"/>
    <x v="0"/>
    <x v="0"/>
    <x v="12"/>
    <x v="11"/>
    <s v="Benito Bendezú Marco Antonio"/>
    <n v="28"/>
    <n v="28"/>
    <n v="28"/>
    <n v="28"/>
    <n v="11"/>
    <n v="13"/>
    <n v="23"/>
    <n v="25"/>
    <n v="25"/>
    <n v="10"/>
    <n v="8.5"/>
    <n v="21"/>
    <n v="21"/>
    <n v="21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3"/>
    <n v="96"/>
    <n v="92.5"/>
    <n v="0"/>
    <n v="0"/>
    <n v="0"/>
    <n v="0"/>
    <n v="0"/>
    <n v="0"/>
    <n v="0"/>
    <n v="0"/>
    <n v="0"/>
    <n v="311.5"/>
  </r>
  <r>
    <x v="1"/>
    <x v="1"/>
    <x v="13"/>
    <x v="0"/>
    <x v="0"/>
    <x v="13"/>
    <x v="12"/>
    <s v="Benito Bendezú Marco Antonio"/>
    <n v="0"/>
    <n v="0"/>
    <n v="0"/>
    <n v="0"/>
    <n v="0"/>
    <n v="0"/>
    <n v="0"/>
    <n v="0"/>
    <n v="0"/>
    <n v="0"/>
    <n v="0"/>
    <n v="0"/>
    <n v="0"/>
    <n v="0"/>
    <n v="0"/>
    <n v="2"/>
    <n v="0"/>
    <n v="1"/>
    <n v="2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1"/>
    <n v="0"/>
    <n v="0"/>
    <n v="0"/>
    <n v="0"/>
    <n v="0"/>
    <n v="0"/>
    <n v="0"/>
    <n v="6"/>
  </r>
  <r>
    <x v="2"/>
    <x v="1"/>
    <x v="2"/>
    <x v="1"/>
    <x v="0"/>
    <x v="2"/>
    <x v="2"/>
    <s v="Palomino Ferroa Victor Isaias"/>
    <n v="40"/>
    <n v="40"/>
    <n v="40"/>
    <n v="40"/>
    <n v="16"/>
    <n v="24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6"/>
    <n v="104"/>
    <n v="0"/>
    <n v="0"/>
    <n v="0"/>
    <n v="0"/>
    <n v="0"/>
    <n v="0"/>
    <n v="0"/>
    <n v="0"/>
    <n v="0"/>
    <n v="0"/>
    <n v="280"/>
  </r>
  <r>
    <x v="3"/>
    <x v="1"/>
    <x v="2"/>
    <x v="1"/>
    <x v="0"/>
    <x v="2"/>
    <x v="2"/>
    <s v="Zuñiga Santillan Jose Eduardo"/>
    <n v="40"/>
    <n v="40"/>
    <n v="0"/>
    <n v="0"/>
    <n v="0"/>
    <n v="0"/>
    <n v="0"/>
    <n v="0"/>
    <n v="0"/>
    <n v="0"/>
    <n v="24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0"/>
    <n v="0"/>
    <n v="60"/>
    <n v="0"/>
    <n v="0"/>
    <n v="0"/>
    <n v="0"/>
    <n v="0"/>
    <n v="0"/>
    <n v="0"/>
    <n v="0"/>
    <n v="0"/>
    <n v="140"/>
  </r>
  <r>
    <x v="4"/>
    <x v="1"/>
    <x v="2"/>
    <x v="1"/>
    <x v="0"/>
    <x v="2"/>
    <x v="2"/>
    <s v="Tarazona Falcon Jesus "/>
    <n v="40"/>
    <n v="40"/>
    <n v="40"/>
    <n v="4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6"/>
    <n v="0"/>
    <n v="0"/>
    <n v="0"/>
    <n v="0"/>
    <n v="0"/>
    <n v="0"/>
    <n v="0"/>
    <n v="0"/>
    <n v="0"/>
    <n v="0"/>
    <n v="0"/>
    <n v="176"/>
  </r>
  <r>
    <x v="5"/>
    <x v="1"/>
    <x v="2"/>
    <x v="1"/>
    <x v="0"/>
    <x v="2"/>
    <x v="2"/>
    <s v="Carrillo Roque Rafael"/>
    <n v="0"/>
    <n v="0"/>
    <n v="0"/>
    <n v="0"/>
    <n v="0"/>
    <n v="0"/>
    <n v="0"/>
    <n v="24"/>
    <n v="40"/>
    <n v="16"/>
    <n v="24"/>
    <n v="40"/>
    <n v="40"/>
    <n v="40"/>
    <n v="4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0"/>
    <n v="184"/>
    <n v="16"/>
    <n v="0"/>
    <n v="0"/>
    <n v="0"/>
    <n v="0"/>
    <n v="0"/>
    <n v="0"/>
    <n v="0"/>
    <n v="0"/>
    <n v="280"/>
  </r>
  <r>
    <x v="6"/>
    <x v="1"/>
    <x v="2"/>
    <x v="1"/>
    <x v="0"/>
    <x v="2"/>
    <x v="2"/>
    <s v="Alvarez Vera Danie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.5"/>
    <n v="40"/>
    <n v="40"/>
    <n v="24"/>
    <n v="16"/>
    <n v="40"/>
    <n v="40"/>
    <n v="40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2.5"/>
    <n v="168"/>
    <n v="0"/>
    <n v="0"/>
    <n v="0"/>
    <n v="0"/>
    <n v="0"/>
    <n v="0"/>
    <n v="290.5"/>
  </r>
  <r>
    <x v="7"/>
    <x v="1"/>
    <x v="2"/>
    <x v="1"/>
    <x v="0"/>
    <x v="2"/>
    <x v="2"/>
    <s v="Chavez Guillen Miguel Angel"/>
    <n v="0"/>
    <n v="0"/>
    <n v="0"/>
    <n v="0"/>
    <n v="0"/>
    <n v="0"/>
    <n v="0"/>
    <n v="0"/>
    <n v="0"/>
    <n v="0"/>
    <n v="0"/>
    <n v="0"/>
    <n v="0"/>
    <n v="16"/>
    <n v="40"/>
    <n v="40"/>
    <n v="24"/>
    <n v="40"/>
    <n v="40"/>
    <n v="32"/>
    <n v="40"/>
    <n v="40"/>
    <n v="40"/>
    <n v="24"/>
    <n v="16"/>
    <n v="40"/>
    <n v="40"/>
    <n v="40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6"/>
    <n v="144"/>
    <n v="176"/>
    <n v="168"/>
    <n v="0"/>
    <n v="0"/>
    <n v="0"/>
    <n v="0"/>
    <n v="0"/>
    <n v="0"/>
    <n v="544"/>
  </r>
  <r>
    <x v="8"/>
    <x v="1"/>
    <x v="2"/>
    <x v="1"/>
    <x v="0"/>
    <x v="2"/>
    <x v="2"/>
    <s v="Huaman Ramos Moises"/>
    <n v="0"/>
    <n v="0"/>
    <n v="0"/>
    <n v="0"/>
    <n v="0"/>
    <n v="0"/>
    <n v="0"/>
    <n v="0"/>
    <n v="0"/>
    <n v="0"/>
    <n v="0"/>
    <n v="0"/>
    <n v="0"/>
    <n v="0"/>
    <n v="0"/>
    <n v="8"/>
    <n v="40"/>
    <n v="40"/>
    <n v="40"/>
    <n v="32"/>
    <n v="40"/>
    <n v="40"/>
    <n v="40"/>
    <n v="24"/>
    <n v="16"/>
    <n v="40"/>
    <n v="40"/>
    <n v="40"/>
    <n v="32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8"/>
    <n v="176"/>
    <n v="168"/>
    <n v="8"/>
    <n v="0"/>
    <n v="0"/>
    <n v="0"/>
    <n v="0"/>
    <n v="0"/>
    <n v="480"/>
  </r>
  <r>
    <x v="9"/>
    <x v="1"/>
    <x v="2"/>
    <x v="1"/>
    <x v="0"/>
    <x v="2"/>
    <x v="2"/>
    <s v="Girano Corbera Cristiam Alberto"/>
    <n v="0"/>
    <n v="0"/>
    <n v="0"/>
    <n v="0"/>
    <n v="0"/>
    <n v="0"/>
    <n v="0"/>
    <n v="0"/>
    <n v="0"/>
    <n v="0"/>
    <n v="0"/>
    <n v="0"/>
    <n v="0"/>
    <n v="16"/>
    <n v="40"/>
    <n v="40"/>
    <n v="24"/>
    <n v="40"/>
    <n v="40"/>
    <n v="32"/>
    <n v="40"/>
    <n v="40"/>
    <n v="40"/>
    <n v="24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6"/>
    <n v="144"/>
    <n v="176"/>
    <n v="32"/>
    <n v="0"/>
    <n v="0"/>
    <n v="0"/>
    <n v="0"/>
    <n v="0"/>
    <n v="0"/>
    <n v="408"/>
  </r>
  <r>
    <x v="10"/>
    <x v="0"/>
    <x v="2"/>
    <x v="1"/>
    <x v="0"/>
    <x v="2"/>
    <x v="2"/>
    <s v="Velasquez Quispe Lizbet Nataly"/>
    <n v="16"/>
    <n v="40"/>
    <n v="40"/>
    <n v="40"/>
    <n v="16"/>
    <n v="24"/>
    <n v="40"/>
    <n v="40"/>
    <n v="40"/>
    <n v="16"/>
    <n v="24"/>
    <n v="40"/>
    <n v="40"/>
    <n v="40"/>
    <n v="40"/>
    <n v="40"/>
    <n v="24"/>
    <n v="40"/>
    <n v="40"/>
    <n v="32"/>
    <n v="40"/>
    <n v="40"/>
    <n v="40"/>
    <n v="24"/>
    <n v="16"/>
    <n v="40"/>
    <n v="40"/>
    <n v="40"/>
    <n v="32"/>
    <n v="40"/>
    <n v="40"/>
    <n v="40"/>
    <n v="32"/>
    <n v="0"/>
    <n v="8"/>
    <n v="32"/>
    <n v="40"/>
    <n v="40"/>
    <n v="40"/>
    <n v="24"/>
    <n v="8"/>
    <n v="40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152"/>
    <n v="160"/>
    <n v="184"/>
    <n v="144"/>
    <n v="176"/>
    <n v="168"/>
    <n v="160"/>
    <n v="176"/>
    <n v="168"/>
    <n v="40"/>
    <n v="0"/>
    <n v="0"/>
    <n v="1528"/>
  </r>
  <r>
    <x v="10"/>
    <x v="0"/>
    <x v="4"/>
    <x v="2"/>
    <x v="1"/>
    <x v="4"/>
    <x v="4"/>
    <s v="Velasquez Quispe Lizbet Nataly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n v="24"/>
  </r>
  <r>
    <x v="11"/>
    <x v="0"/>
    <x v="2"/>
    <x v="1"/>
    <x v="0"/>
    <x v="2"/>
    <x v="2"/>
    <s v="Torres Gonzales Rogger Adrián"/>
    <n v="40"/>
    <n v="32"/>
    <n v="40"/>
    <n v="40"/>
    <n v="16"/>
    <n v="24"/>
    <n v="40"/>
    <n v="40"/>
    <n v="40"/>
    <n v="16"/>
    <n v="24"/>
    <n v="40"/>
    <n v="40"/>
    <n v="40"/>
    <n v="40"/>
    <n v="40"/>
    <n v="24"/>
    <n v="40"/>
    <n v="40"/>
    <n v="32"/>
    <n v="40"/>
    <n v="40"/>
    <n v="40"/>
    <n v="24"/>
    <n v="16"/>
    <n v="40"/>
    <n v="40"/>
    <n v="40"/>
    <n v="32"/>
    <n v="40"/>
    <n v="40"/>
    <n v="40"/>
    <n v="32"/>
    <n v="0"/>
    <n v="8"/>
    <n v="32"/>
    <n v="8"/>
    <n v="32"/>
    <n v="40"/>
    <n v="24"/>
    <n v="8"/>
    <n v="40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168"/>
    <n v="160"/>
    <n v="184"/>
    <n v="144"/>
    <n v="176"/>
    <n v="168"/>
    <n v="160"/>
    <n v="136"/>
    <n v="168"/>
    <n v="40"/>
    <n v="0"/>
    <n v="0"/>
    <n v="1504"/>
  </r>
  <r>
    <x v="12"/>
    <x v="0"/>
    <x v="2"/>
    <x v="1"/>
    <x v="0"/>
    <x v="2"/>
    <x v="2"/>
    <s v="Cordova Lozano Renzo Abel"/>
    <n v="40"/>
    <n v="40"/>
    <n v="40"/>
    <n v="40"/>
    <n v="16"/>
    <n v="24"/>
    <n v="40"/>
    <n v="40"/>
    <n v="40"/>
    <n v="16"/>
    <n v="24"/>
    <n v="40"/>
    <n v="40"/>
    <n v="40"/>
    <n v="40"/>
    <n v="40"/>
    <n v="24"/>
    <n v="40"/>
    <n v="40"/>
    <n v="32"/>
    <n v="40"/>
    <n v="40"/>
    <n v="40"/>
    <n v="24"/>
    <n v="16"/>
    <n v="40"/>
    <n v="40"/>
    <n v="40"/>
    <n v="32"/>
    <n v="40"/>
    <n v="40"/>
    <n v="40"/>
    <n v="32"/>
    <n v="0"/>
    <n v="8"/>
    <n v="32"/>
    <n v="40"/>
    <n v="40"/>
    <n v="40"/>
    <n v="24"/>
    <n v="8"/>
    <n v="40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176"/>
    <n v="160"/>
    <n v="184"/>
    <n v="144"/>
    <n v="176"/>
    <n v="168"/>
    <n v="160"/>
    <n v="176"/>
    <n v="168"/>
    <n v="40"/>
    <n v="0"/>
    <n v="0"/>
    <n v="1552"/>
  </r>
  <r>
    <x v="13"/>
    <x v="0"/>
    <x v="2"/>
    <x v="1"/>
    <x v="0"/>
    <x v="2"/>
    <x v="2"/>
    <s v="Chura Ingalla Percy William"/>
    <n v="40"/>
    <n v="40"/>
    <n v="0"/>
    <n v="40"/>
    <n v="16"/>
    <n v="24"/>
    <n v="40"/>
    <n v="40"/>
    <n v="40"/>
    <n v="16"/>
    <n v="24"/>
    <n v="32"/>
    <n v="40"/>
    <n v="40"/>
    <n v="40"/>
    <n v="40"/>
    <n v="24"/>
    <n v="40"/>
    <n v="40"/>
    <n v="32"/>
    <n v="40"/>
    <n v="40"/>
    <n v="40"/>
    <n v="24"/>
    <n v="16"/>
    <n v="40"/>
    <n v="40"/>
    <n v="40"/>
    <n v="32"/>
    <n v="40"/>
    <n v="40"/>
    <n v="40"/>
    <n v="32"/>
    <n v="0"/>
    <n v="8"/>
    <n v="32"/>
    <n v="40"/>
    <n v="40"/>
    <n v="40"/>
    <n v="24"/>
    <n v="8"/>
    <n v="40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136"/>
    <n v="160"/>
    <n v="176"/>
    <n v="144"/>
    <n v="176"/>
    <n v="168"/>
    <n v="160"/>
    <n v="176"/>
    <n v="168"/>
    <n v="40"/>
    <n v="0"/>
    <n v="0"/>
    <n v="1504"/>
  </r>
  <r>
    <x v="14"/>
    <x v="0"/>
    <x v="2"/>
    <x v="1"/>
    <x v="0"/>
    <x v="2"/>
    <x v="2"/>
    <s v="Fernandez Esquen Miguel Angel"/>
    <n v="40"/>
    <n v="40"/>
    <n v="40"/>
    <n v="40"/>
    <n v="16"/>
    <n v="24"/>
    <n v="40"/>
    <n v="40"/>
    <n v="40"/>
    <n v="16"/>
    <n v="24"/>
    <n v="40"/>
    <n v="40"/>
    <n v="40"/>
    <n v="40"/>
    <n v="40"/>
    <n v="24"/>
    <n v="40"/>
    <n v="40"/>
    <n v="32"/>
    <n v="40"/>
    <n v="40"/>
    <n v="40"/>
    <n v="24"/>
    <n v="16"/>
    <n v="40"/>
    <n v="40"/>
    <n v="40"/>
    <n v="32"/>
    <n v="40"/>
    <n v="40"/>
    <n v="40"/>
    <n v="32"/>
    <n v="0"/>
    <n v="0"/>
    <n v="16"/>
    <n v="40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6"/>
    <n v="160"/>
    <n v="184"/>
    <n v="144"/>
    <n v="176"/>
    <n v="168"/>
    <n v="152"/>
    <n v="136"/>
    <n v="0"/>
    <n v="0"/>
    <n v="0"/>
    <n v="0"/>
    <n v="1296"/>
  </r>
  <r>
    <x v="15"/>
    <x v="0"/>
    <x v="2"/>
    <x v="1"/>
    <x v="0"/>
    <x v="2"/>
    <x v="2"/>
    <s v="Garay Vilchez Mario Martin"/>
    <n v="40"/>
    <n v="40"/>
    <n v="40"/>
    <n v="40"/>
    <n v="16"/>
    <n v="24"/>
    <n v="40"/>
    <n v="40"/>
    <n v="40"/>
    <n v="16"/>
    <n v="24"/>
    <n v="40"/>
    <n v="40"/>
    <n v="40"/>
    <n v="40"/>
    <n v="40"/>
    <n v="24"/>
    <n v="40"/>
    <n v="40"/>
    <n v="32"/>
    <n v="40"/>
    <n v="40"/>
    <n v="40"/>
    <n v="24"/>
    <n v="16"/>
    <n v="40"/>
    <n v="40"/>
    <n v="32"/>
    <n v="40"/>
    <n v="40"/>
    <n v="40"/>
    <n v="40"/>
    <n v="32"/>
    <n v="0"/>
    <n v="8"/>
    <n v="32"/>
    <n v="40"/>
    <n v="40"/>
    <n v="40"/>
    <n v="24"/>
    <n v="8"/>
    <n v="40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176"/>
    <n v="160"/>
    <n v="184"/>
    <n v="144"/>
    <n v="176"/>
    <n v="168"/>
    <n v="160"/>
    <n v="176"/>
    <n v="168"/>
    <n v="40"/>
    <n v="0"/>
    <n v="0"/>
    <n v="1552"/>
  </r>
  <r>
    <x v="16"/>
    <x v="0"/>
    <x v="6"/>
    <x v="2"/>
    <x v="1"/>
    <x v="6"/>
    <x v="6"/>
    <s v="Laurencio Ambrosio Luis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24"/>
    <n v="0"/>
    <n v="0"/>
    <n v="0"/>
    <n v="0"/>
    <n v="0"/>
    <n v="0"/>
    <n v="32"/>
  </r>
  <r>
    <x v="16"/>
    <x v="0"/>
    <x v="4"/>
    <x v="2"/>
    <x v="1"/>
    <x v="4"/>
    <x v="4"/>
    <s v="Laurencio Ambrosio Luis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0"/>
    <n v="0"/>
    <n v="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40"/>
    <n v="0"/>
    <n v="0"/>
    <n v="80"/>
  </r>
  <r>
    <x v="16"/>
    <x v="0"/>
    <x v="2"/>
    <x v="1"/>
    <x v="0"/>
    <x v="2"/>
    <x v="2"/>
    <s v="Laurencio Ambrosio Luis"/>
    <n v="40"/>
    <n v="40"/>
    <n v="40"/>
    <n v="40"/>
    <n v="16"/>
    <n v="24"/>
    <n v="40"/>
    <n v="40"/>
    <n v="40"/>
    <n v="16"/>
    <n v="24"/>
    <n v="40"/>
    <n v="40"/>
    <n v="40"/>
    <n v="40"/>
    <n v="40"/>
    <n v="16"/>
    <n v="40"/>
    <n v="40"/>
    <n v="32"/>
    <n v="40"/>
    <n v="40"/>
    <n v="40"/>
    <n v="24"/>
    <n v="16"/>
    <n v="40"/>
    <n v="40"/>
    <n v="16"/>
    <n v="32"/>
    <n v="40"/>
    <n v="40"/>
    <n v="40"/>
    <n v="32"/>
    <n v="0"/>
    <n v="8"/>
    <n v="32"/>
    <n v="40"/>
    <n v="40"/>
    <n v="40"/>
    <n v="24"/>
    <n v="8"/>
    <n v="0"/>
    <n v="40"/>
    <n v="40"/>
    <n v="40"/>
    <n v="0"/>
    <n v="0"/>
    <n v="0"/>
    <n v="0"/>
    <n v="0"/>
    <n v="0"/>
    <n v="0"/>
    <n v="0"/>
    <n v="0"/>
    <n v="0"/>
    <n v="0"/>
    <n v="0"/>
    <n v="0"/>
    <n v="0"/>
    <n v="0"/>
    <n v="176"/>
    <n v="160"/>
    <n v="184"/>
    <n v="136"/>
    <n v="176"/>
    <n v="144"/>
    <n v="160"/>
    <n v="176"/>
    <n v="128"/>
    <n v="0"/>
    <n v="0"/>
    <n v="0"/>
    <n v="1440"/>
  </r>
  <r>
    <x v="17"/>
    <x v="0"/>
    <x v="4"/>
    <x v="2"/>
    <x v="1"/>
    <x v="4"/>
    <x v="4"/>
    <s v="Arrascue Acosta Leslye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0"/>
    <n v="0"/>
    <n v="0"/>
    <n v="8"/>
    <n v="8"/>
    <n v="0"/>
    <n v="0"/>
    <n v="0"/>
    <n v="0"/>
    <n v="0"/>
    <n v="0"/>
    <n v="56"/>
  </r>
  <r>
    <x v="17"/>
    <x v="0"/>
    <x v="6"/>
    <x v="2"/>
    <x v="1"/>
    <x v="6"/>
    <x v="6"/>
    <s v="Arrascue Acosta Leslye"/>
    <n v="0"/>
    <n v="0"/>
    <n v="8"/>
    <n v="24"/>
    <n v="0"/>
    <n v="0"/>
    <n v="0"/>
    <n v="0"/>
    <n v="0"/>
    <n v="0"/>
    <n v="0"/>
    <n v="0"/>
    <n v="0"/>
    <n v="16"/>
    <n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0"/>
    <n v="16"/>
    <n v="16"/>
    <n v="0"/>
    <n v="0"/>
    <n v="0"/>
    <n v="8"/>
    <n v="0"/>
    <n v="0"/>
    <n v="0"/>
    <n v="0"/>
    <n v="72"/>
  </r>
  <r>
    <x v="17"/>
    <x v="0"/>
    <x v="2"/>
    <x v="1"/>
    <x v="0"/>
    <x v="2"/>
    <x v="2"/>
    <s v="Arrascue Acosta Leslye"/>
    <n v="0"/>
    <n v="40"/>
    <n v="32"/>
    <n v="16"/>
    <n v="16"/>
    <n v="24"/>
    <n v="40"/>
    <n v="40"/>
    <n v="40"/>
    <n v="16"/>
    <n v="24"/>
    <n v="40"/>
    <n v="40"/>
    <n v="24"/>
    <n v="40"/>
    <n v="40"/>
    <n v="24"/>
    <n v="24"/>
    <n v="40"/>
    <n v="32"/>
    <n v="40"/>
    <n v="40"/>
    <n v="32"/>
    <n v="24"/>
    <n v="16"/>
    <n v="40"/>
    <n v="32"/>
    <n v="40"/>
    <n v="32"/>
    <n v="40"/>
    <n v="40"/>
    <n v="40"/>
    <n v="32"/>
    <n v="0"/>
    <n v="8"/>
    <n v="24"/>
    <n v="40"/>
    <n v="40"/>
    <n v="40"/>
    <n v="24"/>
    <n v="8"/>
    <n v="40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104"/>
    <n v="160"/>
    <n v="168"/>
    <n v="128"/>
    <n v="168"/>
    <n v="160"/>
    <n v="160"/>
    <n v="168"/>
    <n v="168"/>
    <n v="40"/>
    <n v="0"/>
    <n v="0"/>
    <n v="1424"/>
  </r>
  <r>
    <x v="18"/>
    <x v="0"/>
    <x v="2"/>
    <x v="1"/>
    <x v="0"/>
    <x v="2"/>
    <x v="2"/>
    <s v="Ayala chira Juan Carlos"/>
    <n v="0"/>
    <n v="0"/>
    <n v="0"/>
    <n v="0"/>
    <n v="0"/>
    <n v="24"/>
    <n v="40"/>
    <n v="40"/>
    <n v="40"/>
    <n v="16"/>
    <n v="24"/>
    <n v="40"/>
    <n v="40"/>
    <n v="40"/>
    <n v="40"/>
    <n v="40"/>
    <n v="24"/>
    <n v="40"/>
    <n v="40"/>
    <n v="32"/>
    <n v="40"/>
    <n v="40"/>
    <n v="40"/>
    <n v="24"/>
    <n v="16"/>
    <n v="40"/>
    <n v="40"/>
    <n v="40"/>
    <n v="32"/>
    <n v="40"/>
    <n v="40"/>
    <n v="40"/>
    <n v="32"/>
    <n v="0"/>
    <n v="8"/>
    <n v="32"/>
    <n v="40"/>
    <n v="40"/>
    <n v="40"/>
    <n v="24"/>
    <n v="8"/>
    <n v="40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0"/>
    <n v="160"/>
    <n v="184"/>
    <n v="144"/>
    <n v="176"/>
    <n v="168"/>
    <n v="160"/>
    <n v="176"/>
    <n v="168"/>
    <n v="40"/>
    <n v="0"/>
    <n v="0"/>
    <n v="1376"/>
  </r>
  <r>
    <x v="19"/>
    <x v="0"/>
    <x v="6"/>
    <x v="2"/>
    <x v="1"/>
    <x v="6"/>
    <x v="6"/>
    <s v="Guzman Arteaga Joseph"/>
    <n v="0"/>
    <n v="0"/>
    <n v="0"/>
    <n v="0"/>
    <n v="0"/>
    <n v="0"/>
    <n v="0"/>
    <n v="0"/>
    <n v="0"/>
    <n v="0"/>
    <n v="16"/>
    <n v="0"/>
    <n v="0"/>
    <n v="0"/>
    <n v="0"/>
    <n v="0"/>
    <n v="0"/>
    <n v="0"/>
    <n v="0"/>
    <n v="0"/>
    <n v="0"/>
    <n v="0"/>
    <n v="8"/>
    <n v="0"/>
    <n v="0"/>
    <n v="0"/>
    <n v="0"/>
    <n v="8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0"/>
    <n v="8"/>
    <n v="8"/>
    <n v="8"/>
    <n v="0"/>
    <n v="0"/>
    <n v="0"/>
    <n v="0"/>
    <n v="0"/>
    <n v="40"/>
  </r>
  <r>
    <x v="19"/>
    <x v="0"/>
    <x v="4"/>
    <x v="2"/>
    <x v="1"/>
    <x v="4"/>
    <x v="4"/>
    <s v="Guzman Arteaga Joseph"/>
    <n v="8"/>
    <n v="8"/>
    <n v="40"/>
    <n v="40"/>
    <n v="16"/>
    <n v="16"/>
    <n v="0"/>
    <n v="0"/>
    <n v="8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2"/>
    <n v="40"/>
    <n v="0"/>
    <n v="0"/>
    <n v="0"/>
    <n v="0"/>
    <n v="0"/>
    <n v="0"/>
    <n v="0"/>
    <n v="0"/>
    <n v="0"/>
    <n v="0"/>
    <n v="152"/>
  </r>
  <r>
    <x v="19"/>
    <x v="0"/>
    <x v="2"/>
    <x v="1"/>
    <x v="0"/>
    <x v="2"/>
    <x v="2"/>
    <s v="Guzman Arteaga Joseph"/>
    <n v="32"/>
    <n v="32"/>
    <n v="0"/>
    <n v="0"/>
    <n v="0"/>
    <n v="8"/>
    <n v="40"/>
    <n v="40"/>
    <n v="32"/>
    <n v="0"/>
    <n v="8"/>
    <n v="40"/>
    <n v="40"/>
    <n v="40"/>
    <n v="40"/>
    <n v="40"/>
    <n v="24"/>
    <n v="40"/>
    <n v="40"/>
    <n v="32"/>
    <n v="40"/>
    <n v="40"/>
    <n v="32"/>
    <n v="24"/>
    <n v="16"/>
    <n v="40"/>
    <n v="40"/>
    <n v="32"/>
    <n v="32"/>
    <n v="40"/>
    <n v="32"/>
    <n v="40"/>
    <n v="32"/>
    <n v="0"/>
    <n v="8"/>
    <n v="32"/>
    <n v="40"/>
    <n v="40"/>
    <n v="40"/>
    <n v="24"/>
    <n v="8"/>
    <n v="40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64"/>
    <n v="120"/>
    <n v="168"/>
    <n v="144"/>
    <n v="168"/>
    <n v="160"/>
    <n v="152"/>
    <n v="176"/>
    <n v="168"/>
    <n v="40"/>
    <n v="0"/>
    <n v="0"/>
    <n v="1360"/>
  </r>
  <r>
    <x v="13"/>
    <x v="0"/>
    <x v="4"/>
    <x v="2"/>
    <x v="1"/>
    <x v="4"/>
    <x v="4"/>
    <s v="Chura Ingalla Percy William"/>
    <n v="0"/>
    <n v="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0"/>
    <n v="0"/>
    <n v="0"/>
    <n v="0"/>
    <n v="0"/>
    <n v="0"/>
    <n v="0"/>
    <n v="0"/>
    <n v="0"/>
    <n v="0"/>
    <n v="0"/>
    <n v="40"/>
  </r>
  <r>
    <x v="13"/>
    <x v="0"/>
    <x v="6"/>
    <x v="2"/>
    <x v="1"/>
    <x v="6"/>
    <x v="6"/>
    <s v="Chura Ingalla Percy William"/>
    <n v="0"/>
    <n v="0"/>
    <n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n v="8"/>
  </r>
  <r>
    <x v="20"/>
    <x v="0"/>
    <x v="2"/>
    <x v="1"/>
    <x v="0"/>
    <x v="2"/>
    <x v="2"/>
    <s v="Chuquisana Mendoza Jhonatan Alexander"/>
    <n v="16"/>
    <n v="40"/>
    <n v="40"/>
    <n v="40"/>
    <n v="16"/>
    <n v="24"/>
    <n v="40"/>
    <n v="40"/>
    <n v="40"/>
    <n v="16"/>
    <n v="24"/>
    <n v="40"/>
    <n v="40"/>
    <n v="40"/>
    <n v="40"/>
    <n v="40"/>
    <n v="24"/>
    <n v="40"/>
    <n v="40"/>
    <n v="32"/>
    <n v="40"/>
    <n v="40"/>
    <n v="40"/>
    <n v="24"/>
    <n v="16"/>
    <n v="40"/>
    <n v="40"/>
    <n v="40"/>
    <n v="32"/>
    <n v="40"/>
    <n v="40"/>
    <n v="40"/>
    <n v="32"/>
    <n v="0"/>
    <n v="8"/>
    <n v="32"/>
    <n v="40"/>
    <n v="40"/>
    <n v="40"/>
    <n v="24"/>
    <n v="8"/>
    <n v="40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152"/>
    <n v="160"/>
    <n v="184"/>
    <n v="144"/>
    <n v="176"/>
    <n v="168"/>
    <n v="160"/>
    <n v="176"/>
    <n v="168"/>
    <n v="40"/>
    <n v="0"/>
    <n v="0"/>
    <n v="1528"/>
  </r>
  <r>
    <x v="21"/>
    <x v="0"/>
    <x v="6"/>
    <x v="2"/>
    <x v="1"/>
    <x v="6"/>
    <x v="6"/>
    <s v="Meneses Sanchez Jesus Daniel"/>
    <n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n v="0"/>
    <n v="0"/>
    <n v="0"/>
    <n v="0"/>
    <n v="0"/>
    <n v="24"/>
  </r>
  <r>
    <x v="21"/>
    <x v="0"/>
    <x v="4"/>
    <x v="2"/>
    <x v="1"/>
    <x v="4"/>
    <x v="4"/>
    <s v="Meneses Sanchez Jesus Danie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4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6"/>
    <n v="0"/>
    <n v="0"/>
    <n v="0"/>
    <n v="56"/>
  </r>
  <r>
    <x v="21"/>
    <x v="0"/>
    <x v="2"/>
    <x v="1"/>
    <x v="0"/>
    <x v="2"/>
    <x v="2"/>
    <s v="Meneses Sanchez Jesus Daniel"/>
    <n v="40"/>
    <n v="40"/>
    <n v="40"/>
    <n v="40"/>
    <n v="16"/>
    <n v="24"/>
    <n v="40"/>
    <n v="40"/>
    <n v="40"/>
    <n v="16"/>
    <n v="24"/>
    <n v="40"/>
    <n v="40"/>
    <n v="40"/>
    <n v="40"/>
    <n v="16"/>
    <n v="24"/>
    <n v="40"/>
    <n v="40"/>
    <n v="32"/>
    <n v="40"/>
    <n v="40"/>
    <n v="40"/>
    <n v="24"/>
    <n v="16"/>
    <n v="40"/>
    <n v="40"/>
    <n v="40"/>
    <n v="32"/>
    <n v="40"/>
    <n v="40"/>
    <n v="40"/>
    <n v="32"/>
    <n v="0"/>
    <n v="8"/>
    <n v="32"/>
    <n v="40"/>
    <n v="40"/>
    <n v="40"/>
    <n v="24"/>
    <n v="8"/>
    <n v="32"/>
    <n v="0"/>
    <n v="32"/>
    <n v="40"/>
    <n v="40"/>
    <n v="0"/>
    <n v="0"/>
    <n v="0"/>
    <n v="0"/>
    <n v="0"/>
    <n v="0"/>
    <n v="0"/>
    <n v="0"/>
    <n v="0"/>
    <n v="0"/>
    <n v="0"/>
    <n v="0"/>
    <n v="0"/>
    <n v="0"/>
    <n v="176"/>
    <n v="160"/>
    <n v="184"/>
    <n v="120"/>
    <n v="176"/>
    <n v="168"/>
    <n v="160"/>
    <n v="176"/>
    <n v="112"/>
    <n v="40"/>
    <n v="0"/>
    <n v="0"/>
    <n v="1472"/>
  </r>
  <r>
    <x v="22"/>
    <x v="1"/>
    <x v="3"/>
    <x v="2"/>
    <x v="1"/>
    <x v="3"/>
    <x v="3"/>
    <s v="Olarte Leon Jeff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n v="0"/>
    <n v="8"/>
  </r>
  <r>
    <x v="22"/>
    <x v="1"/>
    <x v="2"/>
    <x v="1"/>
    <x v="0"/>
    <x v="2"/>
    <x v="2"/>
    <s v="Olarte Leon Jeff"/>
    <n v="0"/>
    <n v="0"/>
    <n v="0"/>
    <n v="0"/>
    <n v="0"/>
    <n v="0"/>
    <n v="0"/>
    <n v="0"/>
    <n v="40"/>
    <n v="16"/>
    <n v="24"/>
    <n v="40"/>
    <n v="40"/>
    <n v="40"/>
    <n v="40"/>
    <n v="40"/>
    <n v="24"/>
    <n v="40"/>
    <n v="40"/>
    <n v="32"/>
    <n v="40"/>
    <n v="40"/>
    <n v="40"/>
    <n v="24"/>
    <n v="16"/>
    <n v="40"/>
    <n v="32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6"/>
    <n v="184"/>
    <n v="144"/>
    <n v="176"/>
    <n v="136"/>
    <n v="0"/>
    <n v="0"/>
    <n v="0"/>
    <n v="0"/>
    <n v="0"/>
    <n v="0"/>
    <n v="696"/>
  </r>
  <r>
    <x v="23"/>
    <x v="1"/>
    <x v="2"/>
    <x v="1"/>
    <x v="0"/>
    <x v="2"/>
    <x v="2"/>
    <s v="Rivera Carrasco Giovanni "/>
    <n v="32"/>
    <n v="40"/>
    <n v="40"/>
    <n v="40"/>
    <n v="16"/>
    <n v="24"/>
    <n v="40"/>
    <n v="40"/>
    <n v="40"/>
    <n v="16"/>
    <n v="24"/>
    <n v="40"/>
    <n v="40"/>
    <n v="40"/>
    <n v="40"/>
    <n v="40"/>
    <n v="24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8"/>
    <n v="160"/>
    <n v="184"/>
    <n v="144"/>
    <n v="0"/>
    <n v="0"/>
    <n v="0"/>
    <n v="0"/>
    <n v="0"/>
    <n v="0"/>
    <n v="0"/>
    <n v="0"/>
    <n v="656"/>
  </r>
  <r>
    <x v="24"/>
    <x v="1"/>
    <x v="2"/>
    <x v="1"/>
    <x v="0"/>
    <x v="2"/>
    <x v="2"/>
    <s v="Peralta Boza Julio Freddy"/>
    <n v="40"/>
    <n v="40"/>
    <n v="40"/>
    <n v="40"/>
    <n v="16"/>
    <n v="24"/>
    <n v="40"/>
    <n v="40"/>
    <n v="40"/>
    <n v="16"/>
    <n v="24"/>
    <n v="40"/>
    <n v="40"/>
    <n v="40"/>
    <n v="40"/>
    <n v="40"/>
    <n v="24"/>
    <n v="40"/>
    <n v="40"/>
    <n v="32"/>
    <n v="40"/>
    <n v="40"/>
    <n v="40"/>
    <n v="24"/>
    <n v="16"/>
    <n v="40"/>
    <n v="40"/>
    <n v="40"/>
    <n v="32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6"/>
    <n v="160"/>
    <n v="184"/>
    <n v="144"/>
    <n v="176"/>
    <n v="168"/>
    <n v="80"/>
    <n v="0"/>
    <n v="0"/>
    <n v="0"/>
    <n v="0"/>
    <n v="0"/>
    <n v="1088"/>
  </r>
  <r>
    <x v="25"/>
    <x v="0"/>
    <x v="2"/>
    <x v="1"/>
    <x v="0"/>
    <x v="2"/>
    <x v="2"/>
    <s v="Palomino Lanchipa Everth Roma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40"/>
    <n v="40"/>
    <n v="32"/>
    <n v="0"/>
    <n v="8"/>
    <n v="32"/>
    <n v="40"/>
    <n v="40"/>
    <n v="40"/>
    <n v="24"/>
    <n v="8"/>
    <n v="40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0"/>
    <n v="176"/>
    <n v="168"/>
    <n v="40"/>
    <n v="0"/>
    <n v="0"/>
    <n v="544"/>
  </r>
  <r>
    <x v="26"/>
    <x v="0"/>
    <x v="4"/>
    <x v="2"/>
    <x v="1"/>
    <x v="4"/>
    <x v="4"/>
    <s v="Mendoza Ballona Erick Wilfredo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0"/>
    <n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0"/>
    <n v="4"/>
    <n v="0"/>
    <n v="0"/>
    <n v="0"/>
    <n v="0"/>
    <n v="0"/>
    <n v="0"/>
    <n v="44"/>
  </r>
  <r>
    <x v="26"/>
    <x v="0"/>
    <x v="6"/>
    <x v="2"/>
    <x v="1"/>
    <x v="6"/>
    <x v="6"/>
    <s v="Mendoza Ballona Erick Wilfredo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n v="16"/>
    <n v="0"/>
    <n v="0"/>
    <n v="0"/>
    <n v="0"/>
    <n v="0"/>
    <n v="0"/>
    <n v="0"/>
    <n v="24"/>
  </r>
  <r>
    <x v="26"/>
    <x v="0"/>
    <x v="2"/>
    <x v="1"/>
    <x v="0"/>
    <x v="2"/>
    <x v="2"/>
    <s v="Mendoza Ballona Erick Wilfredo"/>
    <n v="40"/>
    <n v="40"/>
    <n v="32"/>
    <n v="40"/>
    <n v="16"/>
    <n v="24"/>
    <n v="40"/>
    <n v="40"/>
    <n v="40"/>
    <n v="16"/>
    <n v="24"/>
    <n v="40"/>
    <n v="40"/>
    <n v="40"/>
    <n v="40"/>
    <n v="40"/>
    <n v="24"/>
    <n v="0"/>
    <n v="40"/>
    <n v="32"/>
    <n v="40"/>
    <n v="40"/>
    <n v="24"/>
    <n v="24"/>
    <n v="16"/>
    <n v="40"/>
    <n v="40"/>
    <n v="40"/>
    <n v="28"/>
    <n v="40"/>
    <n v="40"/>
    <n v="40"/>
    <n v="32"/>
    <n v="0"/>
    <n v="8"/>
    <n v="32"/>
    <n v="40"/>
    <n v="40"/>
    <n v="40"/>
    <n v="24"/>
    <n v="8"/>
    <n v="40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168"/>
    <n v="160"/>
    <n v="184"/>
    <n v="104"/>
    <n v="160"/>
    <n v="164"/>
    <n v="160"/>
    <n v="176"/>
    <n v="168"/>
    <n v="40"/>
    <n v="0"/>
    <n v="0"/>
    <n v="1484"/>
  </r>
  <r>
    <x v="27"/>
    <x v="0"/>
    <x v="4"/>
    <x v="2"/>
    <x v="1"/>
    <x v="4"/>
    <x v="4"/>
    <s v="Atanacio Gonzales Demetrio Jesus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32"/>
    <n v="0"/>
    <n v="0"/>
    <n v="0"/>
    <n v="0"/>
    <n v="40"/>
  </r>
  <r>
    <x v="27"/>
    <x v="0"/>
    <x v="2"/>
    <x v="1"/>
    <x v="0"/>
    <x v="2"/>
    <x v="2"/>
    <s v="Atanacio Gonzales Demetrio Jesus"/>
    <n v="40"/>
    <n v="40"/>
    <n v="40"/>
    <n v="40"/>
    <n v="10"/>
    <n v="24"/>
    <n v="40"/>
    <n v="40"/>
    <n v="32"/>
    <n v="16"/>
    <n v="24"/>
    <n v="40"/>
    <n v="40"/>
    <n v="40"/>
    <n v="40"/>
    <n v="40"/>
    <n v="16"/>
    <n v="24"/>
    <n v="40"/>
    <n v="32"/>
    <n v="40"/>
    <n v="40"/>
    <n v="40"/>
    <n v="24"/>
    <n v="16"/>
    <n v="40"/>
    <n v="40"/>
    <n v="40"/>
    <n v="32"/>
    <n v="40"/>
    <n v="40"/>
    <n v="40"/>
    <n v="32"/>
    <n v="0"/>
    <n v="0"/>
    <n v="0"/>
    <n v="40"/>
    <n v="40"/>
    <n v="32"/>
    <n v="24"/>
    <n v="8"/>
    <n v="40"/>
    <n v="40"/>
    <n v="32"/>
    <n v="40"/>
    <n v="32"/>
    <n v="0"/>
    <n v="0"/>
    <n v="0"/>
    <n v="0"/>
    <n v="0"/>
    <n v="0"/>
    <n v="0"/>
    <n v="0"/>
    <n v="0"/>
    <n v="0"/>
    <n v="0"/>
    <n v="0"/>
    <n v="0"/>
    <n v="0"/>
    <n v="170"/>
    <n v="152"/>
    <n v="184"/>
    <n v="120"/>
    <n v="176"/>
    <n v="168"/>
    <n v="152"/>
    <n v="136"/>
    <n v="160"/>
    <n v="32"/>
    <n v="0"/>
    <n v="0"/>
    <n v="1450"/>
  </r>
  <r>
    <x v="28"/>
    <x v="0"/>
    <x v="3"/>
    <x v="2"/>
    <x v="1"/>
    <x v="3"/>
    <x v="3"/>
    <s v="De la Cruz Hurtado Dany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n v="0"/>
    <n v="3"/>
    <n v="2"/>
    <n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5"/>
    <n v="2"/>
    <n v="0"/>
    <n v="0"/>
    <n v="0"/>
    <n v="15"/>
  </r>
  <r>
    <x v="28"/>
    <x v="0"/>
    <x v="6"/>
    <x v="2"/>
    <x v="1"/>
    <x v="6"/>
    <x v="6"/>
    <s v="De la Cruz Hurtado Dany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n v="0"/>
    <n v="0"/>
    <n v="8"/>
  </r>
  <r>
    <x v="28"/>
    <x v="0"/>
    <x v="8"/>
    <x v="1"/>
    <x v="0"/>
    <x v="14"/>
    <x v="13"/>
    <s v="De la Cruz Hurtado Dany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29"/>
    <n v="38"/>
    <n v="32"/>
    <n v="27"/>
    <n v="16"/>
    <n v="8"/>
    <n v="34"/>
    <n v="24"/>
    <n v="28"/>
    <n v="29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142"/>
    <n v="123"/>
    <n v="30"/>
    <n v="0"/>
    <n v="0"/>
    <n v="303"/>
  </r>
  <r>
    <x v="28"/>
    <x v="0"/>
    <x v="4"/>
    <x v="2"/>
    <x v="1"/>
    <x v="4"/>
    <x v="4"/>
    <s v="De la Cruz Hurtado Dany"/>
    <n v="0"/>
    <n v="0"/>
    <n v="0"/>
    <n v="0"/>
    <n v="0"/>
    <n v="0"/>
    <n v="0"/>
    <n v="0"/>
    <n v="0"/>
    <n v="0"/>
    <n v="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0"/>
    <n v="0"/>
    <n v="0"/>
    <n v="0"/>
    <n v="0"/>
    <n v="0"/>
    <n v="0"/>
    <n v="0"/>
    <n v="0"/>
    <n v="40"/>
  </r>
  <r>
    <x v="28"/>
    <x v="0"/>
    <x v="8"/>
    <x v="0"/>
    <x v="0"/>
    <x v="15"/>
    <x v="14"/>
    <s v="De la Cruz Hurtado Dany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n v="0"/>
    <n v="5"/>
  </r>
  <r>
    <x v="28"/>
    <x v="0"/>
    <x v="5"/>
    <x v="2"/>
    <x v="0"/>
    <x v="5"/>
    <x v="5"/>
    <s v="De la Cruz Hurtado Dany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12"/>
    <n v="8"/>
    <n v="0"/>
    <n v="6"/>
    <n v="16"/>
    <n v="12"/>
    <n v="9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43"/>
    <n v="10"/>
    <n v="0"/>
    <n v="0"/>
    <n v="77"/>
  </r>
  <r>
    <x v="28"/>
    <x v="0"/>
    <x v="2"/>
    <x v="1"/>
    <x v="0"/>
    <x v="2"/>
    <x v="2"/>
    <s v="De la Cruz Hurtado Dany"/>
    <n v="40"/>
    <n v="40"/>
    <n v="40"/>
    <n v="40"/>
    <n v="16"/>
    <n v="24"/>
    <n v="40"/>
    <n v="40"/>
    <n v="40"/>
    <n v="16"/>
    <n v="24"/>
    <n v="0"/>
    <n v="40"/>
    <n v="40"/>
    <n v="40"/>
    <n v="40"/>
    <n v="24"/>
    <n v="40"/>
    <n v="40"/>
    <n v="24"/>
    <n v="40"/>
    <n v="40"/>
    <n v="40"/>
    <n v="24"/>
    <n v="8"/>
    <n v="40"/>
    <n v="40"/>
    <n v="40"/>
    <n v="32"/>
    <n v="40"/>
    <n v="40"/>
    <n v="40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6"/>
    <n v="160"/>
    <n v="144"/>
    <n v="144"/>
    <n v="168"/>
    <n v="160"/>
    <n v="152"/>
    <n v="0"/>
    <n v="0"/>
    <n v="0"/>
    <n v="0"/>
    <n v="0"/>
    <n v="1104"/>
  </r>
  <r>
    <x v="29"/>
    <x v="0"/>
    <x v="6"/>
    <x v="2"/>
    <x v="1"/>
    <x v="6"/>
    <x v="6"/>
    <s v="Becerra Robles Danie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"/>
    <n v="0"/>
    <n v="0"/>
    <n v="0"/>
    <n v="0"/>
    <n v="0"/>
    <n v="0"/>
    <n v="0"/>
    <n v="22"/>
  </r>
  <r>
    <x v="29"/>
    <x v="0"/>
    <x v="4"/>
    <x v="2"/>
    <x v="1"/>
    <x v="4"/>
    <x v="4"/>
    <s v="Becerra Robles Daniel"/>
    <n v="0"/>
    <n v="24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"/>
    <n v="0"/>
    <n v="0"/>
    <n v="0"/>
    <n v="0"/>
    <n v="0"/>
    <n v="0"/>
    <n v="0"/>
    <n v="0"/>
    <n v="0"/>
    <n v="0"/>
    <n v="0"/>
    <n v="64"/>
  </r>
  <r>
    <x v="29"/>
    <x v="0"/>
    <x v="2"/>
    <x v="1"/>
    <x v="0"/>
    <x v="2"/>
    <x v="2"/>
    <s v="Becerra Robles Daniel"/>
    <n v="40"/>
    <n v="16"/>
    <n v="0"/>
    <n v="40"/>
    <n v="16"/>
    <n v="24"/>
    <n v="40"/>
    <n v="40"/>
    <n v="40"/>
    <n v="16"/>
    <n v="24"/>
    <n v="40"/>
    <n v="40"/>
    <n v="40"/>
    <n v="40"/>
    <n v="40"/>
    <n v="24"/>
    <n v="40"/>
    <n v="40"/>
    <n v="32"/>
    <n v="40"/>
    <n v="18"/>
    <n v="40"/>
    <n v="24"/>
    <n v="16"/>
    <n v="40"/>
    <n v="40"/>
    <n v="40"/>
    <n v="32"/>
    <n v="40"/>
    <n v="40"/>
    <n v="40"/>
    <n v="32"/>
    <n v="0"/>
    <n v="8"/>
    <n v="32"/>
    <n v="40"/>
    <n v="40"/>
    <n v="40"/>
    <n v="24"/>
    <n v="8"/>
    <n v="40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112"/>
    <n v="160"/>
    <n v="184"/>
    <n v="144"/>
    <n v="154"/>
    <n v="168"/>
    <n v="160"/>
    <n v="176"/>
    <n v="168"/>
    <n v="40"/>
    <n v="0"/>
    <n v="0"/>
    <n v="1466"/>
  </r>
  <r>
    <x v="30"/>
    <x v="0"/>
    <x v="4"/>
    <x v="2"/>
    <x v="1"/>
    <x v="4"/>
    <x v="4"/>
    <s v="Padilla Vega Cindy Victori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"/>
    <n v="0"/>
    <n v="0"/>
    <n v="0"/>
    <n v="0"/>
    <n v="64"/>
  </r>
  <r>
    <x v="30"/>
    <x v="0"/>
    <x v="2"/>
    <x v="1"/>
    <x v="0"/>
    <x v="2"/>
    <x v="2"/>
    <s v="Padilla Vega Cindy Victoria"/>
    <n v="40"/>
    <n v="40"/>
    <n v="40"/>
    <n v="40"/>
    <n v="16"/>
    <n v="24"/>
    <n v="40"/>
    <n v="40"/>
    <n v="40"/>
    <n v="16"/>
    <n v="24"/>
    <n v="40"/>
    <n v="40"/>
    <n v="40"/>
    <n v="40"/>
    <n v="40"/>
    <n v="24"/>
    <n v="40"/>
    <n v="40"/>
    <n v="32"/>
    <n v="40"/>
    <n v="40"/>
    <n v="40"/>
    <n v="24"/>
    <n v="16"/>
    <n v="40"/>
    <n v="40"/>
    <n v="40"/>
    <n v="32"/>
    <n v="40"/>
    <n v="40"/>
    <n v="40"/>
    <n v="32"/>
    <n v="0"/>
    <n v="8"/>
    <n v="0"/>
    <n v="8"/>
    <n v="40"/>
    <n v="40"/>
    <n v="24"/>
    <n v="8"/>
    <n v="40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176"/>
    <n v="160"/>
    <n v="184"/>
    <n v="144"/>
    <n v="176"/>
    <n v="168"/>
    <n v="160"/>
    <n v="112"/>
    <n v="168"/>
    <n v="40"/>
    <n v="0"/>
    <n v="0"/>
    <n v="1488"/>
  </r>
  <r>
    <x v="31"/>
    <x v="1"/>
    <x v="2"/>
    <x v="1"/>
    <x v="0"/>
    <x v="2"/>
    <x v="2"/>
    <s v="Calderon Vilchez Renzo Pablo"/>
    <n v="40"/>
    <n v="40"/>
    <n v="40"/>
    <n v="40"/>
    <n v="16"/>
    <n v="24"/>
    <n v="40"/>
    <n v="40"/>
    <n v="0"/>
    <n v="8"/>
    <n v="24"/>
    <n v="40"/>
    <n v="40"/>
    <n v="40"/>
    <n v="40"/>
    <n v="40"/>
    <n v="24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6"/>
    <n v="112"/>
    <n v="184"/>
    <n v="144"/>
    <n v="0"/>
    <n v="0"/>
    <n v="0"/>
    <n v="0"/>
    <n v="0"/>
    <n v="0"/>
    <n v="0"/>
    <n v="0"/>
    <n v="616"/>
  </r>
  <r>
    <x v="32"/>
    <x v="0"/>
    <x v="6"/>
    <x v="2"/>
    <x v="1"/>
    <x v="6"/>
    <x v="6"/>
    <s v="Aricochea Marcelo Anthony Dan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n v="0"/>
    <n v="0"/>
    <n v="8"/>
  </r>
  <r>
    <x v="32"/>
    <x v="0"/>
    <x v="2"/>
    <x v="1"/>
    <x v="0"/>
    <x v="2"/>
    <x v="2"/>
    <s v="Aricochea Marcelo Anthony Dante"/>
    <n v="40"/>
    <n v="40"/>
    <n v="40"/>
    <n v="40"/>
    <n v="16"/>
    <n v="24"/>
    <n v="40"/>
    <n v="40"/>
    <n v="40"/>
    <n v="16"/>
    <n v="24"/>
    <n v="40"/>
    <n v="40"/>
    <n v="40"/>
    <n v="40"/>
    <n v="40"/>
    <n v="24"/>
    <n v="40"/>
    <n v="40"/>
    <n v="32"/>
    <n v="40"/>
    <n v="40"/>
    <n v="40"/>
    <n v="16"/>
    <n v="16"/>
    <n v="40"/>
    <n v="40"/>
    <n v="40"/>
    <n v="32"/>
    <n v="40"/>
    <n v="40"/>
    <n v="40"/>
    <n v="32"/>
    <n v="0"/>
    <n v="8"/>
    <n v="32"/>
    <n v="40"/>
    <n v="40"/>
    <n v="40"/>
    <n v="24"/>
    <n v="8"/>
    <n v="40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176"/>
    <n v="160"/>
    <n v="184"/>
    <n v="144"/>
    <n v="168"/>
    <n v="168"/>
    <n v="160"/>
    <n v="176"/>
    <n v="168"/>
    <n v="40"/>
    <n v="0"/>
    <n v="0"/>
    <n v="1544"/>
  </r>
  <r>
    <x v="33"/>
    <x v="0"/>
    <x v="6"/>
    <x v="2"/>
    <x v="1"/>
    <x v="6"/>
    <x v="6"/>
    <s v="Pérez Cristobal Angel Marcel "/>
    <n v="0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n v="8"/>
  </r>
  <r>
    <x v="33"/>
    <x v="0"/>
    <x v="4"/>
    <x v="2"/>
    <x v="1"/>
    <x v="4"/>
    <x v="4"/>
    <s v="Pérez Cristobal Angel Marcel "/>
    <n v="0"/>
    <n v="0"/>
    <n v="0"/>
    <n v="0"/>
    <n v="0"/>
    <n v="0"/>
    <n v="0"/>
    <n v="40"/>
    <n v="8"/>
    <n v="0"/>
    <n v="0"/>
    <n v="0"/>
    <n v="0"/>
    <n v="0"/>
    <n v="0"/>
    <n v="0"/>
    <n v="0"/>
    <n v="0"/>
    <n v="0"/>
    <n v="0"/>
    <n v="0"/>
    <n v="0"/>
    <n v="40"/>
    <n v="24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8"/>
    <n v="0"/>
    <n v="0"/>
    <n v="64"/>
    <n v="16"/>
    <n v="0"/>
    <n v="0"/>
    <n v="0"/>
    <n v="0"/>
    <n v="0"/>
    <n v="0"/>
    <n v="128"/>
  </r>
  <r>
    <x v="33"/>
    <x v="0"/>
    <x v="2"/>
    <x v="1"/>
    <x v="0"/>
    <x v="2"/>
    <x v="2"/>
    <s v="Pérez Cristobal Angel Marcel "/>
    <n v="40"/>
    <n v="40"/>
    <n v="40"/>
    <n v="40"/>
    <n v="8"/>
    <n v="24"/>
    <n v="40"/>
    <n v="0"/>
    <n v="32"/>
    <n v="16"/>
    <n v="24"/>
    <n v="40"/>
    <n v="40"/>
    <n v="40"/>
    <n v="40"/>
    <n v="40"/>
    <n v="24"/>
    <n v="40"/>
    <n v="40"/>
    <n v="32"/>
    <n v="40"/>
    <n v="40"/>
    <n v="0"/>
    <n v="0"/>
    <n v="0"/>
    <n v="40"/>
    <n v="40"/>
    <n v="40"/>
    <n v="32"/>
    <n v="40"/>
    <n v="40"/>
    <n v="40"/>
    <n v="32"/>
    <n v="0"/>
    <n v="8"/>
    <n v="32"/>
    <n v="40"/>
    <n v="40"/>
    <n v="40"/>
    <n v="24"/>
    <n v="8"/>
    <n v="40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168"/>
    <n v="112"/>
    <n v="184"/>
    <n v="144"/>
    <n v="112"/>
    <n v="152"/>
    <n v="160"/>
    <n v="176"/>
    <n v="168"/>
    <n v="40"/>
    <n v="0"/>
    <n v="0"/>
    <n v="1416"/>
  </r>
  <r>
    <x v="34"/>
    <x v="0"/>
    <x v="4"/>
    <x v="2"/>
    <x v="1"/>
    <x v="4"/>
    <x v="4"/>
    <s v="Escobedo Martinez Ángel"/>
    <n v="0"/>
    <n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n v="0"/>
    <n v="0"/>
    <n v="0"/>
    <n v="16"/>
  </r>
  <r>
    <x v="34"/>
    <x v="0"/>
    <x v="2"/>
    <x v="1"/>
    <x v="0"/>
    <x v="2"/>
    <x v="2"/>
    <s v="Escobedo Martinez Ángel"/>
    <n v="40"/>
    <n v="40"/>
    <n v="40"/>
    <n v="40"/>
    <n v="16"/>
    <n v="24"/>
    <n v="40"/>
    <n v="40"/>
    <n v="40"/>
    <n v="16"/>
    <n v="24"/>
    <n v="40"/>
    <n v="40"/>
    <n v="40"/>
    <n v="40"/>
    <n v="40"/>
    <n v="8"/>
    <n v="40"/>
    <n v="40"/>
    <n v="32"/>
    <n v="40"/>
    <n v="40"/>
    <n v="40"/>
    <n v="24"/>
    <n v="16"/>
    <n v="40"/>
    <n v="40"/>
    <n v="40"/>
    <n v="32"/>
    <n v="40"/>
    <n v="40"/>
    <n v="40"/>
    <n v="32"/>
    <n v="0"/>
    <n v="8"/>
    <n v="32"/>
    <n v="40"/>
    <n v="40"/>
    <n v="40"/>
    <n v="24"/>
    <n v="8"/>
    <n v="40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176"/>
    <n v="160"/>
    <n v="184"/>
    <n v="128"/>
    <n v="176"/>
    <n v="168"/>
    <n v="160"/>
    <n v="176"/>
    <n v="168"/>
    <n v="40"/>
    <n v="0"/>
    <n v="0"/>
    <n v="1536"/>
  </r>
  <r>
    <x v="35"/>
    <x v="1"/>
    <x v="2"/>
    <x v="1"/>
    <x v="0"/>
    <x v="2"/>
    <x v="2"/>
    <s v="Lopez Borja Amadeo Felix"/>
    <n v="40"/>
    <n v="38"/>
    <n v="40"/>
    <n v="40"/>
    <n v="16"/>
    <n v="24"/>
    <n v="40"/>
    <n v="40"/>
    <n v="40"/>
    <n v="16"/>
    <n v="24"/>
    <n v="40"/>
    <n v="40"/>
    <n v="40"/>
    <n v="40"/>
    <n v="40"/>
    <n v="24"/>
    <n v="40"/>
    <n v="40"/>
    <n v="32"/>
    <n v="40"/>
    <n v="40"/>
    <n v="40"/>
    <n v="24"/>
    <n v="16"/>
    <n v="40"/>
    <n v="40"/>
    <n v="40"/>
    <n v="32"/>
    <n v="40"/>
    <n v="40"/>
    <n v="40"/>
    <n v="24"/>
    <n v="0"/>
    <n v="8"/>
    <n v="32"/>
    <n v="40"/>
    <n v="40"/>
    <n v="36"/>
    <n v="24"/>
    <n v="8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4"/>
    <n v="160"/>
    <n v="184"/>
    <n v="144"/>
    <n v="176"/>
    <n v="168"/>
    <n v="152"/>
    <n v="172"/>
    <n v="48"/>
    <n v="0"/>
    <n v="0"/>
    <n v="0"/>
    <n v="1378"/>
  </r>
  <r>
    <x v="36"/>
    <x v="1"/>
    <x v="6"/>
    <x v="2"/>
    <x v="1"/>
    <x v="6"/>
    <x v="6"/>
    <s v="Zenteno Espinoza Alex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n v="0"/>
    <n v="8"/>
  </r>
  <r>
    <x v="36"/>
    <x v="1"/>
    <x v="14"/>
    <x v="2"/>
    <x v="1"/>
    <x v="16"/>
    <x v="15"/>
    <s v="Zenteno Espinoza Alex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0"/>
    <n v="0"/>
    <n v="0"/>
    <n v="0"/>
    <n v="32"/>
  </r>
  <r>
    <x v="36"/>
    <x v="1"/>
    <x v="2"/>
    <x v="1"/>
    <x v="0"/>
    <x v="2"/>
    <x v="2"/>
    <s v="Zenteno Espinoza Alex"/>
    <n v="0"/>
    <n v="10"/>
    <n v="40"/>
    <n v="40"/>
    <n v="16"/>
    <n v="24"/>
    <n v="40"/>
    <n v="40"/>
    <n v="40"/>
    <n v="16"/>
    <n v="24"/>
    <n v="40"/>
    <n v="40"/>
    <n v="40"/>
    <n v="40"/>
    <n v="40"/>
    <n v="24"/>
    <n v="40"/>
    <n v="40"/>
    <n v="32"/>
    <n v="40"/>
    <n v="40"/>
    <n v="40"/>
    <n v="24"/>
    <n v="16"/>
    <n v="40"/>
    <n v="40"/>
    <n v="40"/>
    <n v="32"/>
    <n v="40"/>
    <n v="40"/>
    <n v="40"/>
    <n v="32"/>
    <n v="0"/>
    <n v="8"/>
    <n v="32"/>
    <n v="32"/>
    <n v="8"/>
    <n v="40"/>
    <n v="24"/>
    <n v="8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106"/>
    <n v="160"/>
    <n v="184"/>
    <n v="144"/>
    <n v="176"/>
    <n v="168"/>
    <n v="160"/>
    <n v="136"/>
    <n v="88"/>
    <n v="0"/>
    <n v="0"/>
    <n v="0"/>
    <n v="1322"/>
  </r>
  <r>
    <x v="37"/>
    <x v="1"/>
    <x v="8"/>
    <x v="1"/>
    <x v="0"/>
    <x v="17"/>
    <x v="16"/>
    <s v="Arce Portocarrero Alejandro Migue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40"/>
    <n v="40"/>
    <n v="24"/>
    <n v="7"/>
    <n v="4"/>
    <n v="20"/>
    <n v="0"/>
    <n v="24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4"/>
    <n v="55"/>
    <n v="39"/>
    <n v="0"/>
    <n v="0"/>
    <n v="238"/>
  </r>
  <r>
    <x v="37"/>
    <x v="1"/>
    <x v="8"/>
    <x v="1"/>
    <x v="0"/>
    <x v="18"/>
    <x v="17"/>
    <s v="Arce Portocarrero Alejandro Migue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36"/>
    <n v="20"/>
    <n v="40"/>
    <n v="16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3"/>
    <n v="1"/>
    <n v="0"/>
    <n v="0"/>
    <n v="114"/>
  </r>
  <r>
    <x v="37"/>
    <x v="1"/>
    <x v="2"/>
    <x v="1"/>
    <x v="0"/>
    <x v="2"/>
    <x v="2"/>
    <s v="Arce Portocarrero Alejandro Miguel"/>
    <n v="40"/>
    <n v="40"/>
    <n v="40"/>
    <n v="40"/>
    <n v="16"/>
    <n v="24"/>
    <n v="40"/>
    <n v="40"/>
    <n v="40"/>
    <n v="16"/>
    <n v="24"/>
    <n v="40"/>
    <n v="40"/>
    <n v="40"/>
    <n v="40"/>
    <n v="40"/>
    <n v="24"/>
    <n v="40"/>
    <n v="40"/>
    <n v="32"/>
    <n v="40"/>
    <n v="40"/>
    <n v="40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6"/>
    <n v="160"/>
    <n v="184"/>
    <n v="144"/>
    <n v="176"/>
    <n v="0"/>
    <n v="0"/>
    <n v="0"/>
    <n v="0"/>
    <n v="0"/>
    <n v="0"/>
    <n v="0"/>
    <n v="840"/>
  </r>
  <r>
    <x v="38"/>
    <x v="0"/>
    <x v="2"/>
    <x v="1"/>
    <x v="0"/>
    <x v="2"/>
    <x v="2"/>
    <s v="Gallegos Flores Pool Jhonatan"/>
    <n v="40"/>
    <n v="40"/>
    <n v="40"/>
    <n v="40"/>
    <n v="16"/>
    <n v="24"/>
    <n v="40"/>
    <n v="40"/>
    <n v="40"/>
    <n v="16"/>
    <n v="24"/>
    <n v="40"/>
    <n v="40"/>
    <n v="40"/>
    <n v="40"/>
    <n v="40"/>
    <n v="24"/>
    <n v="40"/>
    <n v="40"/>
    <n v="32"/>
    <n v="40"/>
    <n v="40"/>
    <n v="40"/>
    <n v="24"/>
    <n v="16"/>
    <n v="40"/>
    <n v="40"/>
    <n v="40"/>
    <n v="32"/>
    <n v="40"/>
    <n v="40"/>
    <n v="40"/>
    <n v="32"/>
    <n v="0"/>
    <n v="8"/>
    <n v="32"/>
    <n v="40"/>
    <n v="40"/>
    <n v="40"/>
    <n v="24"/>
    <n v="8"/>
    <n v="40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176"/>
    <n v="160"/>
    <n v="184"/>
    <n v="144"/>
    <n v="176"/>
    <n v="168"/>
    <n v="160"/>
    <n v="176"/>
    <n v="168"/>
    <n v="40"/>
    <n v="0"/>
    <n v="0"/>
    <n v="1552"/>
  </r>
  <r>
    <x v="1"/>
    <x v="1"/>
    <x v="15"/>
    <x v="1"/>
    <x v="0"/>
    <x v="19"/>
    <x v="18"/>
    <s v="Benito Bendezú Marco Antonio"/>
    <n v="0"/>
    <n v="0"/>
    <n v="0"/>
    <n v="0"/>
    <n v="0"/>
    <n v="0"/>
    <n v="0"/>
    <n v="0"/>
    <n v="0"/>
    <n v="0"/>
    <n v="0"/>
    <n v="0"/>
    <n v="0"/>
    <n v="0"/>
    <n v="0"/>
    <n v="0"/>
    <n v="3"/>
    <n v="5"/>
    <n v="5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"/>
    <n v="1"/>
    <n v="0"/>
    <n v="0"/>
    <n v="0"/>
    <n v="0"/>
    <n v="0"/>
    <n v="0"/>
    <n v="0"/>
    <n v="14"/>
  </r>
  <r>
    <x v="1"/>
    <x v="1"/>
    <x v="4"/>
    <x v="2"/>
    <x v="1"/>
    <x v="4"/>
    <x v="4"/>
    <s v="Benito Bendezú Marco Antoni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n v="0"/>
    <n v="8"/>
  </r>
  <r>
    <x v="1"/>
    <x v="1"/>
    <x v="3"/>
    <x v="2"/>
    <x v="1"/>
    <x v="3"/>
    <x v="3"/>
    <s v="Benito Bendezú Marco Antonio"/>
    <n v="6"/>
    <n v="6"/>
    <n v="6"/>
    <n v="6"/>
    <n v="2.5"/>
    <n v="5"/>
    <n v="5"/>
    <n v="3"/>
    <n v="2"/>
    <n v="1"/>
    <n v="3.5"/>
    <n v="9"/>
    <n v="9"/>
    <n v="9"/>
    <n v="9"/>
    <n v="18"/>
    <n v="9"/>
    <n v="23"/>
    <n v="17"/>
    <n v="0"/>
    <n v="0"/>
    <n v="40"/>
    <n v="24"/>
    <n v="8"/>
    <n v="0"/>
    <n v="0"/>
    <n v="0"/>
    <n v="0"/>
    <n v="0"/>
    <n v="5"/>
    <n v="5"/>
    <n v="6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.5"/>
    <n v="16"/>
    <n v="39.5"/>
    <n v="67"/>
    <n v="72"/>
    <n v="0"/>
    <n v="20"/>
    <n v="0"/>
    <n v="0"/>
    <n v="0"/>
    <n v="0"/>
    <n v="0"/>
    <n v="241"/>
  </r>
  <r>
    <x v="1"/>
    <x v="1"/>
    <x v="5"/>
    <x v="2"/>
    <x v="1"/>
    <x v="5"/>
    <x v="5"/>
    <s v="Benito Bendezú Marco Antonio"/>
    <n v="6"/>
    <n v="6"/>
    <n v="6"/>
    <n v="6"/>
    <n v="2.5"/>
    <n v="6"/>
    <n v="4"/>
    <n v="2"/>
    <n v="3"/>
    <n v="1"/>
    <n v="0"/>
    <n v="0"/>
    <n v="0"/>
    <n v="0"/>
    <n v="0"/>
    <n v="0"/>
    <n v="0"/>
    <n v="0"/>
    <n v="0"/>
    <n v="8"/>
    <n v="24"/>
    <n v="0"/>
    <n v="16"/>
    <n v="16"/>
    <n v="16"/>
    <n v="40"/>
    <n v="29"/>
    <n v="8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.5"/>
    <n v="16"/>
    <n v="0"/>
    <n v="0"/>
    <n v="64"/>
    <n v="97"/>
    <n v="0"/>
    <n v="0"/>
    <n v="0"/>
    <n v="0"/>
    <n v="0"/>
    <n v="0"/>
    <n v="203.5"/>
  </r>
  <r>
    <x v="39"/>
    <x v="1"/>
    <x v="7"/>
    <x v="0"/>
    <x v="0"/>
    <x v="7"/>
    <x v="7"/>
    <s v="Torres Brousset Pacheco, Gutenberg Alexis"/>
    <n v="0"/>
    <n v="0"/>
    <n v="0"/>
    <n v="0"/>
    <n v="0"/>
    <n v="0"/>
    <n v="0"/>
    <n v="0"/>
    <n v="0"/>
    <n v="0"/>
    <n v="16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0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6"/>
    <n v="0"/>
    <n v="0"/>
    <n v="0"/>
    <n v="80"/>
    <n v="0"/>
    <n v="0"/>
    <n v="0"/>
    <n v="0"/>
    <n v="0"/>
    <n v="256"/>
  </r>
  <r>
    <x v="39"/>
    <x v="1"/>
    <x v="1"/>
    <x v="0"/>
    <x v="0"/>
    <x v="20"/>
    <x v="19"/>
    <s v="Torres Brousset Pacheco, Gutenberg Alexis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0"/>
    <n v="0"/>
    <n v="0"/>
    <n v="0"/>
    <n v="0"/>
    <n v="0"/>
    <n v="0"/>
    <n v="0"/>
    <n v="0"/>
    <n v="0"/>
    <n v="0"/>
    <n v="0"/>
    <n v="80"/>
  </r>
  <r>
    <x v="40"/>
    <x v="1"/>
    <x v="12"/>
    <x v="0"/>
    <x v="0"/>
    <x v="12"/>
    <x v="11"/>
    <s v="Salazar Rojas Javier Fernando"/>
    <n v="40"/>
    <n v="40"/>
    <n v="40"/>
    <n v="4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6"/>
    <n v="0"/>
    <n v="0"/>
    <n v="0"/>
    <n v="0"/>
    <n v="0"/>
    <n v="0"/>
    <n v="0"/>
    <n v="0"/>
    <n v="0"/>
    <n v="0"/>
    <n v="0"/>
    <n v="176"/>
  </r>
  <r>
    <x v="3"/>
    <x v="1"/>
    <x v="12"/>
    <x v="0"/>
    <x v="0"/>
    <x v="12"/>
    <x v="11"/>
    <s v="Zuñiga Santillan Jose Eduardo"/>
    <n v="0"/>
    <n v="0"/>
    <n v="40"/>
    <n v="40"/>
    <n v="16"/>
    <n v="24"/>
    <n v="40"/>
    <n v="40"/>
    <n v="40"/>
    <n v="16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6"/>
    <n v="160"/>
    <n v="4"/>
    <n v="0"/>
    <n v="0"/>
    <n v="0"/>
    <n v="0"/>
    <n v="0"/>
    <n v="0"/>
    <n v="0"/>
    <n v="0"/>
    <n v="0"/>
    <n v="260"/>
  </r>
  <r>
    <x v="4"/>
    <x v="1"/>
    <x v="12"/>
    <x v="0"/>
    <x v="0"/>
    <x v="12"/>
    <x v="11"/>
    <s v="Tarazona Falcon Jesus "/>
    <n v="0"/>
    <n v="0"/>
    <n v="0"/>
    <n v="0"/>
    <n v="0"/>
    <n v="24"/>
    <n v="40"/>
    <n v="40"/>
    <n v="4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0"/>
    <n v="0"/>
    <n v="0"/>
    <n v="0"/>
    <n v="0"/>
    <n v="0"/>
    <n v="0"/>
    <n v="0"/>
    <n v="0"/>
    <n v="0"/>
    <n v="0"/>
    <n v="160"/>
  </r>
  <r>
    <x v="0"/>
    <x v="0"/>
    <x v="12"/>
    <x v="0"/>
    <x v="0"/>
    <x v="21"/>
    <x v="20"/>
    <s v="Hernani Lau Patricia Rosa"/>
    <n v="0"/>
    <n v="0"/>
    <n v="0"/>
    <n v="0"/>
    <n v="0"/>
    <n v="0"/>
    <n v="0"/>
    <n v="0"/>
    <n v="0"/>
    <n v="0"/>
    <n v="3"/>
    <n v="24"/>
    <n v="16"/>
    <n v="40"/>
    <n v="40"/>
    <n v="16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3"/>
    <n v="18"/>
    <n v="0"/>
    <n v="0"/>
    <n v="0"/>
    <n v="0"/>
    <n v="0"/>
    <n v="0"/>
    <n v="0"/>
    <n v="0"/>
    <n v="141"/>
  </r>
  <r>
    <x v="39"/>
    <x v="1"/>
    <x v="1"/>
    <x v="0"/>
    <x v="0"/>
    <x v="1"/>
    <x v="1"/>
    <s v="Torres Brousset Pacheco, Gutenberg Alexis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4"/>
    <n v="0"/>
    <n v="0"/>
    <n v="8"/>
    <n v="0"/>
    <n v="0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"/>
    <n v="40"/>
    <n v="0"/>
    <n v="0"/>
    <n v="0"/>
    <n v="0"/>
    <n v="0"/>
    <n v="0"/>
    <n v="76"/>
  </r>
  <r>
    <x v="39"/>
    <x v="1"/>
    <x v="1"/>
    <x v="0"/>
    <x v="0"/>
    <x v="22"/>
    <x v="21"/>
    <s v="Torres Brousset Pacheco, Gutenberg Alexis"/>
    <n v="0"/>
    <n v="0"/>
    <n v="0"/>
    <n v="0"/>
    <n v="0"/>
    <n v="0"/>
    <n v="0"/>
    <n v="0"/>
    <n v="0"/>
    <n v="0"/>
    <n v="0"/>
    <n v="0"/>
    <n v="0"/>
    <n v="0"/>
    <n v="0"/>
    <n v="40"/>
    <n v="0"/>
    <n v="40"/>
    <n v="40"/>
    <n v="32"/>
    <n v="40"/>
    <n v="8"/>
    <n v="36"/>
    <n v="16"/>
    <n v="16"/>
    <n v="32"/>
    <n v="40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0"/>
    <n v="132"/>
    <n v="112"/>
    <n v="0"/>
    <n v="0"/>
    <n v="0"/>
    <n v="0"/>
    <n v="0"/>
    <n v="0"/>
    <n v="364"/>
  </r>
  <r>
    <x v="0"/>
    <x v="0"/>
    <x v="0"/>
    <x v="0"/>
    <x v="0"/>
    <x v="23"/>
    <x v="22"/>
    <s v="Hernani Lau Patricia Rosa"/>
    <n v="0"/>
    <n v="0"/>
    <n v="0"/>
    <n v="0"/>
    <n v="0"/>
    <n v="0"/>
    <n v="0"/>
    <n v="0"/>
    <n v="0"/>
    <n v="0"/>
    <n v="0"/>
    <n v="0"/>
    <n v="24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2"/>
    <n v="0"/>
    <n v="0"/>
    <n v="0"/>
    <n v="0"/>
    <n v="0"/>
    <n v="0"/>
    <n v="0"/>
    <n v="0"/>
    <n v="26"/>
  </r>
  <r>
    <x v="0"/>
    <x v="0"/>
    <x v="14"/>
    <x v="2"/>
    <x v="1"/>
    <x v="16"/>
    <x v="15"/>
    <s v="Hernani Lau Patricia Ros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n v="8"/>
  </r>
  <r>
    <x v="0"/>
    <x v="0"/>
    <x v="0"/>
    <x v="0"/>
    <x v="0"/>
    <x v="24"/>
    <x v="23"/>
    <s v="Hernani Lau Patricia Ros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4"/>
    <n v="0"/>
    <n v="3"/>
    <n v="0"/>
    <n v="0"/>
    <n v="32"/>
    <n v="29"/>
    <n v="40"/>
    <n v="16"/>
    <n v="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64"/>
    <n v="57.5"/>
    <n v="0"/>
    <n v="0"/>
    <n v="0"/>
    <n v="0"/>
    <n v="0"/>
    <n v="145.5"/>
  </r>
  <r>
    <x v="41"/>
    <x v="1"/>
    <x v="0"/>
    <x v="0"/>
    <x v="0"/>
    <x v="0"/>
    <x v="0"/>
    <s v="Marin Soriano Olga Beatriz"/>
    <n v="12"/>
    <n v="4"/>
    <n v="30"/>
    <n v="22"/>
    <n v="8"/>
    <n v="12"/>
    <n v="20"/>
    <n v="20"/>
    <n v="1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6"/>
    <n v="66"/>
    <n v="0"/>
    <n v="0"/>
    <n v="0"/>
    <n v="0"/>
    <n v="0"/>
    <n v="0"/>
    <n v="0"/>
    <n v="0"/>
    <n v="0"/>
    <n v="0"/>
    <n v="142"/>
  </r>
  <r>
    <x v="39"/>
    <x v="1"/>
    <x v="16"/>
    <x v="0"/>
    <x v="0"/>
    <x v="25"/>
    <x v="24"/>
    <s v="Torres Brousset Pacheco, Gutenberg Alexis"/>
    <n v="0"/>
    <n v="0"/>
    <n v="40"/>
    <n v="4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8"/>
    <n v="0"/>
    <n v="0"/>
    <n v="0"/>
    <n v="0"/>
    <n v="0"/>
    <n v="0"/>
    <n v="0"/>
    <n v="0"/>
    <n v="0"/>
    <n v="0"/>
    <n v="0"/>
    <n v="88"/>
  </r>
  <r>
    <x v="39"/>
    <x v="1"/>
    <x v="1"/>
    <x v="0"/>
    <x v="0"/>
    <x v="26"/>
    <x v="25"/>
    <s v="Torres Brousset Pacheco, Gutenberg Alexis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0"/>
    <n v="8"/>
    <n v="32"/>
    <n v="40"/>
    <n v="40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136"/>
    <n v="0"/>
    <n v="0"/>
    <n v="0"/>
    <n v="0"/>
    <n v="176"/>
  </r>
  <r>
    <x v="39"/>
    <x v="1"/>
    <x v="6"/>
    <x v="2"/>
    <x v="1"/>
    <x v="6"/>
    <x v="6"/>
    <s v="Torres Brousset Pacheco, Gutenberg Alexis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0"/>
    <n v="0"/>
    <n v="0"/>
    <n v="0"/>
    <n v="0"/>
    <n v="32"/>
  </r>
  <r>
    <x v="39"/>
    <x v="1"/>
    <x v="4"/>
    <x v="2"/>
    <x v="1"/>
    <x v="4"/>
    <x v="4"/>
    <s v="Torres Brousset Pacheco, Gutenberg Alexis"/>
    <n v="0"/>
    <n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n v="0"/>
    <n v="0"/>
    <n v="0"/>
    <n v="0"/>
    <n v="0"/>
    <n v="24"/>
  </r>
  <r>
    <x v="39"/>
    <x v="1"/>
    <x v="3"/>
    <x v="2"/>
    <x v="1"/>
    <x v="3"/>
    <x v="3"/>
    <s v="Torres Brousset Pacheco, Gutenberg Alexis"/>
    <n v="0"/>
    <n v="0"/>
    <n v="0"/>
    <n v="0"/>
    <n v="8"/>
    <n v="24"/>
    <n v="40"/>
    <n v="40"/>
    <n v="40"/>
    <n v="16"/>
    <n v="8"/>
    <n v="0"/>
    <n v="0"/>
    <n v="0"/>
    <n v="0"/>
    <n v="0"/>
    <n v="0"/>
    <n v="0"/>
    <n v="0"/>
    <n v="8"/>
    <n v="0"/>
    <n v="0"/>
    <n v="0"/>
    <n v="0"/>
    <n v="0"/>
    <n v="0"/>
    <n v="0"/>
    <n v="16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160"/>
    <n v="8"/>
    <n v="0"/>
    <n v="8"/>
    <n v="16"/>
    <n v="8"/>
    <n v="0"/>
    <n v="0"/>
    <n v="0"/>
    <n v="0"/>
    <n v="0"/>
    <n v="208"/>
  </r>
  <r>
    <x v="42"/>
    <x v="1"/>
    <x v="7"/>
    <x v="0"/>
    <x v="0"/>
    <x v="7"/>
    <x v="7"/>
    <s v="Castillo Cardenas Jose Hildebrand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"/>
    <n v="0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8"/>
    <n v="0"/>
    <n v="0"/>
    <n v="0"/>
    <n v="48"/>
  </r>
  <r>
    <x v="40"/>
    <x v="1"/>
    <x v="7"/>
    <x v="0"/>
    <x v="0"/>
    <x v="7"/>
    <x v="7"/>
    <s v="Salazar Rojas Javier Fernando"/>
    <n v="0"/>
    <n v="0"/>
    <n v="0"/>
    <n v="0"/>
    <n v="0"/>
    <n v="24"/>
    <n v="40"/>
    <n v="40"/>
    <n v="40"/>
    <n v="16"/>
    <n v="24"/>
    <n v="40"/>
    <n v="40"/>
    <n v="40"/>
    <n v="40"/>
    <n v="40"/>
    <n v="24"/>
    <n v="16"/>
    <n v="32"/>
    <n v="32"/>
    <n v="40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0"/>
    <n v="184"/>
    <n v="112"/>
    <n v="96"/>
    <n v="0"/>
    <n v="0"/>
    <n v="0"/>
    <n v="0"/>
    <n v="0"/>
    <n v="0"/>
    <n v="0"/>
    <n v="552"/>
  </r>
  <r>
    <x v="40"/>
    <x v="1"/>
    <x v="2"/>
    <x v="1"/>
    <x v="0"/>
    <x v="2"/>
    <x v="2"/>
    <s v="Salazar Rojas Javier Fernand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24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"/>
    <n v="16"/>
    <n v="0"/>
    <n v="0"/>
    <n v="0"/>
    <n v="0"/>
    <n v="0"/>
    <n v="0"/>
    <n v="80"/>
  </r>
  <r>
    <x v="40"/>
    <x v="1"/>
    <x v="3"/>
    <x v="2"/>
    <x v="1"/>
    <x v="3"/>
    <x v="3"/>
    <s v="Salazar Rojas Javier Fernando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8"/>
    <n v="8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16"/>
    <n v="0"/>
    <n v="0"/>
    <n v="0"/>
    <n v="0"/>
    <n v="0"/>
    <n v="0"/>
    <n v="0"/>
    <n v="48"/>
  </r>
  <r>
    <x v="11"/>
    <x v="0"/>
    <x v="4"/>
    <x v="2"/>
    <x v="1"/>
    <x v="4"/>
    <x v="4"/>
    <s v="Torres Gonzales Rogger Adriá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0"/>
    <n v="0"/>
    <n v="0"/>
    <n v="0"/>
    <n v="40"/>
  </r>
  <r>
    <x v="11"/>
    <x v="0"/>
    <x v="6"/>
    <x v="2"/>
    <x v="1"/>
    <x v="6"/>
    <x v="6"/>
    <s v="Torres Gonzales Rogger Adrián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n v="8"/>
  </r>
  <r>
    <x v="23"/>
    <x v="1"/>
    <x v="6"/>
    <x v="2"/>
    <x v="1"/>
    <x v="6"/>
    <x v="6"/>
    <s v="Rivera Carrasco Giovanni 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n v="8"/>
  </r>
  <r>
    <x v="31"/>
    <x v="1"/>
    <x v="4"/>
    <x v="2"/>
    <x v="1"/>
    <x v="4"/>
    <x v="4"/>
    <s v="Calderon Vilchez Renzo Pablo"/>
    <n v="0"/>
    <n v="0"/>
    <n v="0"/>
    <n v="0"/>
    <n v="0"/>
    <n v="0"/>
    <n v="0"/>
    <n v="0"/>
    <n v="4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8"/>
    <n v="0"/>
    <n v="0"/>
    <n v="0"/>
    <n v="0"/>
    <n v="0"/>
    <n v="0"/>
    <n v="0"/>
    <n v="0"/>
    <n v="0"/>
    <n v="0"/>
    <n v="48"/>
  </r>
  <r>
    <x v="14"/>
    <x v="0"/>
    <x v="8"/>
    <x v="1"/>
    <x v="0"/>
    <x v="17"/>
    <x v="16"/>
    <s v="Fernandez Esquen Miguel Ange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16"/>
    <n v="0"/>
    <n v="0"/>
    <n v="0"/>
    <n v="24"/>
    <n v="5.5"/>
    <n v="15"/>
    <n v="40"/>
    <n v="34"/>
    <n v="29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40"/>
    <n v="123.5"/>
    <n v="7"/>
    <n v="0"/>
    <n v="0"/>
    <n v="178.5"/>
  </r>
  <r>
    <x v="14"/>
    <x v="0"/>
    <x v="8"/>
    <x v="1"/>
    <x v="0"/>
    <x v="18"/>
    <x v="17"/>
    <s v="Fernandez Esquen Miguel Ange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5"/>
    <n v="25"/>
    <n v="0"/>
    <n v="6"/>
    <n v="11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.5"/>
    <n v="33"/>
    <n v="0"/>
    <n v="0"/>
    <n v="77.5"/>
  </r>
  <r>
    <x v="43"/>
    <x v="0"/>
    <x v="17"/>
    <x v="3"/>
    <x v="0"/>
    <x v="27"/>
    <x v="26"/>
    <s v="Alejos Yamamoto Arturo Ricardo"/>
    <n v="0"/>
    <n v="5"/>
    <n v="4"/>
    <n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"/>
    <n v="0"/>
    <n v="8"/>
    <n v="0"/>
    <n v="0"/>
    <n v="0"/>
    <n v="0"/>
    <n v="0"/>
    <n v="0"/>
    <n v="0"/>
    <n v="0"/>
    <n v="0"/>
    <n v="17"/>
  </r>
  <r>
    <x v="43"/>
    <x v="0"/>
    <x v="9"/>
    <x v="0"/>
    <x v="0"/>
    <x v="9"/>
    <x v="9"/>
    <s v="Alejos Yamamoto Arturo Ricardo"/>
    <n v="0"/>
    <n v="0"/>
    <n v="0"/>
    <n v="0"/>
    <n v="0"/>
    <n v="0"/>
    <n v="0"/>
    <n v="0"/>
    <n v="0"/>
    <n v="0"/>
    <n v="0"/>
    <n v="10"/>
    <n v="12"/>
    <n v="16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0"/>
    <n v="0"/>
    <n v="0"/>
    <n v="0"/>
    <n v="0"/>
    <n v="0"/>
    <n v="0"/>
    <n v="0"/>
    <n v="0"/>
    <n v="52"/>
  </r>
  <r>
    <x v="43"/>
    <x v="0"/>
    <x v="18"/>
    <x v="0"/>
    <x v="0"/>
    <x v="28"/>
    <x v="27"/>
    <s v="Alejos Yamamoto Arturo Ricardo"/>
    <n v="10"/>
    <n v="10"/>
    <n v="8"/>
    <n v="5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"/>
    <n v="0"/>
    <n v="0"/>
    <n v="0"/>
    <n v="0"/>
    <n v="0"/>
    <n v="0"/>
    <n v="0"/>
    <n v="0"/>
    <n v="0"/>
    <n v="0"/>
    <n v="0"/>
    <n v="35"/>
  </r>
  <r>
    <x v="43"/>
    <x v="0"/>
    <x v="16"/>
    <x v="0"/>
    <x v="0"/>
    <x v="25"/>
    <x v="24"/>
    <s v="Alejos Yamamoto Arturo Ricardo"/>
    <n v="10"/>
    <n v="10"/>
    <n v="1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"/>
    <n v="0"/>
    <n v="0"/>
    <n v="0"/>
    <n v="0"/>
    <n v="0"/>
    <n v="0"/>
    <n v="0"/>
    <n v="0"/>
    <n v="0"/>
    <n v="0"/>
    <n v="0"/>
    <n v="35"/>
  </r>
  <r>
    <x v="43"/>
    <x v="0"/>
    <x v="16"/>
    <x v="0"/>
    <x v="0"/>
    <x v="29"/>
    <x v="28"/>
    <s v="Alejos Yamamoto Arturo Ricardo"/>
    <n v="0"/>
    <n v="0"/>
    <n v="0"/>
    <n v="5"/>
    <n v="4"/>
    <n v="6"/>
    <n v="20"/>
    <n v="30"/>
    <n v="1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"/>
    <n v="70"/>
    <n v="0"/>
    <n v="0"/>
    <n v="0"/>
    <n v="0"/>
    <n v="0"/>
    <n v="0"/>
    <n v="0"/>
    <n v="0"/>
    <n v="0"/>
    <n v="0"/>
    <n v="79"/>
  </r>
  <r>
    <x v="43"/>
    <x v="0"/>
    <x v="9"/>
    <x v="0"/>
    <x v="0"/>
    <x v="30"/>
    <x v="29"/>
    <s v="Alejos Yamamoto Arturo Ricard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n v="0"/>
    <n v="0"/>
    <n v="0"/>
    <n v="24"/>
  </r>
  <r>
    <x v="44"/>
    <x v="1"/>
    <x v="12"/>
    <x v="0"/>
    <x v="0"/>
    <x v="31"/>
    <x v="30"/>
    <s v="Huanes Bautista Cesar Alfred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4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2"/>
    <n v="0"/>
    <n v="0"/>
    <n v="0"/>
    <n v="0"/>
    <n v="0"/>
    <n v="72"/>
  </r>
  <r>
    <x v="45"/>
    <x v="1"/>
    <x v="19"/>
    <x v="1"/>
    <x v="0"/>
    <x v="32"/>
    <x v="31"/>
    <s v="Empresa tercerizad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40"/>
    <n v="40"/>
    <n v="32"/>
    <n v="40"/>
    <n v="40"/>
    <n v="40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152"/>
    <n v="0"/>
    <n v="0"/>
    <n v="0"/>
    <n v="0"/>
    <n v="0"/>
    <n v="304"/>
  </r>
  <r>
    <x v="43"/>
    <x v="0"/>
    <x v="5"/>
    <x v="2"/>
    <x v="1"/>
    <x v="5"/>
    <x v="5"/>
    <s v="Alejos Yamamoto Arturo Ricard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40"/>
    <n v="40"/>
    <n v="20"/>
    <n v="12"/>
    <n v="16"/>
    <n v="40"/>
    <n v="0"/>
    <n v="40"/>
    <n v="8"/>
    <n v="40"/>
    <n v="16"/>
    <n v="24"/>
    <n v="12"/>
    <n v="0"/>
    <n v="0"/>
    <n v="8"/>
    <n v="16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4"/>
    <n v="104"/>
    <n v="92"/>
    <n v="64"/>
    <n v="0"/>
    <n v="0"/>
    <n v="0"/>
    <n v="0"/>
    <n v="404"/>
  </r>
  <r>
    <x v="43"/>
    <x v="0"/>
    <x v="6"/>
    <x v="2"/>
    <x v="1"/>
    <x v="6"/>
    <x v="6"/>
    <s v="Alejos Yamamoto Arturo Ricard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0"/>
    <n v="0"/>
    <n v="0"/>
    <n v="0"/>
    <n v="0"/>
    <n v="0"/>
    <n v="40"/>
  </r>
  <r>
    <x v="43"/>
    <x v="0"/>
    <x v="4"/>
    <x v="2"/>
    <x v="1"/>
    <x v="4"/>
    <x v="4"/>
    <s v="Alejos Yamamoto Arturo Ricardo"/>
    <n v="20"/>
    <n v="15"/>
    <n v="18"/>
    <n v="25"/>
    <n v="10"/>
    <n v="18"/>
    <n v="20"/>
    <n v="10"/>
    <n v="3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24"/>
    <n v="8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0"/>
    <n v="88"/>
    <n v="90"/>
    <n v="0"/>
    <n v="0"/>
    <n v="0"/>
    <n v="0"/>
    <n v="0"/>
    <n v="64"/>
    <n v="168"/>
    <n v="0"/>
    <n v="0"/>
    <n v="0"/>
    <n v="410"/>
  </r>
  <r>
    <x v="43"/>
    <x v="0"/>
    <x v="3"/>
    <x v="2"/>
    <x v="1"/>
    <x v="3"/>
    <x v="3"/>
    <s v="Alejos Yamamoto Arturo Ricardo"/>
    <n v="0"/>
    <n v="0"/>
    <n v="0"/>
    <n v="0"/>
    <n v="0"/>
    <n v="0"/>
    <n v="0"/>
    <n v="0"/>
    <n v="0"/>
    <n v="0"/>
    <n v="16"/>
    <n v="30"/>
    <n v="28"/>
    <n v="24"/>
    <n v="26"/>
    <n v="40"/>
    <n v="24"/>
    <n v="40"/>
    <n v="40"/>
    <n v="0"/>
    <n v="0"/>
    <n v="0"/>
    <n v="2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4"/>
    <n v="144"/>
    <n v="32"/>
    <n v="0"/>
    <n v="0"/>
    <n v="0"/>
    <n v="0"/>
    <n v="0"/>
    <n v="0"/>
    <n v="0"/>
    <n v="300"/>
  </r>
  <r>
    <x v="46"/>
    <x v="0"/>
    <x v="17"/>
    <x v="3"/>
    <x v="0"/>
    <x v="27"/>
    <x v="26"/>
    <s v="Pérez Montemayor Jose Javier"/>
    <n v="0"/>
    <n v="0"/>
    <n v="0"/>
    <n v="0"/>
    <n v="0"/>
    <n v="0"/>
    <n v="0"/>
    <n v="0"/>
    <n v="0"/>
    <n v="0"/>
    <n v="8"/>
    <n v="0"/>
    <n v="0"/>
    <n v="0"/>
    <n v="0"/>
    <n v="8"/>
    <n v="24"/>
    <n v="40"/>
    <n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72"/>
    <n v="0"/>
    <n v="24"/>
    <n v="0"/>
    <n v="0"/>
    <n v="0"/>
    <n v="0"/>
    <n v="0"/>
    <n v="0"/>
    <n v="104"/>
  </r>
  <r>
    <x v="5"/>
    <x v="1"/>
    <x v="9"/>
    <x v="0"/>
    <x v="0"/>
    <x v="9"/>
    <x v="9"/>
    <s v="Carrillo Roque Rafael"/>
    <n v="0"/>
    <n v="0"/>
    <n v="0"/>
    <n v="0"/>
    <n v="0"/>
    <n v="24"/>
    <n v="4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0"/>
    <n v="0"/>
    <n v="0"/>
    <n v="0"/>
    <n v="0"/>
    <n v="0"/>
    <n v="0"/>
    <n v="0"/>
    <n v="0"/>
    <n v="0"/>
    <n v="0"/>
    <n v="80"/>
  </r>
  <r>
    <x v="46"/>
    <x v="0"/>
    <x v="9"/>
    <x v="0"/>
    <x v="0"/>
    <x v="9"/>
    <x v="9"/>
    <s v="Pérez Montemayor Jose Javier"/>
    <n v="0"/>
    <n v="0"/>
    <n v="0"/>
    <n v="0"/>
    <n v="0"/>
    <n v="24"/>
    <n v="40"/>
    <n v="36"/>
    <n v="40"/>
    <n v="16"/>
    <n v="16"/>
    <n v="40"/>
    <n v="40"/>
    <n v="40"/>
    <n v="40"/>
    <n v="32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176"/>
    <n v="32"/>
    <n v="8"/>
    <n v="0"/>
    <n v="0"/>
    <n v="0"/>
    <n v="0"/>
    <n v="0"/>
    <n v="0"/>
    <n v="0"/>
    <n v="372"/>
  </r>
  <r>
    <x v="5"/>
    <x v="1"/>
    <x v="18"/>
    <x v="0"/>
    <x v="0"/>
    <x v="28"/>
    <x v="27"/>
    <s v="Carrillo Roque Rafael"/>
    <n v="0"/>
    <n v="0"/>
    <n v="32"/>
    <n v="4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8"/>
    <n v="0"/>
    <n v="0"/>
    <n v="0"/>
    <n v="0"/>
    <n v="0"/>
    <n v="0"/>
    <n v="0"/>
    <n v="0"/>
    <n v="0"/>
    <n v="0"/>
    <n v="0"/>
    <n v="88"/>
  </r>
  <r>
    <x v="46"/>
    <x v="0"/>
    <x v="18"/>
    <x v="0"/>
    <x v="0"/>
    <x v="28"/>
    <x v="27"/>
    <s v="Pérez Montemayor Jose Javier"/>
    <n v="40"/>
    <n v="40"/>
    <n v="40"/>
    <n v="40"/>
    <n v="16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6"/>
    <n v="4"/>
    <n v="0"/>
    <n v="0"/>
    <n v="0"/>
    <n v="0"/>
    <n v="2"/>
    <n v="0"/>
    <n v="0"/>
    <n v="0"/>
    <n v="0"/>
    <n v="0"/>
    <n v="182"/>
  </r>
  <r>
    <x v="43"/>
    <x v="0"/>
    <x v="12"/>
    <x v="0"/>
    <x v="0"/>
    <x v="12"/>
    <x v="11"/>
    <s v="Alejos Yamamoto Arturo Ricard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16"/>
    <n v="2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8"/>
    <n v="0"/>
    <n v="0"/>
    <n v="0"/>
    <n v="0"/>
    <n v="0"/>
    <n v="68"/>
  </r>
  <r>
    <x v="43"/>
    <x v="0"/>
    <x v="12"/>
    <x v="0"/>
    <x v="0"/>
    <x v="31"/>
    <x v="30"/>
    <s v="Alejos Yamamoto Arturo Ricard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8"/>
    <n v="0"/>
    <n v="0"/>
    <n v="0"/>
    <n v="0"/>
    <n v="48"/>
  </r>
  <r>
    <x v="46"/>
    <x v="0"/>
    <x v="12"/>
    <x v="0"/>
    <x v="0"/>
    <x v="12"/>
    <x v="11"/>
    <s v="Pérez Montemayor Jose Javie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24"/>
    <n v="40"/>
    <n v="40"/>
    <n v="40"/>
    <n v="24"/>
    <n v="0"/>
    <n v="16"/>
    <n v="40"/>
    <n v="40"/>
    <n v="0"/>
    <n v="16"/>
    <n v="32"/>
    <n v="40"/>
    <n v="32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168"/>
    <n v="96"/>
    <n v="128"/>
    <n v="0"/>
    <n v="0"/>
    <n v="0"/>
    <n v="0"/>
    <n v="0"/>
    <n v="432"/>
  </r>
  <r>
    <x v="46"/>
    <x v="0"/>
    <x v="6"/>
    <x v="2"/>
    <x v="1"/>
    <x v="6"/>
    <x v="6"/>
    <s v="Pérez Montemayor Jose Javie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n v="0"/>
    <n v="16"/>
  </r>
  <r>
    <x v="46"/>
    <x v="0"/>
    <x v="9"/>
    <x v="0"/>
    <x v="0"/>
    <x v="30"/>
    <x v="29"/>
    <s v="Pérez Montemayor Jose Javie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22"/>
    <n v="8"/>
    <n v="0"/>
    <n v="0"/>
    <n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30"/>
    <n v="0"/>
    <n v="2"/>
    <n v="0"/>
    <n v="0"/>
    <n v="0"/>
    <n v="64"/>
  </r>
  <r>
    <x v="47"/>
    <x v="0"/>
    <x v="16"/>
    <x v="0"/>
    <x v="0"/>
    <x v="25"/>
    <x v="24"/>
    <s v="Pizarro Saldaña Jorge Gabriel"/>
    <n v="40"/>
    <n v="40"/>
    <n v="4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0"/>
    <n v="0"/>
    <n v="0"/>
    <n v="0"/>
    <n v="0"/>
    <n v="0"/>
    <n v="0"/>
    <n v="0"/>
    <n v="0"/>
    <n v="0"/>
    <n v="0"/>
    <n v="0"/>
    <n v="140"/>
  </r>
  <r>
    <x v="47"/>
    <x v="0"/>
    <x v="16"/>
    <x v="0"/>
    <x v="0"/>
    <x v="29"/>
    <x v="28"/>
    <s v="Pizarro Saldaña Jorge Gabriel"/>
    <n v="0"/>
    <n v="0"/>
    <n v="0"/>
    <n v="20"/>
    <n v="16"/>
    <n v="24"/>
    <n v="40"/>
    <n v="40"/>
    <n v="4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"/>
    <n v="160"/>
    <n v="0"/>
    <n v="0"/>
    <n v="0"/>
    <n v="0"/>
    <n v="0"/>
    <n v="0"/>
    <n v="0"/>
    <n v="0"/>
    <n v="0"/>
    <n v="0"/>
    <n v="196"/>
  </r>
  <r>
    <x v="47"/>
    <x v="0"/>
    <x v="20"/>
    <x v="0"/>
    <x v="0"/>
    <x v="33"/>
    <x v="32"/>
    <s v="Pizarro Saldaña Jorge Gabriel"/>
    <n v="0"/>
    <n v="0"/>
    <n v="0"/>
    <n v="0"/>
    <n v="0"/>
    <n v="0"/>
    <n v="0"/>
    <n v="0"/>
    <n v="0"/>
    <n v="0"/>
    <n v="24"/>
    <n v="32"/>
    <n v="32"/>
    <n v="40"/>
    <n v="40"/>
    <n v="40"/>
    <n v="20"/>
    <n v="32"/>
    <n v="32"/>
    <n v="0"/>
    <n v="28"/>
    <n v="40"/>
    <n v="40"/>
    <n v="24"/>
    <n v="16"/>
    <n v="40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8"/>
    <n v="124"/>
    <n v="132"/>
    <n v="104"/>
    <n v="0"/>
    <n v="0"/>
    <n v="0"/>
    <n v="0"/>
    <n v="0"/>
    <n v="0"/>
    <n v="528"/>
  </r>
  <r>
    <x v="47"/>
    <x v="0"/>
    <x v="9"/>
    <x v="0"/>
    <x v="0"/>
    <x v="34"/>
    <x v="33"/>
    <s v="Pizarro Saldaña Jorge Gabrie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n v="0"/>
    <n v="0"/>
    <n v="4"/>
  </r>
  <r>
    <x v="47"/>
    <x v="0"/>
    <x v="1"/>
    <x v="0"/>
    <x v="0"/>
    <x v="1"/>
    <x v="1"/>
    <s v="Pizarro Saldaña Jorge Gabrie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n v="0"/>
    <n v="16"/>
  </r>
  <r>
    <x v="47"/>
    <x v="0"/>
    <x v="21"/>
    <x v="1"/>
    <x v="0"/>
    <x v="35"/>
    <x v="34"/>
    <s v="Pizarro Saldaña Jorge Gabrie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32"/>
    <n v="27"/>
    <n v="24"/>
    <n v="24"/>
    <n v="32"/>
    <n v="0"/>
    <n v="0"/>
    <n v="24"/>
    <n v="40"/>
    <n v="0"/>
    <n v="0"/>
    <n v="16"/>
    <n v="8"/>
    <n v="28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107"/>
    <n v="80"/>
    <n v="156"/>
    <n v="40"/>
    <n v="0"/>
    <n v="0"/>
    <n v="423"/>
  </r>
  <r>
    <x v="48"/>
    <x v="0"/>
    <x v="3"/>
    <x v="2"/>
    <x v="1"/>
    <x v="3"/>
    <x v="3"/>
    <s v="Revilla Casalino Pabl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"/>
    <n v="0"/>
    <n v="0"/>
    <n v="0"/>
    <n v="0"/>
    <n v="0"/>
    <n v="0"/>
    <n v="0"/>
    <n v="16"/>
    <n v="24"/>
    <n v="24"/>
    <n v="4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"/>
    <n v="64"/>
    <n v="12"/>
    <n v="0"/>
    <n v="0"/>
    <n v="0"/>
    <n v="89"/>
  </r>
  <r>
    <x v="41"/>
    <x v="1"/>
    <x v="3"/>
    <x v="2"/>
    <x v="1"/>
    <x v="3"/>
    <x v="3"/>
    <s v="Marin Soriano Olga Beatriz"/>
    <n v="28"/>
    <n v="36"/>
    <n v="10"/>
    <n v="18"/>
    <n v="8"/>
    <n v="12"/>
    <n v="20"/>
    <n v="20"/>
    <n v="30"/>
    <n v="12"/>
    <n v="13"/>
    <n v="22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0"/>
    <n v="94"/>
    <n v="59"/>
    <n v="0"/>
    <n v="0"/>
    <n v="0"/>
    <n v="0"/>
    <n v="0"/>
    <n v="0"/>
    <n v="0"/>
    <n v="0"/>
    <n v="0"/>
    <n v="253"/>
  </r>
  <r>
    <x v="49"/>
    <x v="1"/>
    <x v="3"/>
    <x v="2"/>
    <x v="1"/>
    <x v="3"/>
    <x v="3"/>
    <s v="Cruzado Canal Manuel Enrique"/>
    <n v="40"/>
    <n v="40"/>
    <n v="40"/>
    <n v="40"/>
    <n v="16"/>
    <n v="24"/>
    <n v="40"/>
    <n v="40"/>
    <n v="40"/>
    <n v="16"/>
    <n v="24"/>
    <n v="40"/>
    <n v="40"/>
    <n v="40"/>
    <n v="40"/>
    <n v="40"/>
    <n v="24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6"/>
    <n v="160"/>
    <n v="184"/>
    <n v="144"/>
    <n v="0"/>
    <n v="0"/>
    <n v="0"/>
    <n v="0"/>
    <n v="0"/>
    <n v="0"/>
    <n v="0"/>
    <n v="0"/>
    <n v="664"/>
  </r>
  <r>
    <x v="4"/>
    <x v="1"/>
    <x v="3"/>
    <x v="2"/>
    <x v="1"/>
    <x v="3"/>
    <x v="3"/>
    <s v="Tarazona Falcon Jesus "/>
    <n v="0"/>
    <n v="0"/>
    <n v="0"/>
    <n v="0"/>
    <n v="0"/>
    <n v="0"/>
    <n v="0"/>
    <n v="0"/>
    <n v="0"/>
    <n v="0"/>
    <n v="24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4"/>
    <n v="0"/>
    <n v="0"/>
    <n v="0"/>
    <n v="0"/>
    <n v="0"/>
    <n v="0"/>
    <n v="0"/>
    <n v="0"/>
    <n v="0"/>
    <n v="184"/>
  </r>
  <r>
    <x v="47"/>
    <x v="0"/>
    <x v="3"/>
    <x v="2"/>
    <x v="1"/>
    <x v="3"/>
    <x v="3"/>
    <s v="Pizarro Saldaña Jorge Gabrie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"/>
    <n v="0"/>
    <n v="0"/>
    <n v="0"/>
    <n v="0"/>
    <n v="0"/>
    <n v="0"/>
    <n v="0"/>
    <n v="0"/>
    <n v="0"/>
    <n v="8"/>
    <n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"/>
    <n v="8"/>
    <n v="12"/>
    <n v="0"/>
    <n v="0"/>
    <n v="0"/>
    <n v="33"/>
  </r>
  <r>
    <x v="41"/>
    <x v="1"/>
    <x v="5"/>
    <x v="2"/>
    <x v="1"/>
    <x v="5"/>
    <x v="5"/>
    <s v="Marin Soriano Olga Beatriz"/>
    <n v="0"/>
    <n v="0"/>
    <n v="0"/>
    <n v="0"/>
    <n v="0"/>
    <n v="0"/>
    <n v="0"/>
    <n v="0"/>
    <n v="0"/>
    <n v="0"/>
    <n v="11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"/>
    <n v="0"/>
    <n v="0"/>
    <n v="0"/>
    <n v="0"/>
    <n v="0"/>
    <n v="0"/>
    <n v="0"/>
    <n v="0"/>
    <n v="0"/>
    <n v="29"/>
  </r>
  <r>
    <x v="27"/>
    <x v="0"/>
    <x v="6"/>
    <x v="2"/>
    <x v="1"/>
    <x v="6"/>
    <x v="6"/>
    <s v="Atanacio Gonzales Demetrio Jesus"/>
    <n v="0"/>
    <n v="0"/>
    <n v="0"/>
    <n v="0"/>
    <n v="6"/>
    <n v="0"/>
    <n v="0"/>
    <n v="0"/>
    <n v="8"/>
    <n v="0"/>
    <n v="0"/>
    <n v="0"/>
    <n v="0"/>
    <n v="0"/>
    <n v="0"/>
    <n v="0"/>
    <n v="8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8"/>
    <n v="0"/>
    <n v="0"/>
    <n v="0"/>
    <n v="0"/>
    <n v="0"/>
    <n v="0"/>
    <n v="0"/>
    <n v="0"/>
    <n v="0"/>
    <n v="0"/>
    <n v="0"/>
    <n v="0"/>
    <n v="0"/>
    <n v="0"/>
    <n v="6"/>
    <n v="8"/>
    <n v="0"/>
    <n v="24"/>
    <n v="0"/>
    <n v="0"/>
    <n v="0"/>
    <n v="0"/>
    <n v="8"/>
    <n v="8"/>
    <n v="0"/>
    <n v="0"/>
    <n v="54"/>
  </r>
  <r>
    <x v="27"/>
    <x v="0"/>
    <x v="14"/>
    <x v="2"/>
    <x v="1"/>
    <x v="16"/>
    <x v="15"/>
    <s v="Atanacio Gonzales Demetrio Jesus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n v="0"/>
    <n v="8"/>
  </r>
  <r>
    <x v="47"/>
    <x v="0"/>
    <x v="4"/>
    <x v="2"/>
    <x v="1"/>
    <x v="4"/>
    <x v="4"/>
    <s v="Pizarro Saldaña Jorge Gabriel"/>
    <n v="0"/>
    <n v="0"/>
    <n v="0"/>
    <n v="0"/>
    <n v="0"/>
    <n v="0"/>
    <n v="0"/>
    <n v="0"/>
    <n v="0"/>
    <n v="0"/>
    <n v="0"/>
    <n v="8"/>
    <n v="8"/>
    <n v="0"/>
    <n v="0"/>
    <n v="0"/>
    <n v="0"/>
    <n v="8"/>
    <n v="0"/>
    <n v="32"/>
    <n v="8"/>
    <n v="0"/>
    <n v="0"/>
    <n v="0"/>
    <n v="0"/>
    <n v="0"/>
    <n v="0"/>
    <n v="8"/>
    <n v="0"/>
    <n v="0"/>
    <n v="16"/>
    <n v="16"/>
    <n v="0"/>
    <n v="0"/>
    <n v="0"/>
    <n v="0"/>
    <n v="0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8"/>
    <n v="40"/>
    <n v="8"/>
    <n v="32"/>
    <n v="80"/>
    <n v="0"/>
    <n v="0"/>
    <n v="0"/>
    <n v="0"/>
    <n v="184"/>
  </r>
  <r>
    <x v="47"/>
    <x v="0"/>
    <x v="5"/>
    <x v="2"/>
    <x v="1"/>
    <x v="5"/>
    <x v="5"/>
    <s v="Pizarro Saldaña Jorge Gabriel"/>
    <n v="0"/>
    <n v="0"/>
    <n v="0"/>
    <n v="0"/>
    <n v="0"/>
    <n v="0"/>
    <n v="0"/>
    <n v="0"/>
    <n v="0"/>
    <n v="0"/>
    <n v="0"/>
    <n v="0"/>
    <n v="0"/>
    <n v="0"/>
    <n v="0"/>
    <n v="0"/>
    <n v="4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n v="0"/>
    <n v="0"/>
    <n v="0"/>
    <n v="0"/>
    <n v="0"/>
    <n v="12"/>
  </r>
  <r>
    <x v="5"/>
    <x v="1"/>
    <x v="17"/>
    <x v="3"/>
    <x v="0"/>
    <x v="27"/>
    <x v="26"/>
    <s v="Carrillo Roque Rafael"/>
    <n v="40"/>
    <n v="4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8"/>
    <n v="0"/>
    <n v="0"/>
    <n v="0"/>
    <n v="0"/>
    <n v="0"/>
    <n v="0"/>
    <n v="0"/>
    <n v="0"/>
    <n v="0"/>
    <n v="0"/>
    <n v="0"/>
    <n v="88"/>
  </r>
  <r>
    <x v="47"/>
    <x v="0"/>
    <x v="6"/>
    <x v="2"/>
    <x v="1"/>
    <x v="6"/>
    <x v="6"/>
    <s v="Pizarro Saldaña Jorge Gabrie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0"/>
    <n v="0"/>
    <n v="0"/>
    <n v="0"/>
    <n v="16"/>
  </r>
  <r>
    <x v="48"/>
    <x v="0"/>
    <x v="16"/>
    <x v="0"/>
    <x v="0"/>
    <x v="25"/>
    <x v="24"/>
    <s v="Revilla Casalino Pablo"/>
    <n v="40"/>
    <n v="40"/>
    <n v="4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0"/>
    <n v="0"/>
    <n v="0"/>
    <n v="0"/>
    <n v="0"/>
    <n v="0"/>
    <n v="0"/>
    <n v="0"/>
    <n v="0"/>
    <n v="0"/>
    <n v="0"/>
    <n v="0"/>
    <n v="140"/>
  </r>
  <r>
    <x v="48"/>
    <x v="0"/>
    <x v="16"/>
    <x v="0"/>
    <x v="0"/>
    <x v="29"/>
    <x v="28"/>
    <s v="Revilla Casalino Pablo"/>
    <n v="0"/>
    <n v="0"/>
    <n v="0"/>
    <n v="20"/>
    <n v="16"/>
    <n v="24"/>
    <n v="40"/>
    <n v="40"/>
    <n v="4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"/>
    <n v="160"/>
    <n v="0"/>
    <n v="0"/>
    <n v="0"/>
    <n v="0"/>
    <n v="0"/>
    <n v="0"/>
    <n v="0"/>
    <n v="0"/>
    <n v="0"/>
    <n v="0"/>
    <n v="196"/>
  </r>
  <r>
    <x v="48"/>
    <x v="0"/>
    <x v="9"/>
    <x v="0"/>
    <x v="0"/>
    <x v="34"/>
    <x v="33"/>
    <s v="Revilla Casalino Pablo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0"/>
    <n v="4"/>
    <n v="4"/>
    <n v="0"/>
    <n v="4"/>
    <n v="0"/>
    <n v="8"/>
    <n v="20"/>
    <n v="12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"/>
    <n v="12"/>
    <n v="50"/>
    <n v="0"/>
    <n v="0"/>
    <n v="0"/>
    <n v="0"/>
    <n v="0"/>
    <n v="0"/>
    <n v="74"/>
  </r>
  <r>
    <x v="50"/>
    <x v="0"/>
    <x v="20"/>
    <x v="0"/>
    <x v="0"/>
    <x v="33"/>
    <x v="32"/>
    <s v="Chamorro Rojas Pierre Nesto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n v="16"/>
  </r>
  <r>
    <x v="48"/>
    <x v="0"/>
    <x v="20"/>
    <x v="0"/>
    <x v="0"/>
    <x v="33"/>
    <x v="32"/>
    <s v="Revilla Casalino Pablo"/>
    <n v="0"/>
    <n v="0"/>
    <n v="0"/>
    <n v="0"/>
    <n v="0"/>
    <n v="0"/>
    <n v="0"/>
    <n v="0"/>
    <n v="0"/>
    <n v="0"/>
    <n v="24"/>
    <n v="40"/>
    <n v="40"/>
    <n v="40"/>
    <n v="40"/>
    <n v="32"/>
    <n v="20"/>
    <n v="28"/>
    <n v="12"/>
    <n v="7"/>
    <n v="34"/>
    <n v="40"/>
    <n v="28"/>
    <n v="24"/>
    <n v="8"/>
    <n v="20"/>
    <n v="8"/>
    <n v="12"/>
    <n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4"/>
    <n v="92"/>
    <n v="133"/>
    <n v="48"/>
    <n v="16"/>
    <n v="0"/>
    <n v="0"/>
    <n v="0"/>
    <n v="0"/>
    <n v="0"/>
    <n v="473"/>
  </r>
  <r>
    <x v="48"/>
    <x v="0"/>
    <x v="1"/>
    <x v="0"/>
    <x v="0"/>
    <x v="1"/>
    <x v="1"/>
    <s v="Revilla Casalino Pabl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n v="0"/>
    <n v="16"/>
  </r>
  <r>
    <x v="48"/>
    <x v="0"/>
    <x v="21"/>
    <x v="1"/>
    <x v="0"/>
    <x v="35"/>
    <x v="34"/>
    <s v="Revilla Casalino Pabl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"/>
    <n v="32"/>
    <n v="19"/>
    <n v="40"/>
    <n v="24"/>
    <n v="32"/>
    <n v="0"/>
    <n v="0"/>
    <n v="32"/>
    <n v="40"/>
    <n v="24"/>
    <n v="16"/>
    <n v="0"/>
    <n v="4"/>
    <n v="16"/>
    <n v="24"/>
    <n v="12"/>
    <n v="40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6"/>
    <n v="115"/>
    <n v="112"/>
    <n v="96"/>
    <n v="32"/>
    <n v="0"/>
    <n v="0"/>
    <n v="401"/>
  </r>
  <r>
    <x v="48"/>
    <x v="0"/>
    <x v="4"/>
    <x v="2"/>
    <x v="1"/>
    <x v="4"/>
    <x v="4"/>
    <s v="Revilla Casalino Pabl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8"/>
    <n v="0"/>
    <n v="0"/>
    <n v="16"/>
  </r>
  <r>
    <x v="48"/>
    <x v="0"/>
    <x v="6"/>
    <x v="2"/>
    <x v="1"/>
    <x v="6"/>
    <x v="6"/>
    <s v="Revilla Casalino Pabl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n v="8"/>
  </r>
  <r>
    <x v="48"/>
    <x v="0"/>
    <x v="5"/>
    <x v="2"/>
    <x v="1"/>
    <x v="5"/>
    <x v="5"/>
    <s v="Revilla Casalino Pablo"/>
    <n v="0"/>
    <n v="0"/>
    <n v="0"/>
    <n v="0"/>
    <n v="0"/>
    <n v="0"/>
    <n v="0"/>
    <n v="0"/>
    <n v="0"/>
    <n v="0"/>
    <n v="0"/>
    <n v="0"/>
    <n v="0"/>
    <n v="0"/>
    <n v="0"/>
    <n v="8"/>
    <n v="4"/>
    <n v="10"/>
    <n v="18"/>
    <n v="21"/>
    <n v="2"/>
    <n v="0"/>
    <n v="8"/>
    <n v="0"/>
    <n v="0"/>
    <n v="0"/>
    <n v="4"/>
    <n v="4"/>
    <n v="0"/>
    <n v="8"/>
    <n v="0"/>
    <n v="0"/>
    <n v="0"/>
    <n v="0"/>
    <n v="0"/>
    <n v="0"/>
    <n v="0"/>
    <n v="0"/>
    <n v="0"/>
    <n v="0"/>
    <n v="0"/>
    <n v="16"/>
    <n v="16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31"/>
    <n v="8"/>
    <n v="8"/>
    <n v="0"/>
    <n v="52"/>
    <n v="0"/>
    <n v="0"/>
    <n v="0"/>
    <n v="139"/>
  </r>
  <r>
    <x v="51"/>
    <x v="0"/>
    <x v="4"/>
    <x v="2"/>
    <x v="1"/>
    <x v="4"/>
    <x v="4"/>
    <s v="Garcia Gutierrez Alan David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0"/>
    <n v="0"/>
    <n v="0"/>
    <n v="40"/>
    <n v="0"/>
    <n v="0"/>
    <n v="0"/>
    <n v="0"/>
    <n v="80"/>
  </r>
  <r>
    <x v="51"/>
    <x v="0"/>
    <x v="11"/>
    <x v="1"/>
    <x v="0"/>
    <x v="11"/>
    <x v="10"/>
    <s v="Garcia Gutierrez Alan David"/>
    <n v="40"/>
    <n v="40"/>
    <n v="40"/>
    <n v="40"/>
    <n v="16"/>
    <n v="24"/>
    <n v="40"/>
    <n v="40"/>
    <n v="40"/>
    <n v="16"/>
    <n v="24"/>
    <n v="40"/>
    <n v="40"/>
    <n v="40"/>
    <n v="40"/>
    <n v="40"/>
    <n v="24"/>
    <n v="40"/>
    <n v="0"/>
    <n v="32"/>
    <n v="40"/>
    <n v="40"/>
    <n v="40"/>
    <n v="24"/>
    <n v="16"/>
    <n v="40"/>
    <n v="40"/>
    <n v="40"/>
    <n v="32"/>
    <n v="40"/>
    <n v="40"/>
    <n v="40"/>
    <n v="32"/>
    <n v="0"/>
    <n v="8"/>
    <n v="32"/>
    <n v="40"/>
    <n v="8"/>
    <n v="32"/>
    <n v="24"/>
    <n v="8"/>
    <n v="40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176"/>
    <n v="160"/>
    <n v="184"/>
    <n v="104"/>
    <n v="176"/>
    <n v="168"/>
    <n v="160"/>
    <n v="136"/>
    <n v="168"/>
    <n v="40"/>
    <n v="0"/>
    <n v="0"/>
    <n v="1472"/>
  </r>
  <r>
    <x v="52"/>
    <x v="0"/>
    <x v="13"/>
    <x v="1"/>
    <x v="0"/>
    <x v="36"/>
    <x v="35"/>
    <s v="Capactinta Bonifacio Luis Reynald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32"/>
    <n v="24"/>
    <n v="8"/>
    <n v="40"/>
    <n v="32"/>
    <n v="40"/>
    <n v="32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6"/>
    <n v="152"/>
    <n v="40"/>
    <n v="0"/>
    <n v="0"/>
    <n v="288"/>
  </r>
  <r>
    <x v="53"/>
    <x v="0"/>
    <x v="14"/>
    <x v="2"/>
    <x v="1"/>
    <x v="16"/>
    <x v="15"/>
    <s v="Villanueva Melgarejo Andres Angel 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0"/>
    <n v="0"/>
    <n v="0"/>
    <n v="0"/>
    <n v="40"/>
  </r>
  <r>
    <x v="53"/>
    <x v="0"/>
    <x v="10"/>
    <x v="1"/>
    <x v="0"/>
    <x v="10"/>
    <x v="10"/>
    <s v="Villanueva Melgarejo Andres Angel "/>
    <n v="40"/>
    <n v="40"/>
    <n v="40"/>
    <n v="40"/>
    <n v="16"/>
    <n v="24"/>
    <n v="40"/>
    <n v="40"/>
    <n v="40"/>
    <n v="16"/>
    <n v="24"/>
    <n v="40"/>
    <n v="40"/>
    <n v="40"/>
    <n v="40"/>
    <n v="40"/>
    <n v="24"/>
    <n v="40"/>
    <n v="40"/>
    <n v="32"/>
    <n v="40"/>
    <n v="40"/>
    <n v="40"/>
    <n v="24"/>
    <n v="16"/>
    <n v="40"/>
    <n v="40"/>
    <n v="40"/>
    <n v="32"/>
    <n v="40"/>
    <n v="40"/>
    <n v="40"/>
    <n v="32"/>
    <n v="0"/>
    <n v="8"/>
    <n v="32"/>
    <n v="40"/>
    <n v="40"/>
    <n v="0"/>
    <n v="24"/>
    <n v="8"/>
    <n v="40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176"/>
    <n v="160"/>
    <n v="184"/>
    <n v="144"/>
    <n v="176"/>
    <n v="168"/>
    <n v="160"/>
    <n v="136"/>
    <n v="168"/>
    <n v="40"/>
    <n v="0"/>
    <n v="0"/>
    <n v="1512"/>
  </r>
  <r>
    <x v="54"/>
    <x v="1"/>
    <x v="4"/>
    <x v="2"/>
    <x v="1"/>
    <x v="4"/>
    <x v="4"/>
    <s v="Fernandez Sanchez Walter Jose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0"/>
    <n v="0"/>
    <n v="0"/>
    <n v="0"/>
    <n v="0"/>
    <n v="0"/>
    <n v="0"/>
    <n v="0"/>
    <n v="0"/>
    <n v="0"/>
    <n v="0"/>
    <n v="40"/>
  </r>
  <r>
    <x v="54"/>
    <x v="1"/>
    <x v="15"/>
    <x v="1"/>
    <x v="0"/>
    <x v="19"/>
    <x v="18"/>
    <s v="Fernandez Sanchez Walter Jose"/>
    <n v="0"/>
    <n v="40"/>
    <n v="40"/>
    <n v="40"/>
    <n v="16"/>
    <n v="24"/>
    <n v="40"/>
    <n v="40"/>
    <n v="40"/>
    <n v="16"/>
    <n v="24"/>
    <n v="40"/>
    <n v="40"/>
    <n v="40"/>
    <n v="40"/>
    <n v="40"/>
    <n v="24"/>
    <n v="40"/>
    <n v="40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6"/>
    <n v="160"/>
    <n v="184"/>
    <n v="144"/>
    <n v="32"/>
    <n v="0"/>
    <n v="0"/>
    <n v="0"/>
    <n v="0"/>
    <n v="0"/>
    <n v="0"/>
    <n v="0"/>
    <n v="656"/>
  </r>
  <r>
    <x v="52"/>
    <x v="0"/>
    <x v="13"/>
    <x v="0"/>
    <x v="0"/>
    <x v="13"/>
    <x v="12"/>
    <s v="Capactinta Bonifacio Luis Reynaldo"/>
    <n v="40"/>
    <n v="40"/>
    <n v="40"/>
    <n v="40"/>
    <n v="16"/>
    <n v="24"/>
    <n v="40"/>
    <n v="40"/>
    <n v="40"/>
    <n v="16"/>
    <n v="16"/>
    <n v="0"/>
    <n v="0"/>
    <n v="0"/>
    <n v="0"/>
    <n v="40"/>
    <n v="24"/>
    <n v="40"/>
    <n v="40"/>
    <n v="32"/>
    <n v="32"/>
    <n v="32"/>
    <n v="40"/>
    <n v="24"/>
    <n v="16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6"/>
    <n v="160"/>
    <n v="16"/>
    <n v="144"/>
    <n v="160"/>
    <n v="24"/>
    <n v="0"/>
    <n v="0"/>
    <n v="0"/>
    <n v="0"/>
    <n v="0"/>
    <n v="0"/>
    <n v="680"/>
  </r>
  <r>
    <x v="55"/>
    <x v="1"/>
    <x v="11"/>
    <x v="1"/>
    <x v="0"/>
    <x v="11"/>
    <x v="10"/>
    <s v="Rodas Alanya Victor Elieze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n v="0"/>
    <n v="24"/>
  </r>
  <r>
    <x v="52"/>
    <x v="0"/>
    <x v="6"/>
    <x v="2"/>
    <x v="1"/>
    <x v="6"/>
    <x v="6"/>
    <s v="Capactinta Bonifacio Luis Reynald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n v="8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0"/>
    <n v="0"/>
    <n v="8"/>
    <n v="16"/>
    <n v="0"/>
    <n v="0"/>
    <n v="0"/>
    <n v="40"/>
  </r>
  <r>
    <x v="52"/>
    <x v="0"/>
    <x v="4"/>
    <x v="2"/>
    <x v="1"/>
    <x v="4"/>
    <x v="4"/>
    <s v="Capactinta Bonifacio Luis Reynaldo"/>
    <n v="0"/>
    <n v="0"/>
    <n v="0"/>
    <n v="0"/>
    <n v="0"/>
    <n v="0"/>
    <n v="0"/>
    <n v="0"/>
    <n v="0"/>
    <n v="0"/>
    <n v="8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8"/>
    <n v="0"/>
    <n v="0"/>
    <n v="0"/>
    <n v="0"/>
    <n v="0"/>
    <n v="0"/>
    <n v="0"/>
    <n v="0"/>
    <n v="0"/>
    <n v="88"/>
  </r>
  <r>
    <x v="52"/>
    <x v="0"/>
    <x v="3"/>
    <x v="2"/>
    <x v="1"/>
    <x v="3"/>
    <x v="3"/>
    <s v="Capactinta Bonifacio Luis Reynaldo"/>
    <n v="0"/>
    <n v="0"/>
    <n v="0"/>
    <n v="0"/>
    <n v="0"/>
    <n v="0"/>
    <n v="0"/>
    <n v="0"/>
    <n v="0"/>
    <n v="0"/>
    <n v="0"/>
    <n v="0"/>
    <n v="0"/>
    <n v="40"/>
    <n v="40"/>
    <n v="0"/>
    <n v="0"/>
    <n v="0"/>
    <n v="0"/>
    <n v="0"/>
    <n v="0"/>
    <n v="0"/>
    <n v="0"/>
    <n v="0"/>
    <n v="0"/>
    <n v="24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0"/>
    <n v="0"/>
    <n v="0"/>
    <n v="104"/>
    <n v="0"/>
    <n v="0"/>
    <n v="0"/>
    <n v="0"/>
    <n v="0"/>
    <n v="0"/>
    <n v="184"/>
  </r>
  <r>
    <x v="56"/>
    <x v="0"/>
    <x v="1"/>
    <x v="0"/>
    <x v="0"/>
    <x v="1"/>
    <x v="1"/>
    <s v="Barbaran Broncales Emanue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32"/>
    <n v="40"/>
    <n v="40"/>
    <n v="40"/>
    <n v="24"/>
    <n v="16"/>
    <n v="40"/>
    <n v="40"/>
    <n v="40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176"/>
    <n v="168"/>
    <n v="0"/>
    <n v="0"/>
    <n v="0"/>
    <n v="0"/>
    <n v="0"/>
    <n v="0"/>
    <n v="376"/>
  </r>
  <r>
    <x v="56"/>
    <x v="0"/>
    <x v="2"/>
    <x v="1"/>
    <x v="0"/>
    <x v="2"/>
    <x v="2"/>
    <s v="Barbaran Broncales Emanuel"/>
    <n v="40"/>
    <n v="40"/>
    <n v="40"/>
    <n v="40"/>
    <n v="16"/>
    <n v="24"/>
    <n v="40"/>
    <n v="40"/>
    <n v="40"/>
    <n v="16"/>
    <n v="24"/>
    <n v="40"/>
    <n v="40"/>
    <n v="40"/>
    <n v="4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6"/>
    <n v="160"/>
    <n v="184"/>
    <n v="16"/>
    <n v="0"/>
    <n v="0"/>
    <n v="0"/>
    <n v="0"/>
    <n v="0"/>
    <n v="0"/>
    <n v="0"/>
    <n v="0"/>
    <n v="536"/>
  </r>
  <r>
    <x v="56"/>
    <x v="0"/>
    <x v="3"/>
    <x v="2"/>
    <x v="1"/>
    <x v="3"/>
    <x v="3"/>
    <s v="Barbaran Broncales Emanuel"/>
    <n v="0"/>
    <n v="0"/>
    <n v="0"/>
    <n v="0"/>
    <n v="0"/>
    <n v="0"/>
    <n v="0"/>
    <n v="0"/>
    <n v="0"/>
    <n v="0"/>
    <n v="0"/>
    <n v="0"/>
    <n v="0"/>
    <n v="0"/>
    <n v="0"/>
    <n v="24"/>
    <n v="24"/>
    <n v="40"/>
    <n v="8"/>
    <n v="0"/>
    <n v="0"/>
    <n v="0"/>
    <n v="0"/>
    <n v="0"/>
    <n v="0"/>
    <n v="0"/>
    <n v="0"/>
    <n v="0"/>
    <n v="0"/>
    <n v="40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6"/>
    <n v="0"/>
    <n v="0"/>
    <n v="120"/>
    <n v="0"/>
    <n v="0"/>
    <n v="0"/>
    <n v="0"/>
    <n v="0"/>
    <n v="216"/>
  </r>
  <r>
    <x v="44"/>
    <x v="1"/>
    <x v="3"/>
    <x v="2"/>
    <x v="1"/>
    <x v="3"/>
    <x v="3"/>
    <s v="Huanes Bautista Cesar Alfred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0"/>
    <n v="0"/>
    <n v="0"/>
    <n v="0"/>
    <n v="0"/>
    <n v="0"/>
    <n v="0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32"/>
    <n v="0"/>
    <n v="0"/>
    <n v="0"/>
    <n v="0"/>
    <n v="72"/>
  </r>
  <r>
    <x v="44"/>
    <x v="1"/>
    <x v="6"/>
    <x v="2"/>
    <x v="1"/>
    <x v="6"/>
    <x v="6"/>
    <s v="Huanes Bautista Cesar Alfred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n v="0"/>
    <n v="8"/>
  </r>
  <r>
    <x v="44"/>
    <x v="1"/>
    <x v="22"/>
    <x v="2"/>
    <x v="1"/>
    <x v="37"/>
    <x v="36"/>
    <s v="Huanes Bautista Cesar Alfred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0"/>
    <n v="0"/>
    <n v="0"/>
    <n v="0"/>
    <n v="40"/>
  </r>
  <r>
    <x v="44"/>
    <x v="1"/>
    <x v="1"/>
    <x v="0"/>
    <x v="0"/>
    <x v="1"/>
    <x v="1"/>
    <s v="Huanes Bautista Cesar Alfred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40"/>
    <n v="40"/>
    <n v="40"/>
    <n v="24"/>
    <n v="16"/>
    <n v="40"/>
    <n v="40"/>
    <n v="40"/>
    <n v="32"/>
    <n v="0"/>
    <n v="24"/>
    <n v="0"/>
    <n v="16"/>
    <n v="0"/>
    <n v="8"/>
    <n v="32"/>
    <n v="40"/>
    <n v="0"/>
    <n v="16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8"/>
    <n v="168"/>
    <n v="48"/>
    <n v="96"/>
    <n v="8"/>
    <n v="0"/>
    <n v="0"/>
    <n v="0"/>
    <n v="488"/>
  </r>
  <r>
    <x v="35"/>
    <x v="1"/>
    <x v="6"/>
    <x v="2"/>
    <x v="1"/>
    <x v="6"/>
    <x v="6"/>
    <s v="Lopez Borja Amadeo Felix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n v="8"/>
    <n v="4"/>
    <n v="0"/>
    <n v="0"/>
    <n v="0"/>
    <n v="0"/>
    <n v="14"/>
  </r>
  <r>
    <x v="57"/>
    <x v="1"/>
    <x v="6"/>
    <x v="2"/>
    <x v="1"/>
    <x v="6"/>
    <x v="6"/>
    <s v="Galvez Aguilar Arturo Jesus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n v="8"/>
  </r>
  <r>
    <x v="57"/>
    <x v="1"/>
    <x v="3"/>
    <x v="2"/>
    <x v="1"/>
    <x v="3"/>
    <x v="3"/>
    <s v="Galvez Aguilar Arturo Jesus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0"/>
    <n v="8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16"/>
    <n v="0"/>
    <n v="0"/>
    <n v="0"/>
    <n v="0"/>
    <n v="48"/>
  </r>
  <r>
    <x v="58"/>
    <x v="0"/>
    <x v="15"/>
    <x v="1"/>
    <x v="0"/>
    <x v="19"/>
    <x v="18"/>
    <s v="Taipe Aylas Ronald David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32"/>
    <n v="40"/>
    <n v="40"/>
    <n v="40"/>
    <n v="24"/>
    <n v="8"/>
    <n v="40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176"/>
    <n v="168"/>
    <n v="40"/>
    <n v="0"/>
    <n v="0"/>
    <n v="392"/>
  </r>
  <r>
    <x v="56"/>
    <x v="0"/>
    <x v="10"/>
    <x v="1"/>
    <x v="0"/>
    <x v="10"/>
    <x v="10"/>
    <s v="Barbaran Broncales Emanue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n v="0"/>
    <n v="12"/>
  </r>
  <r>
    <x v="56"/>
    <x v="0"/>
    <x v="14"/>
    <x v="2"/>
    <x v="1"/>
    <x v="16"/>
    <x v="15"/>
    <s v="Barbaran Broncales Emanue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n v="8"/>
  </r>
  <r>
    <x v="56"/>
    <x v="0"/>
    <x v="15"/>
    <x v="1"/>
    <x v="0"/>
    <x v="19"/>
    <x v="18"/>
    <s v="Barbaran Broncales Emanue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0"/>
    <n v="8"/>
    <n v="32"/>
    <n v="40"/>
    <n v="40"/>
    <n v="28"/>
    <n v="24"/>
    <n v="8"/>
    <n v="40"/>
    <n v="32"/>
    <n v="40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164"/>
    <n v="160"/>
    <n v="40"/>
    <n v="0"/>
    <n v="0"/>
    <n v="404"/>
  </r>
  <r>
    <x v="59"/>
    <x v="1"/>
    <x v="15"/>
    <x v="1"/>
    <x v="0"/>
    <x v="19"/>
    <x v="18"/>
    <s v="Cumpa Miguel Ange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8"/>
    <n v="0"/>
    <n v="0"/>
    <n v="0"/>
    <n v="0"/>
    <n v="48"/>
  </r>
  <r>
    <x v="60"/>
    <x v="0"/>
    <x v="15"/>
    <x v="1"/>
    <x v="0"/>
    <x v="19"/>
    <x v="18"/>
    <s v="Serrano Escalona Armando Jos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40"/>
    <n v="0"/>
    <n v="0"/>
    <n v="80"/>
  </r>
  <r>
    <x v="61"/>
    <x v="0"/>
    <x v="15"/>
    <x v="1"/>
    <x v="0"/>
    <x v="19"/>
    <x v="18"/>
    <s v="Lozano Jose Luiz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8"/>
  </r>
  <r>
    <x v="61"/>
    <x v="0"/>
    <x v="6"/>
    <x v="2"/>
    <x v="1"/>
    <x v="6"/>
    <x v="6"/>
    <s v="Lozano Jose Luiz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0"/>
    <n v="0"/>
    <n v="32"/>
  </r>
  <r>
    <x v="57"/>
    <x v="1"/>
    <x v="15"/>
    <x v="1"/>
    <x v="0"/>
    <x v="19"/>
    <x v="18"/>
    <s v="Galvez Aguilar Arturo Jesus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40"/>
    <n v="40"/>
    <n v="40"/>
    <n v="24"/>
    <n v="16"/>
    <n v="24"/>
    <n v="40"/>
    <n v="40"/>
    <n v="32"/>
    <n v="40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8"/>
    <n v="152"/>
    <n v="120"/>
    <n v="0"/>
    <n v="0"/>
    <n v="0"/>
    <n v="0"/>
    <n v="0"/>
    <n v="440"/>
  </r>
  <r>
    <x v="57"/>
    <x v="1"/>
    <x v="1"/>
    <x v="0"/>
    <x v="0"/>
    <x v="1"/>
    <x v="1"/>
    <s v="Galvez Aguilar Arturo Jesus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n v="0"/>
    <n v="16"/>
  </r>
  <r>
    <x v="50"/>
    <x v="0"/>
    <x v="9"/>
    <x v="0"/>
    <x v="0"/>
    <x v="34"/>
    <x v="33"/>
    <s v="Chamorro Rojas Pierre Nesto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32"/>
    <n v="40"/>
    <n v="40"/>
    <n v="40"/>
    <n v="24"/>
    <n v="16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176"/>
    <n v="96"/>
    <n v="0"/>
    <n v="0"/>
    <n v="0"/>
    <n v="0"/>
    <n v="0"/>
    <n v="0"/>
    <n v="312"/>
  </r>
  <r>
    <x v="50"/>
    <x v="0"/>
    <x v="3"/>
    <x v="2"/>
    <x v="1"/>
    <x v="3"/>
    <x v="3"/>
    <s v="Chamorro Rojas Pierre Nesto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24"/>
    <n v="16"/>
    <n v="0"/>
    <n v="29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6"/>
    <n v="31"/>
    <n v="0"/>
    <n v="0"/>
    <n v="0"/>
    <n v="87"/>
  </r>
  <r>
    <x v="50"/>
    <x v="0"/>
    <x v="21"/>
    <x v="1"/>
    <x v="0"/>
    <x v="35"/>
    <x v="34"/>
    <s v="Chamorro Rojas Pierre Nesto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32"/>
    <n v="40"/>
    <n v="40"/>
    <n v="24"/>
    <n v="32"/>
    <n v="0"/>
    <n v="8"/>
    <n v="32"/>
    <n v="40"/>
    <n v="24"/>
    <n v="16"/>
    <n v="0"/>
    <n v="0"/>
    <n v="11"/>
    <n v="38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6"/>
    <n v="144"/>
    <n v="112"/>
    <n v="129"/>
    <n v="0"/>
    <n v="0"/>
    <n v="0"/>
    <n v="441"/>
  </r>
  <r>
    <x v="50"/>
    <x v="0"/>
    <x v="4"/>
    <x v="2"/>
    <x v="1"/>
    <x v="4"/>
    <x v="4"/>
    <s v="Chamorro Rojas Pierre Nesto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0"/>
    <n v="0"/>
    <n v="40"/>
  </r>
  <r>
    <x v="50"/>
    <x v="0"/>
    <x v="6"/>
    <x v="2"/>
    <x v="1"/>
    <x v="6"/>
    <x v="6"/>
    <s v="Chamorro Rojas Pierre Nesto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n v="0"/>
    <n v="0"/>
    <n v="0"/>
    <n v="0"/>
    <n v="0"/>
    <n v="0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0"/>
    <n v="8"/>
    <n v="8"/>
    <n v="0"/>
    <n v="0"/>
    <n v="0"/>
    <n v="32"/>
  </r>
  <r>
    <x v="62"/>
    <x v="1"/>
    <x v="8"/>
    <x v="0"/>
    <x v="0"/>
    <x v="38"/>
    <x v="37"/>
    <s v="Gonzales Chunga Scarlen Odalis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40"/>
    <n v="40"/>
    <n v="24"/>
    <n v="16"/>
    <n v="4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4"/>
    <n v="72"/>
    <n v="0"/>
    <n v="0"/>
    <n v="0"/>
    <n v="0"/>
    <n v="0"/>
    <n v="0"/>
    <n v="216"/>
  </r>
  <r>
    <x v="62"/>
    <x v="1"/>
    <x v="2"/>
    <x v="1"/>
    <x v="0"/>
    <x v="2"/>
    <x v="2"/>
    <s v="Gonzales Chunga Scarlen Odalis"/>
    <n v="0"/>
    <n v="32"/>
    <n v="32"/>
    <n v="0"/>
    <n v="0"/>
    <n v="8"/>
    <n v="40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"/>
    <n v="72"/>
    <n v="0"/>
    <n v="0"/>
    <n v="0"/>
    <n v="0"/>
    <n v="0"/>
    <n v="0"/>
    <n v="0"/>
    <n v="0"/>
    <n v="0"/>
    <n v="0"/>
    <n v="136"/>
  </r>
  <r>
    <x v="62"/>
    <x v="1"/>
    <x v="4"/>
    <x v="2"/>
    <x v="1"/>
    <x v="4"/>
    <x v="4"/>
    <s v="Gonzales Chunga Scarlen Odalis"/>
    <n v="40"/>
    <n v="8"/>
    <n v="8"/>
    <n v="40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2"/>
    <n v="16"/>
    <n v="0"/>
    <n v="0"/>
    <n v="0"/>
    <n v="0"/>
    <n v="0"/>
    <n v="0"/>
    <n v="0"/>
    <n v="0"/>
    <n v="0"/>
    <n v="0"/>
    <n v="128"/>
  </r>
  <r>
    <x v="62"/>
    <x v="1"/>
    <x v="1"/>
    <x v="0"/>
    <x v="0"/>
    <x v="1"/>
    <x v="1"/>
    <s v="Gonzales Chunga Scarlen Odalis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n v="0"/>
    <n v="0"/>
    <n v="0"/>
    <n v="24"/>
  </r>
  <r>
    <x v="63"/>
    <x v="1"/>
    <x v="1"/>
    <x v="0"/>
    <x v="0"/>
    <x v="1"/>
    <x v="1"/>
    <s v="Uceda Rentería Cristhian Danie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40"/>
    <n v="40"/>
    <n v="40"/>
    <n v="24"/>
    <n v="16"/>
    <n v="40"/>
    <n v="40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6"/>
    <n v="128"/>
    <n v="0"/>
    <n v="0"/>
    <n v="0"/>
    <n v="0"/>
    <n v="0"/>
    <n v="0"/>
    <n v="304"/>
  </r>
  <r>
    <x v="64"/>
    <x v="0"/>
    <x v="8"/>
    <x v="0"/>
    <x v="0"/>
    <x v="15"/>
    <x v="14"/>
    <s v="Salinas Vasquez Juan Rafae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40"/>
    <n v="32"/>
    <n v="40"/>
    <n v="40"/>
    <n v="40"/>
    <n v="32"/>
    <n v="0"/>
    <n v="8"/>
    <n v="32"/>
    <n v="24"/>
    <n v="26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2"/>
    <n v="160"/>
    <n v="83"/>
    <n v="0"/>
    <n v="0"/>
    <n v="0"/>
    <n v="0"/>
    <n v="355"/>
  </r>
  <r>
    <x v="65"/>
    <x v="0"/>
    <x v="3"/>
    <x v="2"/>
    <x v="1"/>
    <x v="3"/>
    <x v="3"/>
    <s v="Sotelo Marcos Victor Hug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1"/>
  </r>
  <r>
    <x v="66"/>
    <x v="1"/>
    <x v="8"/>
    <x v="1"/>
    <x v="0"/>
    <x v="17"/>
    <x v="16"/>
    <s v="Cordova Miranda Misse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24"/>
    <n v="8"/>
    <n v="40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"/>
    <n v="168"/>
    <n v="40"/>
    <n v="0"/>
    <n v="0"/>
    <n v="272"/>
  </r>
  <r>
    <x v="65"/>
    <x v="0"/>
    <x v="8"/>
    <x v="1"/>
    <x v="0"/>
    <x v="17"/>
    <x v="16"/>
    <s v="Sotelo Marcos Victor Hug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9"/>
    <n v="7"/>
    <n v="1"/>
    <n v="1"/>
    <n v="2"/>
    <n v="0"/>
    <n v="3"/>
    <n v="7"/>
    <n v="6"/>
    <n v="4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0"/>
    <n v="20"/>
    <n v="5"/>
    <n v="0"/>
    <n v="0"/>
    <n v="47"/>
  </r>
  <r>
    <x v="64"/>
    <x v="0"/>
    <x v="8"/>
    <x v="1"/>
    <x v="0"/>
    <x v="14"/>
    <x v="13"/>
    <s v="Salinas Vasquez Juan Rafae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14"/>
    <n v="39"/>
    <n v="24"/>
    <n v="8"/>
    <n v="40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3"/>
    <n v="168"/>
    <n v="40"/>
    <n v="0"/>
    <n v="0"/>
    <n v="301"/>
  </r>
  <r>
    <x v="65"/>
    <x v="0"/>
    <x v="8"/>
    <x v="0"/>
    <x v="0"/>
    <x v="39"/>
    <x v="38"/>
    <s v="Sotelo Marcos Victor Hug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3"/>
    <n v="2"/>
    <n v="2"/>
    <n v="2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"/>
    <n v="7"/>
    <n v="0"/>
    <n v="0"/>
    <n v="0"/>
    <n v="16"/>
  </r>
  <r>
    <x v="65"/>
    <x v="0"/>
    <x v="8"/>
    <x v="0"/>
    <x v="0"/>
    <x v="15"/>
    <x v="14"/>
    <s v="Sotelo Marcos Victor Hug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"/>
    <n v="5"/>
    <n v="1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25"/>
  </r>
  <r>
    <x v="65"/>
    <x v="0"/>
    <x v="5"/>
    <x v="2"/>
    <x v="1"/>
    <x v="5"/>
    <x v="5"/>
    <s v="Sotelo Marcos Victor Hug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"/>
    <n v="9"/>
    <n v="4"/>
    <n v="20"/>
    <n v="12"/>
    <n v="2"/>
    <n v="17"/>
    <n v="25"/>
    <n v="23"/>
    <n v="18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85"/>
    <n v="14"/>
    <n v="0"/>
    <n v="0"/>
    <n v="151"/>
  </r>
  <r>
    <x v="42"/>
    <x v="1"/>
    <x v="8"/>
    <x v="1"/>
    <x v="0"/>
    <x v="17"/>
    <x v="16"/>
    <s v="Castillo Cardenas Jose Hildebrand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0"/>
    <n v="0"/>
    <n v="0"/>
    <n v="4"/>
  </r>
  <r>
    <x v="42"/>
    <x v="1"/>
    <x v="22"/>
    <x v="2"/>
    <x v="1"/>
    <x v="37"/>
    <x v="36"/>
    <s v="Castillo Cardenas Jose Hildebrand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"/>
    <n v="0"/>
    <n v="0"/>
    <n v="0"/>
    <n v="27"/>
  </r>
  <r>
    <x v="42"/>
    <x v="1"/>
    <x v="2"/>
    <x v="1"/>
    <x v="0"/>
    <x v="2"/>
    <x v="2"/>
    <s v="Castillo Cardenas Jose Hildebrand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"/>
    <n v="0"/>
    <n v="0"/>
    <n v="0"/>
    <n v="22"/>
  </r>
  <r>
    <x v="42"/>
    <x v="1"/>
    <x v="8"/>
    <x v="0"/>
    <x v="0"/>
    <x v="8"/>
    <x v="8"/>
    <s v="Castillo Cardenas Jose Hildebrand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0"/>
    <n v="9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9"/>
    <n v="0"/>
    <n v="0"/>
    <n v="0"/>
    <n v="59"/>
  </r>
  <r>
    <x v="65"/>
    <x v="0"/>
    <x v="8"/>
    <x v="0"/>
    <x v="0"/>
    <x v="8"/>
    <x v="8"/>
    <s v="Sotelo Marcos Victor Hug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0"/>
    <n v="2"/>
    <n v="2"/>
    <n v="5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8"/>
    <n v="0"/>
    <n v="0"/>
    <n v="0"/>
    <n v="12"/>
  </r>
  <r>
    <x v="67"/>
    <x v="1"/>
    <x v="8"/>
    <x v="1"/>
    <x v="0"/>
    <x v="14"/>
    <x v="13"/>
    <s v="Gomez Cantuarias Yoana Jaquelin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8"/>
    <n v="0"/>
    <n v="0"/>
    <n v="0"/>
    <n v="0"/>
    <n v="48"/>
  </r>
  <r>
    <x v="67"/>
    <x v="1"/>
    <x v="14"/>
    <x v="2"/>
    <x v="1"/>
    <x v="16"/>
    <x v="15"/>
    <s v="Gomez Cantuarias Yoana Jaquelin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n v="0"/>
    <n v="16"/>
  </r>
  <r>
    <x v="65"/>
    <x v="0"/>
    <x v="8"/>
    <x v="1"/>
    <x v="0"/>
    <x v="18"/>
    <x v="17"/>
    <s v="Sotelo Marcos Victor Hug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3"/>
    <n v="0"/>
    <n v="0"/>
    <n v="7"/>
  </r>
  <r>
    <x v="65"/>
    <x v="0"/>
    <x v="22"/>
    <x v="2"/>
    <x v="1"/>
    <x v="37"/>
    <x v="36"/>
    <s v="Sotelo Marcos Victor Hug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9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"/>
    <n v="13"/>
    <n v="0"/>
    <n v="0"/>
    <m/>
  </r>
  <r>
    <x v="65"/>
    <x v="0"/>
    <x v="8"/>
    <x v="1"/>
    <x v="0"/>
    <x v="14"/>
    <x v="13"/>
    <s v="Sotelo Marcos Victor Hug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0"/>
    <n v="5"/>
    <n v="10"/>
    <n v="16"/>
    <n v="20"/>
    <n v="14"/>
    <n v="6"/>
    <n v="2"/>
    <n v="12"/>
    <n v="5"/>
    <n v="5"/>
    <n v="6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"/>
    <n v="66"/>
    <n v="30"/>
    <n v="5"/>
    <n v="0"/>
    <n v="0"/>
    <n v="138"/>
  </r>
  <r>
    <x v="46"/>
    <x v="0"/>
    <x v="12"/>
    <x v="0"/>
    <x v="0"/>
    <x v="31"/>
    <x v="30"/>
    <s v="Pérez Montemayor Jose Javie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40"/>
    <n v="40"/>
    <n v="8"/>
    <n v="8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8"/>
    <n v="2"/>
    <n v="0"/>
    <n v="0"/>
    <n v="0"/>
    <n v="130"/>
  </r>
  <r>
    <x v="68"/>
    <x v="0"/>
    <x v="8"/>
    <x v="1"/>
    <x v="0"/>
    <x v="14"/>
    <x v="13"/>
    <s v="Ticona Pinto Hector Alexade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8"/>
    <n v="40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168"/>
    <n v="40"/>
    <n v="0"/>
    <n v="0"/>
    <n v="232"/>
  </r>
  <r>
    <x v="69"/>
    <x v="0"/>
    <x v="8"/>
    <x v="1"/>
    <x v="0"/>
    <x v="14"/>
    <x v="13"/>
    <s v="Vascones Sandova Jose Antoni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0"/>
    <n v="40"/>
    <n v="0"/>
    <n v="0"/>
    <n v="160"/>
  </r>
  <r>
    <x v="46"/>
    <x v="0"/>
    <x v="8"/>
    <x v="1"/>
    <x v="0"/>
    <x v="14"/>
    <x v="13"/>
    <s v="Pérez Montemayor Jose Javie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16"/>
    <n v="8"/>
    <n v="38"/>
    <n v="38"/>
    <n v="40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8"/>
    <n v="164"/>
    <n v="40"/>
    <n v="0"/>
    <n v="0"/>
    <n v="252"/>
  </r>
  <r>
    <x v="70"/>
    <x v="0"/>
    <x v="22"/>
    <x v="2"/>
    <x v="1"/>
    <x v="37"/>
    <x v="36"/>
    <s v="Cespedes Pasion Jean Franc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40"/>
    <n v="40"/>
    <n v="32"/>
    <n v="0"/>
    <n v="8"/>
    <n v="32"/>
    <n v="40"/>
    <n v="40"/>
    <n v="40"/>
    <n v="24"/>
    <n v="8"/>
    <n v="40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0"/>
    <n v="176"/>
    <n v="168"/>
    <n v="40"/>
    <n v="0"/>
    <n v="0"/>
    <n v="544"/>
  </r>
  <r>
    <x v="71"/>
    <x v="1"/>
    <x v="4"/>
    <x v="2"/>
    <x v="1"/>
    <x v="4"/>
    <x v="4"/>
    <s v="Trujillo Mochcco Alex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0"/>
    <n v="0"/>
    <n v="0"/>
    <n v="0"/>
    <n v="0"/>
    <n v="0"/>
    <n v="0"/>
    <n v="0"/>
    <n v="0"/>
    <n v="0"/>
    <n v="0"/>
    <n v="40"/>
  </r>
  <r>
    <x v="72"/>
    <x v="0"/>
    <x v="2"/>
    <x v="1"/>
    <x v="0"/>
    <x v="2"/>
    <x v="2"/>
    <s v="La Rosa Wilfred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40"/>
    <n v="0"/>
    <n v="0"/>
    <n v="64"/>
  </r>
  <r>
    <x v="71"/>
    <x v="1"/>
    <x v="2"/>
    <x v="1"/>
    <x v="0"/>
    <x v="2"/>
    <x v="2"/>
    <s v="Trujillo Mochcco Alex"/>
    <n v="0"/>
    <n v="40"/>
    <n v="40"/>
    <n v="4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6"/>
    <n v="0"/>
    <n v="0"/>
    <n v="0"/>
    <n v="0"/>
    <n v="0"/>
    <n v="0"/>
    <n v="0"/>
    <n v="0"/>
    <n v="0"/>
    <n v="0"/>
    <n v="0"/>
    <n v="136"/>
  </r>
  <r>
    <x v="73"/>
    <x v="0"/>
    <x v="6"/>
    <x v="2"/>
    <x v="1"/>
    <x v="6"/>
    <x v="6"/>
    <s v="Cespedes Levano Edwin Israe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0"/>
    <n v="0"/>
    <n v="40"/>
  </r>
  <r>
    <x v="73"/>
    <x v="0"/>
    <x v="12"/>
    <x v="1"/>
    <x v="0"/>
    <x v="40"/>
    <x v="39"/>
    <s v="Cespedes Levano Edwin Israe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40"/>
    <n v="24"/>
    <n v="16"/>
    <n v="40"/>
    <n v="40"/>
    <n v="40"/>
    <n v="32"/>
    <n v="40"/>
    <n v="40"/>
    <n v="40"/>
    <n v="32"/>
    <n v="0"/>
    <n v="8"/>
    <n v="32"/>
    <n v="40"/>
    <n v="40"/>
    <n v="40"/>
    <n v="24"/>
    <n v="8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6"/>
    <n v="168"/>
    <n v="160"/>
    <n v="176"/>
    <n v="168"/>
    <n v="0"/>
    <n v="0"/>
    <n v="0"/>
    <n v="768"/>
  </r>
  <r>
    <x v="74"/>
    <x v="1"/>
    <x v="1"/>
    <x v="0"/>
    <x v="0"/>
    <x v="1"/>
    <x v="1"/>
    <s v="Somoza Francisco Javie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40"/>
    <n v="40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0"/>
    <n v="0"/>
    <n v="0"/>
    <n v="0"/>
    <n v="0"/>
    <n v="0"/>
    <n v="0"/>
    <n v="1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36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7">
  <location ref="F18:G67" firstHeaderRow="1" firstDataRow="1" firstDataCol="1"/>
  <pivotFields count="11">
    <pivotField axis="axisRow" showAll="0">
      <items count="39"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m="1" x="37"/>
        <item x="31"/>
        <item x="32"/>
        <item m="1" x="36"/>
        <item x="33"/>
        <item x="34"/>
        <item x="35"/>
        <item x="4"/>
        <item x="5"/>
        <item t="default"/>
      </items>
    </pivotField>
    <pivotField showAll="0">
      <items count="4">
        <item h="1" x="2"/>
        <item x="1"/>
        <item h="1" x="0"/>
        <item t="default"/>
      </items>
    </pivotField>
    <pivotField axis="axisRow" showAll="0">
      <items count="18">
        <item x="5"/>
        <item x="15"/>
        <item x="0"/>
        <item x="9"/>
        <item x="10"/>
        <item x="12"/>
        <item x="1"/>
        <item x="8"/>
        <item x="6"/>
        <item x="16"/>
        <item x="7"/>
        <item x="3"/>
        <item x="2"/>
        <item x="14"/>
        <item x="13"/>
        <item x="11"/>
        <item x="4"/>
        <item t="default"/>
      </items>
    </pivotField>
    <pivotField showAll="0"/>
    <pivotField numFmtId="167" showAll="0"/>
    <pivotField numFmtId="167" showAll="0" defaultSubtotal="0"/>
    <pivotField showAll="0" defaultSubtotal="0"/>
    <pivotField numFmtId="167" showAll="0"/>
    <pivotField numFmtId="167" showAll="0"/>
    <pivotField showAll="0" defaultSubtotal="0"/>
    <pivotField dataField="1" numFmtId="9" showAll="0"/>
  </pivotFields>
  <rowFields count="2">
    <field x="0"/>
    <field x="2"/>
  </rowFields>
  <rowItems count="49">
    <i>
      <x v="4"/>
    </i>
    <i r="1">
      <x v="8"/>
    </i>
    <i>
      <x v="5"/>
    </i>
    <i r="1">
      <x v="10"/>
    </i>
    <i>
      <x v="6"/>
    </i>
    <i r="1">
      <x v="10"/>
    </i>
    <i>
      <x v="7"/>
    </i>
    <i r="1">
      <x v="7"/>
    </i>
    <i>
      <x v="8"/>
    </i>
    <i r="1">
      <x v="3"/>
    </i>
    <i>
      <x v="10"/>
    </i>
    <i r="1">
      <x v="15"/>
    </i>
    <i>
      <x v="11"/>
    </i>
    <i r="1">
      <x v="15"/>
    </i>
    <i>
      <x v="12"/>
    </i>
    <i r="1">
      <x v="16"/>
    </i>
    <i>
      <x v="13"/>
    </i>
    <i r="1">
      <x v="5"/>
    </i>
    <i>
      <x v="14"/>
    </i>
    <i r="1">
      <x v="5"/>
    </i>
    <i>
      <x v="15"/>
    </i>
    <i r="1">
      <x v="5"/>
    </i>
    <i>
      <x v="16"/>
    </i>
    <i r="1">
      <x v="8"/>
    </i>
    <i>
      <x v="17"/>
    </i>
    <i r="1">
      <x v="14"/>
    </i>
    <i>
      <x v="19"/>
    </i>
    <i r="1">
      <x v="8"/>
    </i>
    <i>
      <x v="20"/>
    </i>
    <i r="1">
      <x v="13"/>
    </i>
    <i>
      <x v="22"/>
    </i>
    <i r="1">
      <x/>
    </i>
    <i>
      <x v="23"/>
    </i>
    <i r="1">
      <x v="14"/>
    </i>
    <i>
      <x v="25"/>
    </i>
    <i r="1">
      <x v="15"/>
    </i>
    <i>
      <x v="26"/>
    </i>
    <i r="1">
      <x v="14"/>
    </i>
    <i>
      <x v="27"/>
    </i>
    <i r="1">
      <x v="14"/>
    </i>
    <i>
      <x v="30"/>
    </i>
    <i r="1">
      <x v="1"/>
    </i>
    <i>
      <x v="31"/>
    </i>
    <i r="1">
      <x/>
    </i>
    <i>
      <x v="33"/>
    </i>
    <i r="1">
      <x v="5"/>
    </i>
    <i>
      <x v="35"/>
    </i>
    <i r="1">
      <x/>
    </i>
    <i t="grand">
      <x/>
    </i>
  </rowItems>
  <colItems count="1">
    <i/>
  </colItems>
  <dataFields count="1">
    <dataField name=".Margen" fld="10" baseField="0" baseItem="5"/>
  </dataFields>
  <formats count="132">
    <format dxfId="2543">
      <pivotArea collapsedLevelsAreSubtotals="1" fieldPosition="0">
        <references count="2">
          <reference field="0" count="1" selected="0">
            <x v="7"/>
          </reference>
          <reference field="2" count="1">
            <x v="7"/>
          </reference>
        </references>
      </pivotArea>
    </format>
    <format dxfId="2542">
      <pivotArea collapsedLevelsAreSubtotals="1" fieldPosition="0">
        <references count="1">
          <reference field="0" count="1">
            <x v="8"/>
          </reference>
        </references>
      </pivotArea>
    </format>
    <format dxfId="2541">
      <pivotArea collapsedLevelsAreSubtotals="1" fieldPosition="0">
        <references count="2">
          <reference field="0" count="1" selected="0">
            <x v="8"/>
          </reference>
          <reference field="2" count="1">
            <x v="3"/>
          </reference>
        </references>
      </pivotArea>
    </format>
    <format dxfId="2540">
      <pivotArea collapsedLevelsAreSubtotals="1" fieldPosition="0">
        <references count="1">
          <reference field="0" count="1">
            <x v="9"/>
          </reference>
        </references>
      </pivotArea>
    </format>
    <format dxfId="2539">
      <pivotArea collapsedLevelsAreSubtotals="1" fieldPosition="0">
        <references count="2">
          <reference field="0" count="1" selected="0">
            <x v="9"/>
          </reference>
          <reference field="2" count="1">
            <x v="4"/>
          </reference>
        </references>
      </pivotArea>
    </format>
    <format dxfId="2538">
      <pivotArea collapsedLevelsAreSubtotals="1" fieldPosition="0">
        <references count="1">
          <reference field="0" count="1">
            <x v="10"/>
          </reference>
        </references>
      </pivotArea>
    </format>
    <format dxfId="2537">
      <pivotArea collapsedLevelsAreSubtotals="1" fieldPosition="0">
        <references count="2">
          <reference field="0" count="1" selected="0">
            <x v="10"/>
          </reference>
          <reference field="2" count="1">
            <x v="15"/>
          </reference>
        </references>
      </pivotArea>
    </format>
    <format dxfId="2536">
      <pivotArea collapsedLevelsAreSubtotals="1" fieldPosition="0">
        <references count="1">
          <reference field="0" count="1">
            <x v="11"/>
          </reference>
        </references>
      </pivotArea>
    </format>
    <format dxfId="2535">
      <pivotArea collapsedLevelsAreSubtotals="1" fieldPosition="0">
        <references count="2">
          <reference field="0" count="1" selected="0">
            <x v="11"/>
          </reference>
          <reference field="2" count="1">
            <x v="15"/>
          </reference>
        </references>
      </pivotArea>
    </format>
    <format dxfId="2534">
      <pivotArea collapsedLevelsAreSubtotals="1" fieldPosition="0">
        <references count="1">
          <reference field="0" count="1">
            <x v="12"/>
          </reference>
        </references>
      </pivotArea>
    </format>
    <format dxfId="2533">
      <pivotArea collapsedLevelsAreSubtotals="1" fieldPosition="0">
        <references count="2">
          <reference field="0" count="1" selected="0">
            <x v="12"/>
          </reference>
          <reference field="2" count="1">
            <x v="16"/>
          </reference>
        </references>
      </pivotArea>
    </format>
    <format dxfId="2532">
      <pivotArea collapsedLevelsAreSubtotals="1" fieldPosition="0">
        <references count="1">
          <reference field="0" count="1">
            <x v="13"/>
          </reference>
        </references>
      </pivotArea>
    </format>
    <format dxfId="2531">
      <pivotArea collapsedLevelsAreSubtotals="1" fieldPosition="0">
        <references count="2">
          <reference field="0" count="1" selected="0">
            <x v="13"/>
          </reference>
          <reference field="2" count="1">
            <x v="5"/>
          </reference>
        </references>
      </pivotArea>
    </format>
    <format dxfId="2530">
      <pivotArea collapsedLevelsAreSubtotals="1" fieldPosition="0">
        <references count="1">
          <reference field="0" count="1">
            <x v="14"/>
          </reference>
        </references>
      </pivotArea>
    </format>
    <format dxfId="2529">
      <pivotArea collapsedLevelsAreSubtotals="1" fieldPosition="0">
        <references count="2">
          <reference field="0" count="1" selected="0">
            <x v="14"/>
          </reference>
          <reference field="2" count="1">
            <x v="5"/>
          </reference>
        </references>
      </pivotArea>
    </format>
    <format dxfId="2528">
      <pivotArea collapsedLevelsAreSubtotals="1" fieldPosition="0">
        <references count="1">
          <reference field="0" count="1">
            <x v="15"/>
          </reference>
        </references>
      </pivotArea>
    </format>
    <format dxfId="2527">
      <pivotArea collapsedLevelsAreSubtotals="1" fieldPosition="0">
        <references count="2">
          <reference field="0" count="1" selected="0">
            <x v="15"/>
          </reference>
          <reference field="2" count="1">
            <x v="5"/>
          </reference>
        </references>
      </pivotArea>
    </format>
    <format dxfId="2526">
      <pivotArea collapsedLevelsAreSubtotals="1" fieldPosition="0">
        <references count="1">
          <reference field="0" count="1">
            <x v="16"/>
          </reference>
        </references>
      </pivotArea>
    </format>
    <format dxfId="2525">
      <pivotArea collapsedLevelsAreSubtotals="1" fieldPosition="0">
        <references count="2">
          <reference field="0" count="1" selected="0">
            <x v="16"/>
          </reference>
          <reference field="2" count="1">
            <x v="8"/>
          </reference>
        </references>
      </pivotArea>
    </format>
    <format dxfId="2524">
      <pivotArea collapsedLevelsAreSubtotals="1" fieldPosition="0">
        <references count="1">
          <reference field="0" count="1">
            <x v="17"/>
          </reference>
        </references>
      </pivotArea>
    </format>
    <format dxfId="2523">
      <pivotArea collapsedLevelsAreSubtotals="1" fieldPosition="0">
        <references count="2">
          <reference field="0" count="1" selected="0">
            <x v="17"/>
          </reference>
          <reference field="2" count="1">
            <x v="14"/>
          </reference>
        </references>
      </pivotArea>
    </format>
    <format dxfId="2522">
      <pivotArea collapsedLevelsAreSubtotals="1" fieldPosition="0">
        <references count="1">
          <reference field="0" count="1">
            <x v="18"/>
          </reference>
        </references>
      </pivotArea>
    </format>
    <format dxfId="2521">
      <pivotArea collapsedLevelsAreSubtotals="1" fieldPosition="0">
        <references count="2">
          <reference field="0" count="1" selected="0">
            <x v="18"/>
          </reference>
          <reference field="2" count="1">
            <x v="4"/>
          </reference>
        </references>
      </pivotArea>
    </format>
    <format dxfId="2520">
      <pivotArea collapsedLevelsAreSubtotals="1" fieldPosition="0">
        <references count="1">
          <reference field="0" count="1">
            <x v="19"/>
          </reference>
        </references>
      </pivotArea>
    </format>
    <format dxfId="2519">
      <pivotArea collapsedLevelsAreSubtotals="1" fieldPosition="0">
        <references count="2">
          <reference field="0" count="1" selected="0">
            <x v="19"/>
          </reference>
          <reference field="2" count="1">
            <x v="8"/>
          </reference>
        </references>
      </pivotArea>
    </format>
    <format dxfId="2518">
      <pivotArea collapsedLevelsAreSubtotals="1" fieldPosition="0">
        <references count="1">
          <reference field="0" count="1">
            <x v="20"/>
          </reference>
        </references>
      </pivotArea>
    </format>
    <format dxfId="2517">
      <pivotArea collapsedLevelsAreSubtotals="1" fieldPosition="0">
        <references count="2">
          <reference field="0" count="1" selected="0">
            <x v="20"/>
          </reference>
          <reference field="2" count="1">
            <x v="13"/>
          </reference>
        </references>
      </pivotArea>
    </format>
    <format dxfId="2516">
      <pivotArea collapsedLevelsAreSubtotals="1" fieldPosition="0">
        <references count="1">
          <reference field="0" count="1">
            <x v="21"/>
          </reference>
        </references>
      </pivotArea>
    </format>
    <format dxfId="2515">
      <pivotArea collapsedLevelsAreSubtotals="1" fieldPosition="0">
        <references count="2">
          <reference field="0" count="1" selected="0">
            <x v="21"/>
          </reference>
          <reference field="2" count="1">
            <x v="1"/>
          </reference>
        </references>
      </pivotArea>
    </format>
    <format dxfId="2514">
      <pivotArea collapsedLevelsAreSubtotals="1" fieldPosition="0">
        <references count="1">
          <reference field="0" count="1">
            <x v="22"/>
          </reference>
        </references>
      </pivotArea>
    </format>
    <format dxfId="2513">
      <pivotArea collapsedLevelsAreSubtotals="1" fieldPosition="0">
        <references count="2">
          <reference field="0" count="1" selected="0">
            <x v="22"/>
          </reference>
          <reference field="2" count="1">
            <x v="0"/>
          </reference>
        </references>
      </pivotArea>
    </format>
    <format dxfId="2512">
      <pivotArea collapsedLevelsAreSubtotals="1" fieldPosition="0">
        <references count="1">
          <reference field="0" count="1">
            <x v="23"/>
          </reference>
        </references>
      </pivotArea>
    </format>
    <format dxfId="2511">
      <pivotArea collapsedLevelsAreSubtotals="1" fieldPosition="0">
        <references count="2">
          <reference field="0" count="1" selected="0">
            <x v="23"/>
          </reference>
          <reference field="2" count="1">
            <x v="14"/>
          </reference>
        </references>
      </pivotArea>
    </format>
    <format dxfId="2510">
      <pivotArea collapsedLevelsAreSubtotals="1" fieldPosition="0">
        <references count="1">
          <reference field="0" count="1">
            <x v="24"/>
          </reference>
        </references>
      </pivotArea>
    </format>
    <format dxfId="2509">
      <pivotArea collapsedLevelsAreSubtotals="1" fieldPosition="0">
        <references count="2">
          <reference field="0" count="1" selected="0">
            <x v="24"/>
          </reference>
          <reference field="2" count="1">
            <x v="9"/>
          </reference>
        </references>
      </pivotArea>
    </format>
    <format dxfId="2508">
      <pivotArea collapsedLevelsAreSubtotals="1" fieldPosition="0">
        <references count="1">
          <reference field="0" count="1">
            <x v="25"/>
          </reference>
        </references>
      </pivotArea>
    </format>
    <format dxfId="2507">
      <pivotArea collapsedLevelsAreSubtotals="1" fieldPosition="0">
        <references count="2">
          <reference field="0" count="1" selected="0">
            <x v="25"/>
          </reference>
          <reference field="2" count="1">
            <x v="15"/>
          </reference>
        </references>
      </pivotArea>
    </format>
    <format dxfId="2506">
      <pivotArea collapsedLevelsAreSubtotals="1" fieldPosition="0">
        <references count="1">
          <reference field="0" count="1">
            <x v="26"/>
          </reference>
        </references>
      </pivotArea>
    </format>
    <format dxfId="2505">
      <pivotArea collapsedLevelsAreSubtotals="1" fieldPosition="0">
        <references count="2">
          <reference field="0" count="1" selected="0">
            <x v="26"/>
          </reference>
          <reference field="2" count="1">
            <x v="14"/>
          </reference>
        </references>
      </pivotArea>
    </format>
    <format dxfId="2504">
      <pivotArea collapsedLevelsAreSubtotals="1" fieldPosition="0">
        <references count="1">
          <reference field="0" count="1">
            <x v="27"/>
          </reference>
        </references>
      </pivotArea>
    </format>
    <format dxfId="2503">
      <pivotArea collapsedLevelsAreSubtotals="1" fieldPosition="0">
        <references count="2">
          <reference field="0" count="1" selected="0">
            <x v="27"/>
          </reference>
          <reference field="2" count="1">
            <x v="14"/>
          </reference>
        </references>
      </pivotArea>
    </format>
    <format dxfId="2502">
      <pivotArea collapsedLevelsAreSubtotals="1" fieldPosition="0">
        <references count="1">
          <reference field="0" count="1">
            <x v="28"/>
          </reference>
        </references>
      </pivotArea>
    </format>
    <format dxfId="2501">
      <pivotArea collapsedLevelsAreSubtotals="1" fieldPosition="0">
        <references count="2">
          <reference field="0" count="1" selected="0">
            <x v="28"/>
          </reference>
          <reference field="2" count="1">
            <x v="14"/>
          </reference>
        </references>
      </pivotArea>
    </format>
    <format dxfId="2500">
      <pivotArea collapsedLevelsAreSubtotals="1" fieldPosition="0">
        <references count="1">
          <reference field="0" count="1">
            <x v="29"/>
          </reference>
        </references>
      </pivotArea>
    </format>
    <format dxfId="2499">
      <pivotArea collapsedLevelsAreSubtotals="1" fieldPosition="0">
        <references count="2">
          <reference field="0" count="1" selected="0">
            <x v="29"/>
          </reference>
          <reference field="2" count="1">
            <x v="16"/>
          </reference>
        </references>
      </pivotArea>
    </format>
    <format dxfId="2498">
      <pivotArea collapsedLevelsAreSubtotals="1" fieldPosition="0">
        <references count="1">
          <reference field="0" count="1">
            <x v="30"/>
          </reference>
        </references>
      </pivotArea>
    </format>
    <format dxfId="2497">
      <pivotArea collapsedLevelsAreSubtotals="1" fieldPosition="0">
        <references count="2">
          <reference field="0" count="1" selected="0">
            <x v="30"/>
          </reference>
          <reference field="2" count="1">
            <x v="1"/>
          </reference>
        </references>
      </pivotArea>
    </format>
    <format dxfId="2496">
      <pivotArea collapsedLevelsAreSubtotals="1" fieldPosition="0">
        <references count="1">
          <reference field="0" count="1">
            <x v="31"/>
          </reference>
        </references>
      </pivotArea>
    </format>
    <format dxfId="2495">
      <pivotArea collapsedLevelsAreSubtotals="1" fieldPosition="0">
        <references count="2">
          <reference field="0" count="1" selected="0">
            <x v="31"/>
          </reference>
          <reference field="2" count="1">
            <x v="0"/>
          </reference>
        </references>
      </pivotArea>
    </format>
    <format dxfId="2494">
      <pivotArea collapsedLevelsAreSubtotals="1" fieldPosition="0">
        <references count="1">
          <reference field="0" count="1">
            <x v="32"/>
          </reference>
        </references>
      </pivotArea>
    </format>
    <format dxfId="2493">
      <pivotArea collapsedLevelsAreSubtotals="1" fieldPosition="0">
        <references count="2">
          <reference field="0" count="1" selected="0">
            <x v="32"/>
          </reference>
          <reference field="2" count="1">
            <x v="0"/>
          </reference>
        </references>
      </pivotArea>
    </format>
    <format dxfId="2492">
      <pivotArea collapsedLevelsAreSubtotals="1" fieldPosition="0">
        <references count="1">
          <reference field="0" count="1">
            <x v="33"/>
          </reference>
        </references>
      </pivotArea>
    </format>
    <format dxfId="2491">
      <pivotArea collapsedLevelsAreSubtotals="1" fieldPosition="0">
        <references count="2">
          <reference field="0" count="1" selected="0">
            <x v="33"/>
          </reference>
          <reference field="2" count="1">
            <x v="5"/>
          </reference>
        </references>
      </pivotArea>
    </format>
    <format dxfId="2490">
      <pivotArea collapsedLevelsAreSubtotals="1" fieldPosition="0">
        <references count="1">
          <reference field="0" count="1">
            <x v="34"/>
          </reference>
        </references>
      </pivotArea>
    </format>
    <format dxfId="2489">
      <pivotArea collapsedLevelsAreSubtotals="1" fieldPosition="0">
        <references count="2">
          <reference field="0" count="1" selected="0">
            <x v="34"/>
          </reference>
          <reference field="2" count="1">
            <x v="14"/>
          </reference>
        </references>
      </pivotArea>
    </format>
    <format dxfId="2488">
      <pivotArea collapsedLevelsAreSubtotals="1" fieldPosition="0">
        <references count="1">
          <reference field="0" count="1">
            <x v="35"/>
          </reference>
        </references>
      </pivotArea>
    </format>
    <format dxfId="2487">
      <pivotArea collapsedLevelsAreSubtotals="1" fieldPosition="0">
        <references count="2">
          <reference field="0" count="1" selected="0">
            <x v="35"/>
          </reference>
          <reference field="2" count="1">
            <x v="0"/>
          </reference>
        </references>
      </pivotArea>
    </format>
    <format dxfId="2486">
      <pivotArea grandRow="1" outline="0" collapsedLevelsAreSubtotals="1" fieldPosition="0"/>
    </format>
    <format dxfId="2485">
      <pivotArea dataOnly="0" labelOnly="1" fieldPosition="0">
        <references count="1">
          <reference field="0" count="28"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</reference>
        </references>
      </pivotArea>
    </format>
    <format dxfId="2484">
      <pivotArea dataOnly="0" labelOnly="1" grandRow="1" outline="0" fieldPosition="0"/>
    </format>
    <format dxfId="2483">
      <pivotArea collapsedLevelsAreSubtotals="1" fieldPosition="0">
        <references count="1">
          <reference field="0" count="1">
            <x v="0"/>
          </reference>
        </references>
      </pivotArea>
    </format>
    <format dxfId="2482">
      <pivotArea collapsedLevelsAreSubtotals="1" fieldPosition="0">
        <references count="2">
          <reference field="0" count="1" selected="0">
            <x v="0"/>
          </reference>
          <reference field="2" count="1">
            <x v="2"/>
          </reference>
        </references>
      </pivotArea>
    </format>
    <format dxfId="2481">
      <pivotArea collapsedLevelsAreSubtotals="1" fieldPosition="0">
        <references count="1">
          <reference field="0" count="1">
            <x v="1"/>
          </reference>
        </references>
      </pivotArea>
    </format>
    <format dxfId="2480">
      <pivotArea collapsedLevelsAreSubtotals="1" fieldPosition="0">
        <references count="2">
          <reference field="0" count="1" selected="0">
            <x v="1"/>
          </reference>
          <reference field="2" count="1">
            <x v="6"/>
          </reference>
        </references>
      </pivotArea>
    </format>
    <format dxfId="2479">
      <pivotArea collapsedLevelsAreSubtotals="1" fieldPosition="0">
        <references count="1">
          <reference field="0" count="1">
            <x v="2"/>
          </reference>
        </references>
      </pivotArea>
    </format>
    <format dxfId="2478">
      <pivotArea collapsedLevelsAreSubtotals="1" fieldPosition="0">
        <references count="2">
          <reference field="0" count="1" selected="0">
            <x v="2"/>
          </reference>
          <reference field="2" count="1">
            <x v="12"/>
          </reference>
        </references>
      </pivotArea>
    </format>
    <format dxfId="2477">
      <pivotArea collapsedLevelsAreSubtotals="1" fieldPosition="0">
        <references count="1">
          <reference field="0" count="1">
            <x v="3"/>
          </reference>
        </references>
      </pivotArea>
    </format>
    <format dxfId="2476">
      <pivotArea collapsedLevelsAreSubtotals="1" fieldPosition="0">
        <references count="2">
          <reference field="0" count="1" selected="0">
            <x v="3"/>
          </reference>
          <reference field="2" count="1">
            <x v="11"/>
          </reference>
        </references>
      </pivotArea>
    </format>
    <format dxfId="2475">
      <pivotArea collapsedLevelsAreSubtotals="1" fieldPosition="0">
        <references count="1">
          <reference field="0" count="1">
            <x v="4"/>
          </reference>
        </references>
      </pivotArea>
    </format>
    <format dxfId="2474">
      <pivotArea collapsedLevelsAreSubtotals="1" fieldPosition="0">
        <references count="2">
          <reference field="0" count="1" selected="0">
            <x v="4"/>
          </reference>
          <reference field="2" count="1">
            <x v="8"/>
          </reference>
        </references>
      </pivotArea>
    </format>
    <format dxfId="2473">
      <pivotArea collapsedLevelsAreSubtotals="1" fieldPosition="0">
        <references count="1">
          <reference field="0" count="1">
            <x v="5"/>
          </reference>
        </references>
      </pivotArea>
    </format>
    <format dxfId="2472">
      <pivotArea collapsedLevelsAreSubtotals="1" fieldPosition="0">
        <references count="2">
          <reference field="0" count="1" selected="0">
            <x v="5"/>
          </reference>
          <reference field="2" count="1">
            <x v="10"/>
          </reference>
        </references>
      </pivotArea>
    </format>
    <format dxfId="2471">
      <pivotArea collapsedLevelsAreSubtotals="1" fieldPosition="0">
        <references count="1">
          <reference field="0" count="1">
            <x v="6"/>
          </reference>
        </references>
      </pivotArea>
    </format>
    <format dxfId="2470">
      <pivotArea collapsedLevelsAreSubtotals="1" fieldPosition="0">
        <references count="2">
          <reference field="0" count="1" selected="0">
            <x v="6"/>
          </reference>
          <reference field="2" count="1">
            <x v="10"/>
          </reference>
        </references>
      </pivotArea>
    </format>
    <format dxfId="2469">
      <pivotArea collapsedLevelsAreSubtotals="1" fieldPosition="0">
        <references count="1">
          <reference field="0" count="1">
            <x v="7"/>
          </reference>
        </references>
      </pivotArea>
    </format>
    <format dxfId="2468">
      <pivotArea collapsedLevelsAreSubtotals="1" fieldPosition="0">
        <references count="2">
          <reference field="0" count="1" selected="0">
            <x v="7"/>
          </reference>
          <reference field="2" count="1">
            <x v="7"/>
          </reference>
        </references>
      </pivotArea>
    </format>
    <format dxfId="2467">
      <pivotArea collapsedLevelsAreSubtotals="1" fieldPosition="0">
        <references count="1">
          <reference field="0" count="1">
            <x v="8"/>
          </reference>
        </references>
      </pivotArea>
    </format>
    <format dxfId="2466">
      <pivotArea collapsedLevelsAreSubtotals="1" fieldPosition="0">
        <references count="2">
          <reference field="0" count="1" selected="0">
            <x v="8"/>
          </reference>
          <reference field="2" count="1">
            <x v="3"/>
          </reference>
        </references>
      </pivotArea>
    </format>
    <format dxfId="2465">
      <pivotArea collapsedLevelsAreSubtotals="1" fieldPosition="0">
        <references count="1">
          <reference field="0" count="1">
            <x v="9"/>
          </reference>
        </references>
      </pivotArea>
    </format>
    <format dxfId="2464">
      <pivotArea collapsedLevelsAreSubtotals="1" fieldPosition="0">
        <references count="2">
          <reference field="0" count="1" selected="0">
            <x v="9"/>
          </reference>
          <reference field="2" count="1">
            <x v="4"/>
          </reference>
        </references>
      </pivotArea>
    </format>
    <format dxfId="2463">
      <pivotArea collapsedLevelsAreSubtotals="1" fieldPosition="0">
        <references count="1">
          <reference field="0" count="1">
            <x v="10"/>
          </reference>
        </references>
      </pivotArea>
    </format>
    <format dxfId="2462">
      <pivotArea collapsedLevelsAreSubtotals="1" fieldPosition="0">
        <references count="2">
          <reference field="0" count="1" selected="0">
            <x v="10"/>
          </reference>
          <reference field="2" count="1">
            <x v="15"/>
          </reference>
        </references>
      </pivotArea>
    </format>
    <format dxfId="2461">
      <pivotArea collapsedLevelsAreSubtotals="1" fieldPosition="0">
        <references count="1">
          <reference field="0" count="1">
            <x v="11"/>
          </reference>
        </references>
      </pivotArea>
    </format>
    <format dxfId="2460">
      <pivotArea collapsedLevelsAreSubtotals="1" fieldPosition="0">
        <references count="2">
          <reference field="0" count="1" selected="0">
            <x v="11"/>
          </reference>
          <reference field="2" count="1">
            <x v="15"/>
          </reference>
        </references>
      </pivotArea>
    </format>
    <format dxfId="2459">
      <pivotArea collapsedLevelsAreSubtotals="1" fieldPosition="0">
        <references count="1">
          <reference field="0" count="1">
            <x v="12"/>
          </reference>
        </references>
      </pivotArea>
    </format>
    <format dxfId="2458">
      <pivotArea collapsedLevelsAreSubtotals="1" fieldPosition="0">
        <references count="2">
          <reference field="0" count="1" selected="0">
            <x v="12"/>
          </reference>
          <reference field="2" count="1">
            <x v="16"/>
          </reference>
        </references>
      </pivotArea>
    </format>
    <format dxfId="2457">
      <pivotArea collapsedLevelsAreSubtotals="1" fieldPosition="0">
        <references count="1">
          <reference field="0" count="1">
            <x v="13"/>
          </reference>
        </references>
      </pivotArea>
    </format>
    <format dxfId="2456">
      <pivotArea collapsedLevelsAreSubtotals="1" fieldPosition="0">
        <references count="2">
          <reference field="0" count="1" selected="0">
            <x v="13"/>
          </reference>
          <reference field="2" count="1">
            <x v="5"/>
          </reference>
        </references>
      </pivotArea>
    </format>
    <format dxfId="2455">
      <pivotArea collapsedLevelsAreSubtotals="1" fieldPosition="0">
        <references count="1">
          <reference field="0" count="1">
            <x v="14"/>
          </reference>
        </references>
      </pivotArea>
    </format>
    <format dxfId="2454">
      <pivotArea collapsedLevelsAreSubtotals="1" fieldPosition="0">
        <references count="2">
          <reference field="0" count="1" selected="0">
            <x v="14"/>
          </reference>
          <reference field="2" count="1">
            <x v="5"/>
          </reference>
        </references>
      </pivotArea>
    </format>
    <format dxfId="2453">
      <pivotArea collapsedLevelsAreSubtotals="1" fieldPosition="0">
        <references count="1">
          <reference field="0" count="1">
            <x v="15"/>
          </reference>
        </references>
      </pivotArea>
    </format>
    <format dxfId="2452">
      <pivotArea collapsedLevelsAreSubtotals="1" fieldPosition="0">
        <references count="2">
          <reference field="0" count="1" selected="0">
            <x v="15"/>
          </reference>
          <reference field="2" count="1">
            <x v="5"/>
          </reference>
        </references>
      </pivotArea>
    </format>
    <format dxfId="2451">
      <pivotArea collapsedLevelsAreSubtotals="1" fieldPosition="0">
        <references count="1">
          <reference field="0" count="1">
            <x v="16"/>
          </reference>
        </references>
      </pivotArea>
    </format>
    <format dxfId="2450">
      <pivotArea collapsedLevelsAreSubtotals="1" fieldPosition="0">
        <references count="2">
          <reference field="0" count="1" selected="0">
            <x v="16"/>
          </reference>
          <reference field="2" count="1">
            <x v="8"/>
          </reference>
        </references>
      </pivotArea>
    </format>
    <format dxfId="2449">
      <pivotArea collapsedLevelsAreSubtotals="1" fieldPosition="0">
        <references count="1">
          <reference field="0" count="1">
            <x v="17"/>
          </reference>
        </references>
      </pivotArea>
    </format>
    <format dxfId="2448">
      <pivotArea collapsedLevelsAreSubtotals="1" fieldPosition="0">
        <references count="2">
          <reference field="0" count="1" selected="0">
            <x v="17"/>
          </reference>
          <reference field="2" count="1">
            <x v="14"/>
          </reference>
        </references>
      </pivotArea>
    </format>
    <format dxfId="2447">
      <pivotArea collapsedLevelsAreSubtotals="1" fieldPosition="0">
        <references count="1">
          <reference field="0" count="1">
            <x v="18"/>
          </reference>
        </references>
      </pivotArea>
    </format>
    <format dxfId="2446">
      <pivotArea collapsedLevelsAreSubtotals="1" fieldPosition="0">
        <references count="2">
          <reference field="0" count="1" selected="0">
            <x v="18"/>
          </reference>
          <reference field="2" count="1">
            <x v="4"/>
          </reference>
        </references>
      </pivotArea>
    </format>
    <format dxfId="2445">
      <pivotArea collapsedLevelsAreSubtotals="1" fieldPosition="0">
        <references count="1">
          <reference field="0" count="1">
            <x v="19"/>
          </reference>
        </references>
      </pivotArea>
    </format>
    <format dxfId="2444">
      <pivotArea collapsedLevelsAreSubtotals="1" fieldPosition="0">
        <references count="2">
          <reference field="0" count="1" selected="0">
            <x v="19"/>
          </reference>
          <reference field="2" count="1">
            <x v="8"/>
          </reference>
        </references>
      </pivotArea>
    </format>
    <format dxfId="2443">
      <pivotArea collapsedLevelsAreSubtotals="1" fieldPosition="0">
        <references count="1">
          <reference field="0" count="1">
            <x v="20"/>
          </reference>
        </references>
      </pivotArea>
    </format>
    <format dxfId="2442">
      <pivotArea collapsedLevelsAreSubtotals="1" fieldPosition="0">
        <references count="2">
          <reference field="0" count="1" selected="0">
            <x v="20"/>
          </reference>
          <reference field="2" count="1">
            <x v="13"/>
          </reference>
        </references>
      </pivotArea>
    </format>
    <format dxfId="2441">
      <pivotArea collapsedLevelsAreSubtotals="1" fieldPosition="0">
        <references count="1">
          <reference field="0" count="1">
            <x v="21"/>
          </reference>
        </references>
      </pivotArea>
    </format>
    <format dxfId="2440">
      <pivotArea collapsedLevelsAreSubtotals="1" fieldPosition="0">
        <references count="2">
          <reference field="0" count="1" selected="0">
            <x v="21"/>
          </reference>
          <reference field="2" count="1">
            <x v="1"/>
          </reference>
        </references>
      </pivotArea>
    </format>
    <format dxfId="2439">
      <pivotArea collapsedLevelsAreSubtotals="1" fieldPosition="0">
        <references count="1">
          <reference field="0" count="1">
            <x v="22"/>
          </reference>
        </references>
      </pivotArea>
    </format>
    <format dxfId="2438">
      <pivotArea collapsedLevelsAreSubtotals="1" fieldPosition="0">
        <references count="2">
          <reference field="0" count="1" selected="0">
            <x v="22"/>
          </reference>
          <reference field="2" count="1">
            <x v="0"/>
          </reference>
        </references>
      </pivotArea>
    </format>
    <format dxfId="2437">
      <pivotArea collapsedLevelsAreSubtotals="1" fieldPosition="0">
        <references count="1">
          <reference field="0" count="1">
            <x v="23"/>
          </reference>
        </references>
      </pivotArea>
    </format>
    <format dxfId="2436">
      <pivotArea collapsedLevelsAreSubtotals="1" fieldPosition="0">
        <references count="2">
          <reference field="0" count="1" selected="0">
            <x v="23"/>
          </reference>
          <reference field="2" count="1">
            <x v="14"/>
          </reference>
        </references>
      </pivotArea>
    </format>
    <format dxfId="2435">
      <pivotArea collapsedLevelsAreSubtotals="1" fieldPosition="0">
        <references count="1">
          <reference field="0" count="1">
            <x v="24"/>
          </reference>
        </references>
      </pivotArea>
    </format>
    <format dxfId="2434">
      <pivotArea collapsedLevelsAreSubtotals="1" fieldPosition="0">
        <references count="2">
          <reference field="0" count="1" selected="0">
            <x v="24"/>
          </reference>
          <reference field="2" count="1">
            <x v="9"/>
          </reference>
        </references>
      </pivotArea>
    </format>
    <format dxfId="2433">
      <pivotArea collapsedLevelsAreSubtotals="1" fieldPosition="0">
        <references count="1">
          <reference field="0" count="1">
            <x v="25"/>
          </reference>
        </references>
      </pivotArea>
    </format>
    <format dxfId="2432">
      <pivotArea collapsedLevelsAreSubtotals="1" fieldPosition="0">
        <references count="2">
          <reference field="0" count="1" selected="0">
            <x v="25"/>
          </reference>
          <reference field="2" count="1">
            <x v="15"/>
          </reference>
        </references>
      </pivotArea>
    </format>
    <format dxfId="2431">
      <pivotArea collapsedLevelsAreSubtotals="1" fieldPosition="0">
        <references count="1">
          <reference field="0" count="1">
            <x v="26"/>
          </reference>
        </references>
      </pivotArea>
    </format>
    <format dxfId="2430">
      <pivotArea collapsedLevelsAreSubtotals="1" fieldPosition="0">
        <references count="2">
          <reference field="0" count="1" selected="0">
            <x v="26"/>
          </reference>
          <reference field="2" count="1">
            <x v="14"/>
          </reference>
        </references>
      </pivotArea>
    </format>
    <format dxfId="2429">
      <pivotArea collapsedLevelsAreSubtotals="1" fieldPosition="0">
        <references count="1">
          <reference field="0" count="1">
            <x v="27"/>
          </reference>
        </references>
      </pivotArea>
    </format>
    <format dxfId="2428">
      <pivotArea collapsedLevelsAreSubtotals="1" fieldPosition="0">
        <references count="2">
          <reference field="0" count="1" selected="0">
            <x v="27"/>
          </reference>
          <reference field="2" count="1">
            <x v="14"/>
          </reference>
        </references>
      </pivotArea>
    </format>
    <format dxfId="2427">
      <pivotArea collapsedLevelsAreSubtotals="1" fieldPosition="0">
        <references count="1">
          <reference field="0" count="1">
            <x v="28"/>
          </reference>
        </references>
      </pivotArea>
    </format>
    <format dxfId="2426">
      <pivotArea collapsedLevelsAreSubtotals="1" fieldPosition="0">
        <references count="2">
          <reference field="0" count="1" selected="0">
            <x v="28"/>
          </reference>
          <reference field="2" count="1">
            <x v="14"/>
          </reference>
        </references>
      </pivotArea>
    </format>
    <format dxfId="2425">
      <pivotArea collapsedLevelsAreSubtotals="1" fieldPosition="0">
        <references count="1">
          <reference field="0" count="1">
            <x v="29"/>
          </reference>
        </references>
      </pivotArea>
    </format>
    <format dxfId="2424">
      <pivotArea collapsedLevelsAreSubtotals="1" fieldPosition="0">
        <references count="2">
          <reference field="0" count="1" selected="0">
            <x v="29"/>
          </reference>
          <reference field="2" count="1">
            <x v="16"/>
          </reference>
        </references>
      </pivotArea>
    </format>
    <format dxfId="2423">
      <pivotArea collapsedLevelsAreSubtotals="1" fieldPosition="0">
        <references count="1">
          <reference field="0" count="1">
            <x v="30"/>
          </reference>
        </references>
      </pivotArea>
    </format>
    <format dxfId="2422">
      <pivotArea collapsedLevelsAreSubtotals="1" fieldPosition="0">
        <references count="2">
          <reference field="0" count="1" selected="0">
            <x v="30"/>
          </reference>
          <reference field="2" count="1">
            <x v="1"/>
          </reference>
        </references>
      </pivotArea>
    </format>
    <format dxfId="2421">
      <pivotArea collapsedLevelsAreSubtotals="1" fieldPosition="0">
        <references count="1">
          <reference field="0" count="1">
            <x v="31"/>
          </reference>
        </references>
      </pivotArea>
    </format>
    <format dxfId="2420">
      <pivotArea collapsedLevelsAreSubtotals="1" fieldPosition="0">
        <references count="2">
          <reference field="0" count="1" selected="0">
            <x v="31"/>
          </reference>
          <reference field="2" count="1">
            <x v="0"/>
          </reference>
        </references>
      </pivotArea>
    </format>
    <format dxfId="2419">
      <pivotArea collapsedLevelsAreSubtotals="1" fieldPosition="0">
        <references count="1">
          <reference field="0" count="1">
            <x v="32"/>
          </reference>
        </references>
      </pivotArea>
    </format>
    <format dxfId="2418">
      <pivotArea collapsedLevelsAreSubtotals="1" fieldPosition="0">
        <references count="2">
          <reference field="0" count="1" selected="0">
            <x v="32"/>
          </reference>
          <reference field="2" count="1">
            <x v="0"/>
          </reference>
        </references>
      </pivotArea>
    </format>
    <format dxfId="2417">
      <pivotArea collapsedLevelsAreSubtotals="1" fieldPosition="0">
        <references count="1">
          <reference field="0" count="1">
            <x v="33"/>
          </reference>
        </references>
      </pivotArea>
    </format>
    <format dxfId="2416">
      <pivotArea collapsedLevelsAreSubtotals="1" fieldPosition="0">
        <references count="2">
          <reference field="0" count="1" selected="0">
            <x v="33"/>
          </reference>
          <reference field="2" count="1">
            <x v="5"/>
          </reference>
        </references>
      </pivotArea>
    </format>
    <format dxfId="2415">
      <pivotArea collapsedLevelsAreSubtotals="1" fieldPosition="0">
        <references count="1">
          <reference field="0" count="1">
            <x v="34"/>
          </reference>
        </references>
      </pivotArea>
    </format>
    <format dxfId="2414">
      <pivotArea collapsedLevelsAreSubtotals="1" fieldPosition="0">
        <references count="2">
          <reference field="0" count="1" selected="0">
            <x v="34"/>
          </reference>
          <reference field="2" count="1">
            <x v="14"/>
          </reference>
        </references>
      </pivotArea>
    </format>
    <format dxfId="2413">
      <pivotArea collapsedLevelsAreSubtotals="1" fieldPosition="0">
        <references count="1">
          <reference field="0" count="1">
            <x v="35"/>
          </reference>
        </references>
      </pivotArea>
    </format>
    <format dxfId="2412">
      <pivotArea collapsedLevelsAreSubtotals="1" fieldPosition="0">
        <references count="2">
          <reference field="0" count="1" selected="0">
            <x v="35"/>
          </reference>
          <reference field="2" count="1">
            <x v="0"/>
          </reference>
        </references>
      </pivotArea>
    </format>
  </formats>
  <chartFormats count="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 dinámica1" cacheId="379" applyNumberFormats="0" applyBorderFormats="0" applyFontFormats="0" applyPatternFormats="0" applyAlignmentFormats="0" applyWidthHeightFormats="1" dataCaption="Valores" updatedVersion="5" minRefreshableVersion="3" showDrill="0" itemPrintTitles="1" createdVersion="5" indent="0" compact="0" compactData="0" multipleFieldFilters="0">
  <location ref="A17:BK59" firstHeaderRow="0" firstDataRow="1" firstDataCol="3"/>
  <pivotFields count="81">
    <pivotField compact="0" outline="0" showAll="0" defaultSubtotal="0">
      <items count="117">
        <item x="43"/>
        <item m="1" x="87"/>
        <item x="6"/>
        <item m="1" x="90"/>
        <item x="37"/>
        <item m="1" x="77"/>
        <item x="32"/>
        <item x="17"/>
        <item m="1" x="114"/>
        <item x="27"/>
        <item x="18"/>
        <item m="1" x="93"/>
        <item x="56"/>
        <item x="29"/>
        <item x="1"/>
        <item m="1" x="110"/>
        <item m="1" x="92"/>
        <item x="31"/>
        <item m="1" x="96"/>
        <item x="52"/>
        <item x="5"/>
        <item x="42"/>
        <item x="73"/>
        <item x="70"/>
        <item x="50"/>
        <item x="7"/>
        <item m="1" x="81"/>
        <item m="1" x="102"/>
        <item x="20"/>
        <item m="1" x="103"/>
        <item x="13"/>
        <item m="1" x="107"/>
        <item x="12"/>
        <item m="1" x="101"/>
        <item x="66"/>
        <item x="49"/>
        <item x="59"/>
        <item x="28"/>
        <item x="45"/>
        <item m="1" x="84"/>
        <item x="34"/>
        <item x="14"/>
        <item x="54"/>
        <item m="1" x="100"/>
        <item x="38"/>
        <item x="57"/>
        <item x="15"/>
        <item x="51"/>
        <item m="1" x="97"/>
        <item x="9"/>
        <item m="1" x="113"/>
        <item x="67"/>
        <item x="62"/>
        <item m="1" x="85"/>
        <item x="19"/>
        <item m="1" x="88"/>
        <item x="0"/>
        <item x="8"/>
        <item m="1" x="116"/>
        <item x="44"/>
        <item x="72"/>
        <item x="16"/>
        <item x="35"/>
        <item x="61"/>
        <item m="1" x="89"/>
        <item x="41"/>
        <item m="1" x="83"/>
        <item x="26"/>
        <item m="1" x="86"/>
        <item x="21"/>
        <item x="22"/>
        <item m="1" x="111"/>
        <item m="1" x="80"/>
        <item x="30"/>
        <item m="1" x="115"/>
        <item x="2"/>
        <item m="1" x="99"/>
        <item x="25"/>
        <item x="24"/>
        <item m="1" x="82"/>
        <item x="33"/>
        <item m="1" x="91"/>
        <item x="46"/>
        <item x="47"/>
        <item x="48"/>
        <item x="23"/>
        <item x="55"/>
        <item x="40"/>
        <item x="64"/>
        <item x="60"/>
        <item x="74"/>
        <item m="1" x="112"/>
        <item x="65"/>
        <item m="1" x="94"/>
        <item x="58"/>
        <item m="1" x="108"/>
        <item x="4"/>
        <item m="1" x="95"/>
        <item m="1" x="79"/>
        <item x="68"/>
        <item x="39"/>
        <item m="1" x="78"/>
        <item x="11"/>
        <item x="71"/>
        <item m="1" x="105"/>
        <item x="63"/>
        <item m="1" x="106"/>
        <item x="69"/>
        <item m="1" x="76"/>
        <item x="10"/>
        <item m="1" x="109"/>
        <item x="53"/>
        <item m="1" x="104"/>
        <item x="36"/>
        <item m="1" x="98"/>
        <item x="3"/>
        <item m="1" x="75"/>
      </items>
    </pivotField>
    <pivotField compact="0" outline="0" showAll="0" defaultSubtotal="0">
      <items count="3">
        <item x="1"/>
        <item x="0"/>
        <item m="1" x="2"/>
      </items>
    </pivotField>
    <pivotField axis="axisRow" compact="0" outline="0" showAll="0" defaultSubtotal="0">
      <items count="25">
        <item x="12"/>
        <item x="15"/>
        <item x="18"/>
        <item x="17"/>
        <item x="1"/>
        <item x="10"/>
        <item x="7"/>
        <item x="0"/>
        <item x="16"/>
        <item x="11"/>
        <item x="3"/>
        <item x="20"/>
        <item x="5"/>
        <item x="8"/>
        <item x="9"/>
        <item x="13"/>
        <item x="6"/>
        <item x="19"/>
        <item x="21"/>
        <item x="4"/>
        <item x="2"/>
        <item m="1" x="23"/>
        <item x="14"/>
        <item m="1" x="24"/>
        <item x="22"/>
      </items>
    </pivotField>
    <pivotField compact="0" outline="0" showAll="0" defaultSubtotal="0"/>
    <pivotField compact="0" outline="0" showAll="0" defaultSubtotal="0"/>
    <pivotField axis="axisRow" compact="0" outline="0" showAll="0" nonAutoSortDefault="1" defaultSubtotal="0">
      <items count="49">
        <item x="19"/>
        <item x="10"/>
        <item x="11"/>
        <item x="0"/>
        <item x="25"/>
        <item x="29"/>
        <item x="7"/>
        <item x="28"/>
        <item x="27"/>
        <item x="9"/>
        <item x="34"/>
        <item x="13"/>
        <item x="20"/>
        <item x="22"/>
        <item x="1"/>
        <item x="38"/>
        <item x="3"/>
        <item x="5"/>
        <item x="12"/>
        <item x="15"/>
        <item x="33"/>
        <item x="23"/>
        <item x="35"/>
        <item x="6"/>
        <item x="30"/>
        <item x="32"/>
        <item x="4"/>
        <item x="2"/>
        <item x="8"/>
        <item x="39"/>
        <item m="1" x="45"/>
        <item x="14"/>
        <item m="1" x="41"/>
        <item m="1" x="44"/>
        <item m="1" x="46"/>
        <item m="1" x="47"/>
        <item x="21"/>
        <item m="1" x="42"/>
        <item x="26"/>
        <item x="24"/>
        <item x="17"/>
        <item x="31"/>
        <item m="1" x="43"/>
        <item x="16"/>
        <item m="1" x="48"/>
        <item x="18"/>
        <item x="36"/>
        <item x="40"/>
        <item x="37"/>
      </items>
    </pivotField>
    <pivotField axis="axisRow" compact="0" outline="0" showAll="0" defaultSubtotal="0">
      <items count="50">
        <item x="18"/>
        <item x="33"/>
        <item x="21"/>
        <item x="0"/>
        <item x="11"/>
        <item x="24"/>
        <item x="7"/>
        <item x="27"/>
        <item x="3"/>
        <item x="19"/>
        <item x="32"/>
        <item x="5"/>
        <item x="1"/>
        <item x="12"/>
        <item x="10"/>
        <item x="26"/>
        <item x="9"/>
        <item x="28"/>
        <item x="37"/>
        <item x="14"/>
        <item m="1" x="41"/>
        <item x="6"/>
        <item x="29"/>
        <item x="31"/>
        <item x="34"/>
        <item x="4"/>
        <item m="1" x="49"/>
        <item x="2"/>
        <item m="1" x="46"/>
        <item m="1" x="47"/>
        <item x="13"/>
        <item m="1" x="40"/>
        <item m="1" x="42"/>
        <item m="1" x="43"/>
        <item x="39"/>
        <item x="20"/>
        <item m="1" x="44"/>
        <item x="25"/>
        <item x="22"/>
        <item x="23"/>
        <item x="16"/>
        <item x="38"/>
        <item x="8"/>
        <item x="30"/>
        <item x="15"/>
        <item x="35"/>
        <item m="1" x="48"/>
        <item m="1" x="45"/>
        <item x="17"/>
        <item x="36"/>
      </items>
    </pivotField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</pivotFields>
  <rowFields count="3">
    <field x="5"/>
    <field x="2"/>
    <field x="6"/>
  </rowFields>
  <rowItems count="42">
    <i>
      <x/>
      <x v="1"/>
      <x/>
    </i>
    <i>
      <x v="1"/>
      <x v="5"/>
      <x v="14"/>
    </i>
    <i>
      <x v="2"/>
      <x v="9"/>
      <x v="14"/>
    </i>
    <i>
      <x v="3"/>
      <x v="7"/>
      <x v="3"/>
    </i>
    <i>
      <x v="4"/>
      <x v="8"/>
      <x v="5"/>
    </i>
    <i>
      <x v="5"/>
      <x v="8"/>
      <x v="17"/>
    </i>
    <i>
      <x v="6"/>
      <x v="6"/>
      <x v="6"/>
    </i>
    <i>
      <x v="7"/>
      <x v="2"/>
      <x v="7"/>
    </i>
    <i>
      <x v="8"/>
      <x v="3"/>
      <x v="15"/>
    </i>
    <i>
      <x v="9"/>
      <x v="14"/>
      <x v="16"/>
    </i>
    <i>
      <x v="10"/>
      <x v="14"/>
      <x v="1"/>
    </i>
    <i>
      <x v="11"/>
      <x v="15"/>
      <x v="13"/>
    </i>
    <i>
      <x v="12"/>
      <x v="4"/>
      <x v="9"/>
    </i>
    <i>
      <x v="13"/>
      <x v="4"/>
      <x v="2"/>
    </i>
    <i>
      <x v="14"/>
      <x v="4"/>
      <x v="12"/>
    </i>
    <i>
      <x v="15"/>
      <x v="13"/>
      <x v="18"/>
    </i>
    <i>
      <x v="16"/>
      <x v="10"/>
      <x v="8"/>
    </i>
    <i>
      <x v="17"/>
      <x v="12"/>
      <x v="11"/>
    </i>
    <i>
      <x v="18"/>
      <x/>
      <x v="4"/>
    </i>
    <i>
      <x v="19"/>
      <x v="13"/>
      <x v="19"/>
    </i>
    <i>
      <x v="20"/>
      <x v="11"/>
      <x v="10"/>
    </i>
    <i>
      <x v="21"/>
      <x v="7"/>
      <x v="38"/>
    </i>
    <i>
      <x v="22"/>
      <x v="18"/>
      <x v="24"/>
    </i>
    <i>
      <x v="23"/>
      <x v="16"/>
      <x v="21"/>
    </i>
    <i>
      <x v="24"/>
      <x v="14"/>
      <x v="22"/>
    </i>
    <i>
      <x v="25"/>
      <x v="17"/>
      <x v="23"/>
    </i>
    <i>
      <x v="26"/>
      <x v="19"/>
      <x v="25"/>
    </i>
    <i>
      <x v="27"/>
      <x v="20"/>
      <x v="27"/>
    </i>
    <i>
      <x v="28"/>
      <x v="13"/>
      <x v="42"/>
    </i>
    <i>
      <x v="29"/>
      <x v="13"/>
      <x v="41"/>
    </i>
    <i>
      <x v="31"/>
      <x v="13"/>
      <x v="30"/>
    </i>
    <i>
      <x v="36"/>
      <x/>
      <x v="35"/>
    </i>
    <i>
      <x v="38"/>
      <x v="4"/>
      <x v="37"/>
    </i>
    <i>
      <x v="39"/>
      <x v="7"/>
      <x v="39"/>
    </i>
    <i>
      <x v="40"/>
      <x v="13"/>
      <x v="40"/>
    </i>
    <i>
      <x v="41"/>
      <x/>
      <x v="43"/>
    </i>
    <i>
      <x v="43"/>
      <x v="22"/>
      <x v="44"/>
    </i>
    <i>
      <x v="45"/>
      <x v="13"/>
      <x v="48"/>
    </i>
    <i>
      <x v="46"/>
      <x v="15"/>
      <x v="45"/>
    </i>
    <i>
      <x v="47"/>
      <x/>
      <x v="34"/>
    </i>
    <i>
      <x v="48"/>
      <x v="24"/>
      <x v="49"/>
    </i>
    <i t="grand">
      <x/>
    </i>
  </rowItems>
  <colFields count="1">
    <field x="-2"/>
  </colFields>
  <colItems count="6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  <i i="39">
      <x v="39"/>
    </i>
    <i i="40">
      <x v="40"/>
    </i>
    <i i="41">
      <x v="41"/>
    </i>
    <i i="42">
      <x v="42"/>
    </i>
    <i i="43">
      <x v="43"/>
    </i>
    <i i="44">
      <x v="44"/>
    </i>
    <i i="45">
      <x v="45"/>
    </i>
    <i i="46">
      <x v="46"/>
    </i>
    <i i="47">
      <x v="47"/>
    </i>
    <i i="48">
      <x v="48"/>
    </i>
    <i i="49">
      <x v="49"/>
    </i>
    <i i="50">
      <x v="50"/>
    </i>
    <i i="51">
      <x v="51"/>
    </i>
    <i i="52">
      <x v="52"/>
    </i>
    <i i="53">
      <x v="53"/>
    </i>
    <i i="54">
      <x v="54"/>
    </i>
    <i i="55">
      <x v="55"/>
    </i>
    <i i="56">
      <x v="56"/>
    </i>
    <i i="57">
      <x v="57"/>
    </i>
    <i i="58">
      <x v="58"/>
    </i>
    <i i="59">
      <x v="59"/>
    </i>
  </colItems>
  <dataFields count="60">
    <dataField name=".Enero  02 - 06" fld="8" baseField="6" baseItem="0"/>
    <dataField name=".Enero  09 - 13" fld="9" baseField="6" baseItem="0"/>
    <dataField name=".Enero  16 - 20" fld="10" baseField="6" baseItem="0"/>
    <dataField name=".Enero  23 - 27" fld="11" baseField="6" baseItem="0"/>
    <dataField name=".Enero  30 - 31" fld="12" baseField="6" baseItem="0"/>
    <dataField name=".TOTAL HRS ENERO" fld="68" baseField="6" baseItem="17"/>
    <dataField name=".Febrero  01 - 03" fld="13" baseField="6" baseItem="5"/>
    <dataField name=".Febrero  06 - 10" fld="14" baseField="6" baseItem="5"/>
    <dataField name=".Febrero  13 - 17" fld="15" baseField="6" baseItem="5"/>
    <dataField name=".Febrero  20 - 24" fld="16" baseField="6" baseItem="5"/>
    <dataField name=".Febrero  27 - 28" fld="17" baseField="6" baseItem="5"/>
    <dataField name=".TOTAL HRS FEBRERO" fld="69" baseField="6" baseItem="0"/>
    <dataField name=".Marzo  01 - 03" fld="18" baseField="6" baseItem="5"/>
    <dataField name=".Marzo  06 - 10" fld="19" baseField="6" baseItem="5"/>
    <dataField name=".Marzo  13 - 17" fld="20" baseField="6" baseItem="5"/>
    <dataField name=".Marzo  20 - 24" fld="21" baseField="6" baseItem="5"/>
    <dataField name=".Marzo  27 - 31" fld="22" baseField="6" baseItem="5"/>
    <dataField name=". TOTAL HRS MARZO" fld="70" baseField="6" baseItem="0"/>
    <dataField name=".Abril  03 - 07" fld="23" baseField="6" baseItem="5"/>
    <dataField name=".Abril  10 - 12" fld="24" baseField="6" baseItem="5"/>
    <dataField name=".Abril  17 - 21" fld="25" baseField="6" baseItem="5"/>
    <dataField name=".Abril  24 - 28" fld="26" baseField="6" baseItem="5"/>
    <dataField name=".TOTAL HRS ABRIL" fld="71" baseField="6" baseItem="6"/>
    <dataField name=".Mayo  02 - 05" fld="27" baseField="6" baseItem="5"/>
    <dataField name=".Mayo  08 - 12" fld="28" baseField="6" baseItem="0"/>
    <dataField name=".Mayo  15 - 19" fld="29" baseField="6" baseItem="0"/>
    <dataField name=".Mayo  22 - 26" fld="30" baseField="6" baseItem="0"/>
    <dataField name=".Mayo  29 - 31" fld="31" baseField="6" baseItem="0"/>
    <dataField name=".TOTAL HRS MAYO" fld="72" baseField="6" baseItem="0"/>
    <dataField name=".Junio  01-02" fld="32" baseField="6" baseItem="0"/>
    <dataField name=".Junio  05-09" fld="33" baseField="6" baseItem="0"/>
    <dataField name=".Junio  12-16" fld="34" baseField="6" baseItem="0"/>
    <dataField name=" .Junio 19-23" fld="35" baseField="6" baseItem="0"/>
    <dataField name=".Junio  26-30" fld="36" baseField="6" baseItem="0"/>
    <dataField name=".TOTAL HRS JUNIO" fld="73" baseField="6" baseItem="0"/>
    <dataField name=".Julio 10-14" fld="38" baseField="6" baseItem="0"/>
    <dataField name=".Julio 17-21" fld="39" baseField="6" baseItem="0"/>
    <dataField name=".Julio  03-07" fld="37" baseField="6" baseItem="0"/>
    <dataField name=".Julio 24-28" fld="40" baseField="6" baseItem="0"/>
    <dataField name=".Julio  31-" fld="42" baseField="6" baseItem="16"/>
    <dataField name=".TOTAL HRS JULIO" fld="74" baseField="6" baseItem="0"/>
    <dataField name=".Agosto  01-04" fld="43" baseField="6" baseItem="2"/>
    <dataField name=".Agosto  07-11" fld="44" baseField="6" baseItem="2"/>
    <dataField name=".Agosto  14-18" fld="45" baseField="6" baseItem="2"/>
    <dataField name=".Agosto  21-25" fld="46" baseField="6" baseItem="2"/>
    <dataField name=".Agosto  28-31" fld="47" baseField="6" baseItem="2"/>
    <dataField name=".TOTAL HRS AGOSTO" fld="75" baseField="6" baseItem="2"/>
    <dataField name=".Setiembre  01" fld="48" baseField="6" baseItem="15"/>
    <dataField name=".Setiembre  04-08" fld="49" baseField="6" baseItem="15"/>
    <dataField name=".Setiembre  11-15" fld="50" baseField="6" baseItem="15"/>
    <dataField name=".Setiembre  18-22" fld="51" baseField="6" baseItem="15"/>
    <dataField name=".Setiembre  25-29" fld="52" baseField="6" baseItem="15"/>
    <dataField name=".TOTAL HRS SETIEMBRE" fld="76" baseField="6" baseItem="15"/>
    <dataField name=".Octubre  02-06" fld="53" baseField="6" baseItem="0"/>
    <dataField name=".Octubre  09-13" fld="54" baseField="6" baseItem="0"/>
    <dataField name=".Octubre  16-20" fld="55" baseField="6" baseItem="0"/>
    <dataField name=".Octubre  23-28" fld="56" baseField="6" baseItem="0"/>
    <dataField name=".Octubre  30-31" fld="57" baseField="6" baseItem="0"/>
    <dataField name=".TOTAL HRS OCTUBRE" fld="77" baseField="6" baseItem="0"/>
    <dataField name=".TOTAL ACUMULADO" fld="80" baseField="6" baseItem="7"/>
  </dataFields>
  <formats count="340">
    <format dxfId="1349">
      <pivotArea type="all" dataOnly="0" outline="0" fieldPosition="0"/>
    </format>
    <format dxfId="1350">
      <pivotArea dataOnly="0" labelOnly="1" grandRow="1" outline="0" fieldPosition="0"/>
    </format>
    <format dxfId="1351">
      <pivotArea outline="0" collapsedLevelsAreSubtotals="1" fieldPosition="0"/>
    </format>
    <format dxfId="1352">
      <pivotArea outline="0" collapsedLevelsAreSubtotals="1" fieldPosition="0"/>
    </format>
    <format dxfId="1353">
      <pivotArea dataOnly="0" labelOnly="1" grandRow="1" outline="0" fieldPosition="0"/>
    </format>
    <format dxfId="1354">
      <pivotArea outline="0" collapsedLevelsAreSubtotals="1" fieldPosition="0"/>
    </format>
    <format dxfId="1355">
      <pivotArea dataOnly="0" labelOnly="1" grandRow="1" outline="0" fieldPosition="0"/>
    </format>
    <format dxfId="1356">
      <pivotArea type="all" dataOnly="0" outline="0" fieldPosition="0"/>
    </format>
    <format dxfId="1357">
      <pivotArea outline="0" collapsedLevelsAreSubtotals="1" fieldPosition="0"/>
    </format>
    <format dxfId="1358">
      <pivotArea dataOnly="0" labelOnly="1" grandRow="1" outline="0" fieldPosition="0"/>
    </format>
    <format dxfId="1359">
      <pivotArea type="all" dataOnly="0" outline="0" fieldPosition="0"/>
    </format>
    <format dxfId="1360">
      <pivotArea outline="0" collapsedLevelsAreSubtotals="1" fieldPosition="0"/>
    </format>
    <format dxfId="1361">
      <pivotArea dataOnly="0" labelOnly="1" grandRow="1" outline="0" fieldPosition="0"/>
    </format>
    <format dxfId="1362">
      <pivotArea grandRow="1" outline="0" collapsedLevelsAreSubtotals="1" fieldPosition="0"/>
    </format>
    <format dxfId="1363">
      <pivotArea dataOnly="0" labelOnly="1" grandRow="1" outline="0" fieldPosition="0"/>
    </format>
    <format dxfId="1364">
      <pivotArea grandRow="1" outline="0" collapsedLevelsAreSubtotals="1" fieldPosition="0"/>
    </format>
    <format dxfId="1365">
      <pivotArea dataOnly="0" labelOnly="1" grandRow="1" outline="0" fieldPosition="0"/>
    </format>
    <format dxfId="1366">
      <pivotArea grandRow="1" outline="0" collapsedLevelsAreSubtotals="1" fieldPosition="0"/>
    </format>
    <format dxfId="1367">
      <pivotArea dataOnly="0" labelOnly="1" grandRow="1" outline="0" fieldPosition="0"/>
    </format>
    <format dxfId="1368">
      <pivotArea field="5" type="button" dataOnly="0" labelOnly="1" outline="0" axis="axisRow" fieldPosition="0"/>
    </format>
    <format dxfId="1369">
      <pivotArea field="5" type="button" dataOnly="0" labelOnly="1" outline="0" axis="axisRow" fieldPosition="0"/>
    </format>
    <format dxfId="1370">
      <pivotArea dataOnly="0" labelOnly="1" outline="0" fieldPosition="0">
        <references count="2">
          <reference field="2" count="1">
            <x v="1"/>
          </reference>
          <reference field="5" count="1" selected="0">
            <x v="0"/>
          </reference>
        </references>
      </pivotArea>
    </format>
    <format dxfId="1371">
      <pivotArea dataOnly="0" labelOnly="1" outline="0" fieldPosition="0">
        <references count="2">
          <reference field="2" count="1">
            <x v="5"/>
          </reference>
          <reference field="5" count="1" selected="0">
            <x v="1"/>
          </reference>
        </references>
      </pivotArea>
    </format>
    <format dxfId="1372">
      <pivotArea dataOnly="0" labelOnly="1" outline="0" fieldPosition="0">
        <references count="2">
          <reference field="2" count="1">
            <x v="9"/>
          </reference>
          <reference field="5" count="1" selected="0">
            <x v="2"/>
          </reference>
        </references>
      </pivotArea>
    </format>
    <format dxfId="1373">
      <pivotArea dataOnly="0" labelOnly="1" outline="0" fieldPosition="0">
        <references count="2">
          <reference field="2" count="1">
            <x v="7"/>
          </reference>
          <reference field="5" count="1" selected="0">
            <x v="3"/>
          </reference>
        </references>
      </pivotArea>
    </format>
    <format dxfId="1374">
      <pivotArea dataOnly="0" labelOnly="1" outline="0" fieldPosition="0">
        <references count="2">
          <reference field="2" count="1">
            <x v="8"/>
          </reference>
          <reference field="5" count="1" selected="0">
            <x v="4"/>
          </reference>
        </references>
      </pivotArea>
    </format>
    <format dxfId="1375">
      <pivotArea dataOnly="0" labelOnly="1" outline="0" fieldPosition="0">
        <references count="2">
          <reference field="2" count="1">
            <x v="6"/>
          </reference>
          <reference field="5" count="1" selected="0">
            <x v="6"/>
          </reference>
        </references>
      </pivotArea>
    </format>
    <format dxfId="1376">
      <pivotArea dataOnly="0" labelOnly="1" outline="0" fieldPosition="0">
        <references count="2">
          <reference field="2" count="1">
            <x v="2"/>
          </reference>
          <reference field="5" count="1" selected="0">
            <x v="7"/>
          </reference>
        </references>
      </pivotArea>
    </format>
    <format dxfId="1377">
      <pivotArea dataOnly="0" labelOnly="1" outline="0" fieldPosition="0">
        <references count="2">
          <reference field="2" count="1">
            <x v="3"/>
          </reference>
          <reference field="5" count="1" selected="0">
            <x v="8"/>
          </reference>
        </references>
      </pivotArea>
    </format>
    <format dxfId="1378">
      <pivotArea dataOnly="0" labelOnly="1" outline="0" fieldPosition="0">
        <references count="2">
          <reference field="2" count="1">
            <x v="14"/>
          </reference>
          <reference field="5" count="1" selected="0">
            <x v="9"/>
          </reference>
        </references>
      </pivotArea>
    </format>
    <format dxfId="1379">
      <pivotArea dataOnly="0" labelOnly="1" outline="0" fieldPosition="0">
        <references count="2">
          <reference field="2" count="1">
            <x v="15"/>
          </reference>
          <reference field="5" count="1" selected="0">
            <x v="11"/>
          </reference>
        </references>
      </pivotArea>
    </format>
    <format dxfId="1380">
      <pivotArea dataOnly="0" labelOnly="1" outline="0" fieldPosition="0">
        <references count="2">
          <reference field="2" count="1">
            <x v="4"/>
          </reference>
          <reference field="5" count="1" selected="0">
            <x v="12"/>
          </reference>
        </references>
      </pivotArea>
    </format>
    <format dxfId="1381">
      <pivotArea dataOnly="0" labelOnly="1" outline="0" fieldPosition="0">
        <references count="2">
          <reference field="2" count="1">
            <x v="13"/>
          </reference>
          <reference field="5" count="1" selected="0">
            <x v="15"/>
          </reference>
        </references>
      </pivotArea>
    </format>
    <format dxfId="1382">
      <pivotArea dataOnly="0" labelOnly="1" outline="0" fieldPosition="0">
        <references count="2">
          <reference field="2" count="1">
            <x v="10"/>
          </reference>
          <reference field="5" count="1" selected="0">
            <x v="16"/>
          </reference>
        </references>
      </pivotArea>
    </format>
    <format dxfId="1383">
      <pivotArea dataOnly="0" labelOnly="1" outline="0" fieldPosition="0">
        <references count="2">
          <reference field="2" count="1">
            <x v="12"/>
          </reference>
          <reference field="5" count="1" selected="0">
            <x v="17"/>
          </reference>
        </references>
      </pivotArea>
    </format>
    <format dxfId="1384">
      <pivotArea dataOnly="0" labelOnly="1" outline="0" fieldPosition="0">
        <references count="2">
          <reference field="2" count="1">
            <x v="0"/>
          </reference>
          <reference field="5" count="1" selected="0">
            <x v="18"/>
          </reference>
        </references>
      </pivotArea>
    </format>
    <format dxfId="1385">
      <pivotArea dataOnly="0" labelOnly="1" outline="0" fieldPosition="0">
        <references count="2">
          <reference field="2" count="1">
            <x v="13"/>
          </reference>
          <reference field="5" count="1" selected="0">
            <x v="19"/>
          </reference>
        </references>
      </pivotArea>
    </format>
    <format dxfId="1386">
      <pivotArea dataOnly="0" labelOnly="1" outline="0" fieldPosition="0">
        <references count="2">
          <reference field="2" count="1">
            <x v="11"/>
          </reference>
          <reference field="5" count="1" selected="0">
            <x v="20"/>
          </reference>
        </references>
      </pivotArea>
    </format>
    <format dxfId="1387">
      <pivotArea dataOnly="0" labelOnly="1" outline="0" fieldPosition="0">
        <references count="2">
          <reference field="2" count="1">
            <x v="0"/>
          </reference>
          <reference field="5" count="1" selected="0">
            <x v="21"/>
          </reference>
        </references>
      </pivotArea>
    </format>
    <format dxfId="1388">
      <pivotArea dataOnly="0" labelOnly="1" outline="0" fieldPosition="0">
        <references count="2">
          <reference field="2" count="1">
            <x v="18"/>
          </reference>
          <reference field="5" count="1" selected="0">
            <x v="22"/>
          </reference>
        </references>
      </pivotArea>
    </format>
    <format dxfId="1389">
      <pivotArea dataOnly="0" labelOnly="1" outline="0" fieldPosition="0">
        <references count="2">
          <reference field="2" count="1">
            <x v="16"/>
          </reference>
          <reference field="5" count="1" selected="0">
            <x v="23"/>
          </reference>
        </references>
      </pivotArea>
    </format>
    <format dxfId="1390">
      <pivotArea dataOnly="0" labelOnly="1" outline="0" fieldPosition="0">
        <references count="2">
          <reference field="2" count="1">
            <x v="14"/>
          </reference>
          <reference field="5" count="1" selected="0">
            <x v="24"/>
          </reference>
        </references>
      </pivotArea>
    </format>
    <format dxfId="1391">
      <pivotArea dataOnly="0" labelOnly="1" outline="0" fieldPosition="0">
        <references count="2">
          <reference field="2" count="1">
            <x v="17"/>
          </reference>
          <reference field="5" count="1" selected="0">
            <x v="25"/>
          </reference>
        </references>
      </pivotArea>
    </format>
    <format dxfId="1392">
      <pivotArea dataOnly="0" labelOnly="1" outline="0" fieldPosition="0">
        <references count="2">
          <reference field="2" count="1">
            <x v="19"/>
          </reference>
          <reference field="5" count="1" selected="0">
            <x v="26"/>
          </reference>
        </references>
      </pivotArea>
    </format>
    <format dxfId="1393">
      <pivotArea dataOnly="0" labelOnly="1" outline="0" fieldPosition="0">
        <references count="2">
          <reference field="2" count="1">
            <x v="20"/>
          </reference>
          <reference field="5" count="1" selected="0">
            <x v="27"/>
          </reference>
        </references>
      </pivotArea>
    </format>
    <format dxfId="1394">
      <pivotArea field="5" type="button" dataOnly="0" labelOnly="1" outline="0" axis="axisRow" fieldPosition="0"/>
    </format>
    <format dxfId="1395">
      <pivotArea dataOnly="0" labelOnly="1" outline="0" fieldPosition="0">
        <references count="1">
          <reference field="5" count="0"/>
        </references>
      </pivotArea>
    </format>
    <format dxfId="1396">
      <pivotArea field="2" type="button" dataOnly="0" labelOnly="1" outline="0" axis="axisRow" fieldPosition="1"/>
    </format>
    <format dxfId="1397">
      <pivotArea dataOnly="0" labelOnly="1" outline="0" fieldPosition="0">
        <references count="2">
          <reference field="2" count="1">
            <x v="1"/>
          </reference>
          <reference field="5" count="1" selected="0">
            <x v="0"/>
          </reference>
        </references>
      </pivotArea>
    </format>
    <format dxfId="1398">
      <pivotArea dataOnly="0" labelOnly="1" outline="0" fieldPosition="0">
        <references count="2">
          <reference field="2" count="1">
            <x v="5"/>
          </reference>
          <reference field="5" count="1" selected="0">
            <x v="1"/>
          </reference>
        </references>
      </pivotArea>
    </format>
    <format dxfId="1399">
      <pivotArea dataOnly="0" labelOnly="1" outline="0" fieldPosition="0">
        <references count="2">
          <reference field="2" count="1">
            <x v="9"/>
          </reference>
          <reference field="5" count="1" selected="0">
            <x v="2"/>
          </reference>
        </references>
      </pivotArea>
    </format>
    <format dxfId="1400">
      <pivotArea dataOnly="0" labelOnly="1" outline="0" fieldPosition="0">
        <references count="2">
          <reference field="2" count="1">
            <x v="7"/>
          </reference>
          <reference field="5" count="1" selected="0">
            <x v="3"/>
          </reference>
        </references>
      </pivotArea>
    </format>
    <format dxfId="1401">
      <pivotArea dataOnly="0" labelOnly="1" outline="0" fieldPosition="0">
        <references count="2">
          <reference field="2" count="1">
            <x v="8"/>
          </reference>
          <reference field="5" count="1" selected="0">
            <x v="4"/>
          </reference>
        </references>
      </pivotArea>
    </format>
    <format dxfId="1402">
      <pivotArea dataOnly="0" labelOnly="1" outline="0" fieldPosition="0">
        <references count="2">
          <reference field="2" count="1">
            <x v="6"/>
          </reference>
          <reference field="5" count="1" selected="0">
            <x v="6"/>
          </reference>
        </references>
      </pivotArea>
    </format>
    <format dxfId="1403">
      <pivotArea dataOnly="0" labelOnly="1" outline="0" fieldPosition="0">
        <references count="2">
          <reference field="2" count="1">
            <x v="2"/>
          </reference>
          <reference field="5" count="1" selected="0">
            <x v="7"/>
          </reference>
        </references>
      </pivotArea>
    </format>
    <format dxfId="1404">
      <pivotArea dataOnly="0" labelOnly="1" outline="0" fieldPosition="0">
        <references count="2">
          <reference field="2" count="1">
            <x v="3"/>
          </reference>
          <reference field="5" count="1" selected="0">
            <x v="8"/>
          </reference>
        </references>
      </pivotArea>
    </format>
    <format dxfId="1405">
      <pivotArea dataOnly="0" labelOnly="1" outline="0" fieldPosition="0">
        <references count="2">
          <reference field="2" count="1">
            <x v="14"/>
          </reference>
          <reference field="5" count="1" selected="0">
            <x v="9"/>
          </reference>
        </references>
      </pivotArea>
    </format>
    <format dxfId="1406">
      <pivotArea dataOnly="0" labelOnly="1" outline="0" fieldPosition="0">
        <references count="2">
          <reference field="2" count="1">
            <x v="15"/>
          </reference>
          <reference field="5" count="1" selected="0">
            <x v="11"/>
          </reference>
        </references>
      </pivotArea>
    </format>
    <format dxfId="1407">
      <pivotArea dataOnly="0" labelOnly="1" outline="0" fieldPosition="0">
        <references count="2">
          <reference field="2" count="1">
            <x v="4"/>
          </reference>
          <reference field="5" count="1" selected="0">
            <x v="12"/>
          </reference>
        </references>
      </pivotArea>
    </format>
    <format dxfId="1408">
      <pivotArea dataOnly="0" labelOnly="1" outline="0" fieldPosition="0">
        <references count="2">
          <reference field="2" count="1">
            <x v="13"/>
          </reference>
          <reference field="5" count="1" selected="0">
            <x v="15"/>
          </reference>
        </references>
      </pivotArea>
    </format>
    <format dxfId="1409">
      <pivotArea dataOnly="0" labelOnly="1" outline="0" fieldPosition="0">
        <references count="2">
          <reference field="2" count="1">
            <x v="10"/>
          </reference>
          <reference field="5" count="1" selected="0">
            <x v="16"/>
          </reference>
        </references>
      </pivotArea>
    </format>
    <format dxfId="1410">
      <pivotArea dataOnly="0" labelOnly="1" outline="0" fieldPosition="0">
        <references count="2">
          <reference field="2" count="1">
            <x v="12"/>
          </reference>
          <reference field="5" count="1" selected="0">
            <x v="17"/>
          </reference>
        </references>
      </pivotArea>
    </format>
    <format dxfId="1411">
      <pivotArea dataOnly="0" labelOnly="1" outline="0" fieldPosition="0">
        <references count="2">
          <reference field="2" count="1">
            <x v="0"/>
          </reference>
          <reference field="5" count="1" selected="0">
            <x v="18"/>
          </reference>
        </references>
      </pivotArea>
    </format>
    <format dxfId="1412">
      <pivotArea dataOnly="0" labelOnly="1" outline="0" fieldPosition="0">
        <references count="2">
          <reference field="2" count="1">
            <x v="13"/>
          </reference>
          <reference field="5" count="1" selected="0">
            <x v="19"/>
          </reference>
        </references>
      </pivotArea>
    </format>
    <format dxfId="1413">
      <pivotArea dataOnly="0" labelOnly="1" outline="0" fieldPosition="0">
        <references count="2">
          <reference field="2" count="1">
            <x v="11"/>
          </reference>
          <reference field="5" count="1" selected="0">
            <x v="20"/>
          </reference>
        </references>
      </pivotArea>
    </format>
    <format dxfId="1414">
      <pivotArea dataOnly="0" labelOnly="1" outline="0" fieldPosition="0">
        <references count="2">
          <reference field="2" count="1">
            <x v="0"/>
          </reference>
          <reference field="5" count="1" selected="0">
            <x v="21"/>
          </reference>
        </references>
      </pivotArea>
    </format>
    <format dxfId="1415">
      <pivotArea dataOnly="0" labelOnly="1" outline="0" fieldPosition="0">
        <references count="2">
          <reference field="2" count="1">
            <x v="18"/>
          </reference>
          <reference field="5" count="1" selected="0">
            <x v="22"/>
          </reference>
        </references>
      </pivotArea>
    </format>
    <format dxfId="1416">
      <pivotArea dataOnly="0" labelOnly="1" outline="0" fieldPosition="0">
        <references count="2">
          <reference field="2" count="1">
            <x v="16"/>
          </reference>
          <reference field="5" count="1" selected="0">
            <x v="23"/>
          </reference>
        </references>
      </pivotArea>
    </format>
    <format dxfId="1417">
      <pivotArea dataOnly="0" labelOnly="1" outline="0" fieldPosition="0">
        <references count="2">
          <reference field="2" count="1">
            <x v="14"/>
          </reference>
          <reference field="5" count="1" selected="0">
            <x v="24"/>
          </reference>
        </references>
      </pivotArea>
    </format>
    <format dxfId="1418">
      <pivotArea dataOnly="0" labelOnly="1" outline="0" fieldPosition="0">
        <references count="2">
          <reference field="2" count="1">
            <x v="17"/>
          </reference>
          <reference field="5" count="1" selected="0">
            <x v="25"/>
          </reference>
        </references>
      </pivotArea>
    </format>
    <format dxfId="1419">
      <pivotArea dataOnly="0" labelOnly="1" outline="0" fieldPosition="0">
        <references count="2">
          <reference field="2" count="1">
            <x v="19"/>
          </reference>
          <reference field="5" count="1" selected="0">
            <x v="26"/>
          </reference>
        </references>
      </pivotArea>
    </format>
    <format dxfId="1420">
      <pivotArea dataOnly="0" labelOnly="1" outline="0" fieldPosition="0">
        <references count="2">
          <reference field="2" count="1">
            <x v="20"/>
          </reference>
          <reference field="5" count="1" selected="0">
            <x v="27"/>
          </reference>
        </references>
      </pivotArea>
    </format>
    <format dxfId="1421">
      <pivotArea field="6" type="button" dataOnly="0" labelOnly="1" outline="0" axis="axisRow" fieldPosition="2"/>
    </format>
    <format dxfId="1422">
      <pivotArea outline="0" collapsedLevelsAreSubtotals="1" fieldPosition="0"/>
    </format>
    <format dxfId="1423">
      <pivotArea dataOnly="0" labelOnly="1" outline="0" fieldPosition="0">
        <references count="1">
          <reference field="4294967294" count="33">
            <x v="0"/>
            <x v="1"/>
            <x v="2"/>
            <x v="3"/>
            <x v="4"/>
            <x v="6"/>
            <x v="7"/>
            <x v="8"/>
            <x v="9"/>
            <x v="10"/>
            <x v="12"/>
            <x v="13"/>
            <x v="14"/>
            <x v="15"/>
            <x v="16"/>
            <x v="18"/>
            <x v="19"/>
            <x v="20"/>
            <x v="21"/>
            <x v="23"/>
            <x v="24"/>
            <x v="25"/>
            <x v="26"/>
            <x v="27"/>
            <x v="29"/>
            <x v="30"/>
            <x v="31"/>
            <x v="32"/>
            <x v="33"/>
            <x v="35"/>
            <x v="36"/>
            <x v="37"/>
            <x v="38"/>
          </reference>
        </references>
      </pivotArea>
    </format>
    <format dxfId="1424">
      <pivotArea dataOnly="0" labelOnly="1" outline="0" fieldPosition="0">
        <references count="1">
          <reference field="4294967294" count="33">
            <x v="0"/>
            <x v="1"/>
            <x v="2"/>
            <x v="3"/>
            <x v="4"/>
            <x v="6"/>
            <x v="7"/>
            <x v="8"/>
            <x v="9"/>
            <x v="10"/>
            <x v="12"/>
            <x v="13"/>
            <x v="14"/>
            <x v="15"/>
            <x v="16"/>
            <x v="18"/>
            <x v="19"/>
            <x v="20"/>
            <x v="21"/>
            <x v="23"/>
            <x v="24"/>
            <x v="25"/>
            <x v="26"/>
            <x v="27"/>
            <x v="29"/>
            <x v="30"/>
            <x v="31"/>
            <x v="32"/>
            <x v="33"/>
            <x v="35"/>
            <x v="36"/>
            <x v="37"/>
            <x v="38"/>
          </reference>
        </references>
      </pivotArea>
    </format>
    <format dxfId="1425">
      <pivotArea dataOnly="0" labelOnly="1" outline="0" fieldPosition="0">
        <references count="1">
          <reference field="4294967294" count="33">
            <x v="0"/>
            <x v="1"/>
            <x v="2"/>
            <x v="3"/>
            <x v="4"/>
            <x v="6"/>
            <x v="7"/>
            <x v="8"/>
            <x v="9"/>
            <x v="10"/>
            <x v="12"/>
            <x v="13"/>
            <x v="14"/>
            <x v="15"/>
            <x v="16"/>
            <x v="18"/>
            <x v="19"/>
            <x v="20"/>
            <x v="21"/>
            <x v="23"/>
            <x v="24"/>
            <x v="25"/>
            <x v="26"/>
            <x v="27"/>
            <x v="29"/>
            <x v="30"/>
            <x v="31"/>
            <x v="32"/>
            <x v="33"/>
            <x v="35"/>
            <x v="36"/>
            <x v="37"/>
            <x v="38"/>
          </reference>
        </references>
      </pivotArea>
    </format>
    <format dxfId="1426">
      <pivotArea outline="0" collapsedLevelsAreSubtotals="1" fieldPosition="0">
        <references count="1">
          <reference field="4294967294" count="5" selected="0">
            <x v="0"/>
            <x v="1"/>
            <x v="2"/>
            <x v="3"/>
            <x v="4"/>
          </reference>
        </references>
      </pivotArea>
    </format>
    <format dxfId="142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428">
      <pivotArea dataOnly="0" outline="0" fieldPosition="0">
        <references count="1">
          <reference field="4294967294" count="5">
            <x v="6"/>
            <x v="7"/>
            <x v="8"/>
            <x v="9"/>
            <x v="10"/>
          </reference>
        </references>
      </pivotArea>
    </format>
    <format dxfId="1429">
      <pivotArea dataOnly="0" outline="0" fieldPosition="0">
        <references count="1">
          <reference field="4294967294" count="5">
            <x v="12"/>
            <x v="13"/>
            <x v="14"/>
            <x v="15"/>
            <x v="16"/>
          </reference>
        </references>
      </pivotArea>
    </format>
    <format dxfId="1430">
      <pivotArea dataOnly="0" outline="0" fieldPosition="0">
        <references count="1">
          <reference field="4294967294" count="4">
            <x v="18"/>
            <x v="19"/>
            <x v="20"/>
            <x v="21"/>
          </reference>
        </references>
      </pivotArea>
    </format>
    <format dxfId="1431">
      <pivotArea dataOnly="0" outline="0" fieldPosition="0">
        <references count="1">
          <reference field="4294967294" count="5">
            <x v="23"/>
            <x v="24"/>
            <x v="25"/>
            <x v="26"/>
            <x v="27"/>
          </reference>
        </references>
      </pivotArea>
    </format>
    <format dxfId="1432">
      <pivotArea outline="0" collapsedLevelsAreSubtotals="1" fieldPosition="0">
        <references count="1">
          <reference field="4294967294" count="5" selected="0">
            <x v="29"/>
            <x v="30"/>
            <x v="31"/>
            <x v="32"/>
            <x v="33"/>
          </reference>
        </references>
      </pivotArea>
    </format>
    <format dxfId="1433">
      <pivotArea dataOnly="0" labelOnly="1" outline="0" fieldPosition="0">
        <references count="1">
          <reference field="4294967294" count="5">
            <x v="29"/>
            <x v="30"/>
            <x v="31"/>
            <x v="32"/>
            <x v="33"/>
          </reference>
        </references>
      </pivotArea>
    </format>
    <format dxfId="1434">
      <pivotArea dataOnly="0" labelOnly="1" outline="0" fieldPosition="0">
        <references count="2">
          <reference field="2" count="1">
            <x v="1"/>
          </reference>
          <reference field="5" count="1" selected="0">
            <x v="0"/>
          </reference>
        </references>
      </pivotArea>
    </format>
    <format dxfId="1435">
      <pivotArea dataOnly="0" labelOnly="1" outline="0" fieldPosition="0">
        <references count="2">
          <reference field="2" count="1">
            <x v="5"/>
          </reference>
          <reference field="5" count="1" selected="0">
            <x v="1"/>
          </reference>
        </references>
      </pivotArea>
    </format>
    <format dxfId="1436">
      <pivotArea dataOnly="0" labelOnly="1" outline="0" fieldPosition="0">
        <references count="2">
          <reference field="2" count="1">
            <x v="9"/>
          </reference>
          <reference field="5" count="1" selected="0">
            <x v="2"/>
          </reference>
        </references>
      </pivotArea>
    </format>
    <format dxfId="1437">
      <pivotArea dataOnly="0" labelOnly="1" outline="0" fieldPosition="0">
        <references count="2">
          <reference field="2" count="1">
            <x v="7"/>
          </reference>
          <reference field="5" count="1" selected="0">
            <x v="3"/>
          </reference>
        </references>
      </pivotArea>
    </format>
    <format dxfId="1438">
      <pivotArea dataOnly="0" labelOnly="1" outline="0" fieldPosition="0">
        <references count="2">
          <reference field="2" count="1">
            <x v="8"/>
          </reference>
          <reference field="5" count="1" selected="0">
            <x v="4"/>
          </reference>
        </references>
      </pivotArea>
    </format>
    <format dxfId="1439">
      <pivotArea dataOnly="0" labelOnly="1" outline="0" fieldPosition="0">
        <references count="2">
          <reference field="2" count="1">
            <x v="6"/>
          </reference>
          <reference field="5" count="1" selected="0">
            <x v="6"/>
          </reference>
        </references>
      </pivotArea>
    </format>
    <format dxfId="1440">
      <pivotArea dataOnly="0" labelOnly="1" outline="0" fieldPosition="0">
        <references count="2">
          <reference field="2" count="1">
            <x v="2"/>
          </reference>
          <reference field="5" count="1" selected="0">
            <x v="7"/>
          </reference>
        </references>
      </pivotArea>
    </format>
    <format dxfId="1441">
      <pivotArea dataOnly="0" labelOnly="1" outline="0" fieldPosition="0">
        <references count="2">
          <reference field="2" count="1">
            <x v="3"/>
          </reference>
          <reference field="5" count="1" selected="0">
            <x v="8"/>
          </reference>
        </references>
      </pivotArea>
    </format>
    <format dxfId="1442">
      <pivotArea dataOnly="0" labelOnly="1" outline="0" fieldPosition="0">
        <references count="2">
          <reference field="2" count="1">
            <x v="14"/>
          </reference>
          <reference field="5" count="1" selected="0">
            <x v="9"/>
          </reference>
        </references>
      </pivotArea>
    </format>
    <format dxfId="1443">
      <pivotArea dataOnly="0" labelOnly="1" outline="0" fieldPosition="0">
        <references count="2">
          <reference field="2" count="1">
            <x v="15"/>
          </reference>
          <reference field="5" count="1" selected="0">
            <x v="11"/>
          </reference>
        </references>
      </pivotArea>
    </format>
    <format dxfId="1444">
      <pivotArea dataOnly="0" labelOnly="1" outline="0" fieldPosition="0">
        <references count="2">
          <reference field="2" count="1">
            <x v="4"/>
          </reference>
          <reference field="5" count="1" selected="0">
            <x v="12"/>
          </reference>
        </references>
      </pivotArea>
    </format>
    <format dxfId="1445">
      <pivotArea dataOnly="0" labelOnly="1" outline="0" fieldPosition="0">
        <references count="2">
          <reference field="2" count="1">
            <x v="13"/>
          </reference>
          <reference field="5" count="1" selected="0">
            <x v="15"/>
          </reference>
        </references>
      </pivotArea>
    </format>
    <format dxfId="1446">
      <pivotArea dataOnly="0" labelOnly="1" outline="0" fieldPosition="0">
        <references count="2">
          <reference field="2" count="1">
            <x v="10"/>
          </reference>
          <reference field="5" count="1" selected="0">
            <x v="16"/>
          </reference>
        </references>
      </pivotArea>
    </format>
    <format dxfId="1447">
      <pivotArea dataOnly="0" labelOnly="1" outline="0" fieldPosition="0">
        <references count="2">
          <reference field="2" count="1">
            <x v="12"/>
          </reference>
          <reference field="5" count="1" selected="0">
            <x v="17"/>
          </reference>
        </references>
      </pivotArea>
    </format>
    <format dxfId="1448">
      <pivotArea dataOnly="0" labelOnly="1" outline="0" fieldPosition="0">
        <references count="2">
          <reference field="2" count="1">
            <x v="0"/>
          </reference>
          <reference field="5" count="1" selected="0">
            <x v="18"/>
          </reference>
        </references>
      </pivotArea>
    </format>
    <format dxfId="1449">
      <pivotArea dataOnly="0" labelOnly="1" outline="0" fieldPosition="0">
        <references count="2">
          <reference field="2" count="1">
            <x v="13"/>
          </reference>
          <reference field="5" count="1" selected="0">
            <x v="19"/>
          </reference>
        </references>
      </pivotArea>
    </format>
    <format dxfId="1450">
      <pivotArea dataOnly="0" labelOnly="1" outline="0" fieldPosition="0">
        <references count="2">
          <reference field="2" count="1">
            <x v="11"/>
          </reference>
          <reference field="5" count="1" selected="0">
            <x v="20"/>
          </reference>
        </references>
      </pivotArea>
    </format>
    <format dxfId="1451">
      <pivotArea dataOnly="0" labelOnly="1" outline="0" fieldPosition="0">
        <references count="2">
          <reference field="2" count="1">
            <x v="0"/>
          </reference>
          <reference field="5" count="1" selected="0">
            <x v="21"/>
          </reference>
        </references>
      </pivotArea>
    </format>
    <format dxfId="1452">
      <pivotArea dataOnly="0" labelOnly="1" outline="0" fieldPosition="0">
        <references count="2">
          <reference field="2" count="1">
            <x v="18"/>
          </reference>
          <reference field="5" count="1" selected="0">
            <x v="22"/>
          </reference>
        </references>
      </pivotArea>
    </format>
    <format dxfId="1453">
      <pivotArea dataOnly="0" labelOnly="1" outline="0" fieldPosition="0">
        <references count="2">
          <reference field="2" count="1">
            <x v="16"/>
          </reference>
          <reference field="5" count="1" selected="0">
            <x v="23"/>
          </reference>
        </references>
      </pivotArea>
    </format>
    <format dxfId="1454">
      <pivotArea dataOnly="0" labelOnly="1" outline="0" fieldPosition="0">
        <references count="2">
          <reference field="2" count="1">
            <x v="14"/>
          </reference>
          <reference field="5" count="1" selected="0">
            <x v="24"/>
          </reference>
        </references>
      </pivotArea>
    </format>
    <format dxfId="1455">
      <pivotArea dataOnly="0" labelOnly="1" outline="0" fieldPosition="0">
        <references count="2">
          <reference field="2" count="1">
            <x v="17"/>
          </reference>
          <reference field="5" count="1" selected="0">
            <x v="25"/>
          </reference>
        </references>
      </pivotArea>
    </format>
    <format dxfId="1456">
      <pivotArea dataOnly="0" labelOnly="1" outline="0" fieldPosition="0">
        <references count="2">
          <reference field="2" count="1">
            <x v="19"/>
          </reference>
          <reference field="5" count="1" selected="0">
            <x v="26"/>
          </reference>
        </references>
      </pivotArea>
    </format>
    <format dxfId="1457">
      <pivotArea dataOnly="0" labelOnly="1" outline="0" fieldPosition="0">
        <references count="2">
          <reference field="2" count="1">
            <x v="20"/>
          </reference>
          <reference field="5" count="1" selected="0">
            <x v="27"/>
          </reference>
        </references>
      </pivotArea>
    </format>
    <format dxfId="1458">
      <pivotArea dataOnly="0" labelOnly="1" grandRow="1" outline="0" offset="B256:IV256" fieldPosition="0"/>
    </format>
    <format dxfId="1459">
      <pivotArea outline="0" collapsedLevelsAreSubtotals="1" fieldPosition="0">
        <references count="4">
          <reference field="4294967294" count="5" selected="0">
            <x v="0"/>
            <x v="1"/>
            <x v="2"/>
            <x v="3"/>
            <x v="4"/>
          </reference>
          <reference field="2" count="0" selected="0"/>
          <reference field="5" count="0" selected="0"/>
          <reference field="6" count="0" selected="0"/>
        </references>
      </pivotArea>
    </format>
    <format dxfId="146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461">
      <pivotArea dataOnly="0" labelOnly="1" outline="0" fieldPosition="0">
        <references count="2">
          <reference field="2" count="1">
            <x v="1"/>
          </reference>
          <reference field="5" count="1" selected="0">
            <x v="0"/>
          </reference>
        </references>
      </pivotArea>
    </format>
    <format dxfId="1462">
      <pivotArea dataOnly="0" labelOnly="1" outline="0" fieldPosition="0">
        <references count="2">
          <reference field="2" count="1">
            <x v="5"/>
          </reference>
          <reference field="5" count="1" selected="0">
            <x v="1"/>
          </reference>
        </references>
      </pivotArea>
    </format>
    <format dxfId="1463">
      <pivotArea dataOnly="0" labelOnly="1" outline="0" fieldPosition="0">
        <references count="2">
          <reference field="2" count="1">
            <x v="9"/>
          </reference>
          <reference field="5" count="1" selected="0">
            <x v="2"/>
          </reference>
        </references>
      </pivotArea>
    </format>
    <format dxfId="1464">
      <pivotArea dataOnly="0" labelOnly="1" outline="0" fieldPosition="0">
        <references count="2">
          <reference field="2" count="1">
            <x v="7"/>
          </reference>
          <reference field="5" count="1" selected="0">
            <x v="3"/>
          </reference>
        </references>
      </pivotArea>
    </format>
    <format dxfId="1465">
      <pivotArea dataOnly="0" labelOnly="1" outline="0" fieldPosition="0">
        <references count="2">
          <reference field="2" count="1">
            <x v="8"/>
          </reference>
          <reference field="5" count="1" selected="0">
            <x v="4"/>
          </reference>
        </references>
      </pivotArea>
    </format>
    <format dxfId="1466">
      <pivotArea dataOnly="0" labelOnly="1" outline="0" fieldPosition="0">
        <references count="2">
          <reference field="2" count="1">
            <x v="6"/>
          </reference>
          <reference field="5" count="1" selected="0">
            <x v="6"/>
          </reference>
        </references>
      </pivotArea>
    </format>
    <format dxfId="1467">
      <pivotArea dataOnly="0" labelOnly="1" outline="0" fieldPosition="0">
        <references count="2">
          <reference field="2" count="1">
            <x v="2"/>
          </reference>
          <reference field="5" count="1" selected="0">
            <x v="7"/>
          </reference>
        </references>
      </pivotArea>
    </format>
    <format dxfId="1468">
      <pivotArea dataOnly="0" labelOnly="1" outline="0" fieldPosition="0">
        <references count="2">
          <reference field="2" count="1">
            <x v="3"/>
          </reference>
          <reference field="5" count="1" selected="0">
            <x v="8"/>
          </reference>
        </references>
      </pivotArea>
    </format>
    <format dxfId="1469">
      <pivotArea dataOnly="0" labelOnly="1" outline="0" fieldPosition="0">
        <references count="2">
          <reference field="2" count="1">
            <x v="14"/>
          </reference>
          <reference field="5" count="1" selected="0">
            <x v="9"/>
          </reference>
        </references>
      </pivotArea>
    </format>
    <format dxfId="1470">
      <pivotArea dataOnly="0" labelOnly="1" outline="0" fieldPosition="0">
        <references count="2">
          <reference field="2" count="1">
            <x v="15"/>
          </reference>
          <reference field="5" count="1" selected="0">
            <x v="11"/>
          </reference>
        </references>
      </pivotArea>
    </format>
    <format dxfId="1471">
      <pivotArea dataOnly="0" labelOnly="1" outline="0" fieldPosition="0">
        <references count="2">
          <reference field="2" count="1">
            <x v="4"/>
          </reference>
          <reference field="5" count="1" selected="0">
            <x v="12"/>
          </reference>
        </references>
      </pivotArea>
    </format>
    <format dxfId="1472">
      <pivotArea dataOnly="0" labelOnly="1" outline="0" fieldPosition="0">
        <references count="2">
          <reference field="2" count="1">
            <x v="13"/>
          </reference>
          <reference field="5" count="1" selected="0">
            <x v="15"/>
          </reference>
        </references>
      </pivotArea>
    </format>
    <format dxfId="1473">
      <pivotArea dataOnly="0" labelOnly="1" outline="0" fieldPosition="0">
        <references count="2">
          <reference field="2" count="1">
            <x v="10"/>
          </reference>
          <reference field="5" count="1" selected="0">
            <x v="16"/>
          </reference>
        </references>
      </pivotArea>
    </format>
    <format dxfId="1474">
      <pivotArea dataOnly="0" labelOnly="1" outline="0" fieldPosition="0">
        <references count="2">
          <reference field="2" count="1">
            <x v="12"/>
          </reference>
          <reference field="5" count="1" selected="0">
            <x v="17"/>
          </reference>
        </references>
      </pivotArea>
    </format>
    <format dxfId="1475">
      <pivotArea dataOnly="0" labelOnly="1" outline="0" fieldPosition="0">
        <references count="2">
          <reference field="2" count="1">
            <x v="0"/>
          </reference>
          <reference field="5" count="1" selected="0">
            <x v="18"/>
          </reference>
        </references>
      </pivotArea>
    </format>
    <format dxfId="1476">
      <pivotArea dataOnly="0" labelOnly="1" outline="0" fieldPosition="0">
        <references count="2">
          <reference field="2" count="1">
            <x v="13"/>
          </reference>
          <reference field="5" count="1" selected="0">
            <x v="19"/>
          </reference>
        </references>
      </pivotArea>
    </format>
    <format dxfId="1477">
      <pivotArea dataOnly="0" labelOnly="1" outline="0" fieldPosition="0">
        <references count="2">
          <reference field="2" count="1">
            <x v="11"/>
          </reference>
          <reference field="5" count="1" selected="0">
            <x v="20"/>
          </reference>
        </references>
      </pivotArea>
    </format>
    <format dxfId="1478">
      <pivotArea dataOnly="0" labelOnly="1" outline="0" fieldPosition="0">
        <references count="2">
          <reference field="2" count="1">
            <x v="0"/>
          </reference>
          <reference field="5" count="1" selected="0">
            <x v="21"/>
          </reference>
        </references>
      </pivotArea>
    </format>
    <format dxfId="1479">
      <pivotArea dataOnly="0" labelOnly="1" outline="0" fieldPosition="0">
        <references count="2">
          <reference field="2" count="1">
            <x v="18"/>
          </reference>
          <reference field="5" count="1" selected="0">
            <x v="22"/>
          </reference>
        </references>
      </pivotArea>
    </format>
    <format dxfId="1480">
      <pivotArea dataOnly="0" labelOnly="1" outline="0" fieldPosition="0">
        <references count="2">
          <reference field="2" count="1">
            <x v="16"/>
          </reference>
          <reference field="5" count="1" selected="0">
            <x v="23"/>
          </reference>
        </references>
      </pivotArea>
    </format>
    <format dxfId="1481">
      <pivotArea dataOnly="0" labelOnly="1" outline="0" fieldPosition="0">
        <references count="2">
          <reference field="2" count="1">
            <x v="14"/>
          </reference>
          <reference field="5" count="1" selected="0">
            <x v="24"/>
          </reference>
        </references>
      </pivotArea>
    </format>
    <format dxfId="1482">
      <pivotArea dataOnly="0" labelOnly="1" outline="0" fieldPosition="0">
        <references count="2">
          <reference field="2" count="1">
            <x v="17"/>
          </reference>
          <reference field="5" count="1" selected="0">
            <x v="25"/>
          </reference>
        </references>
      </pivotArea>
    </format>
    <format dxfId="1483">
      <pivotArea dataOnly="0" labelOnly="1" outline="0" fieldPosition="0">
        <references count="2">
          <reference field="2" count="1">
            <x v="19"/>
          </reference>
          <reference field="5" count="1" selected="0">
            <x v="26"/>
          </reference>
        </references>
      </pivotArea>
    </format>
    <format dxfId="1484">
      <pivotArea dataOnly="0" labelOnly="1" outline="0" fieldPosition="0">
        <references count="2">
          <reference field="2" count="1">
            <x v="20"/>
          </reference>
          <reference field="5" count="1" selected="0">
            <x v="27"/>
          </reference>
        </references>
      </pivotArea>
    </format>
    <format dxfId="1485">
      <pivotArea dataOnly="0" labelOnly="1" outline="0" fieldPosition="0">
        <references count="3">
          <reference field="2" count="1" selected="0">
            <x v="1"/>
          </reference>
          <reference field="5" count="1" selected="0">
            <x v="0"/>
          </reference>
          <reference field="6" count="1">
            <x v="0"/>
          </reference>
        </references>
      </pivotArea>
    </format>
    <format dxfId="1486">
      <pivotArea dataOnly="0" labelOnly="1" outline="0" fieldPosition="0">
        <references count="3">
          <reference field="2" count="1" selected="0">
            <x v="5"/>
          </reference>
          <reference field="5" count="1" selected="0">
            <x v="1"/>
          </reference>
          <reference field="6" count="1">
            <x v="14"/>
          </reference>
        </references>
      </pivotArea>
    </format>
    <format dxfId="1487">
      <pivotArea dataOnly="0" labelOnly="1" outline="0" fieldPosition="0">
        <references count="3">
          <reference field="2" count="1" selected="0">
            <x v="9"/>
          </reference>
          <reference field="5" count="1" selected="0">
            <x v="2"/>
          </reference>
          <reference field="6" count="1">
            <x v="14"/>
          </reference>
        </references>
      </pivotArea>
    </format>
    <format dxfId="1488">
      <pivotArea dataOnly="0" labelOnly="1" outline="0" fieldPosition="0">
        <references count="3">
          <reference field="2" count="1" selected="0">
            <x v="7"/>
          </reference>
          <reference field="5" count="1" selected="0">
            <x v="3"/>
          </reference>
          <reference field="6" count="1">
            <x v="3"/>
          </reference>
        </references>
      </pivotArea>
    </format>
    <format dxfId="1489">
      <pivotArea dataOnly="0" labelOnly="1" outline="0" fieldPosition="0">
        <references count="3">
          <reference field="2" count="1" selected="0">
            <x v="8"/>
          </reference>
          <reference field="5" count="1" selected="0">
            <x v="4"/>
          </reference>
          <reference field="6" count="1">
            <x v="5"/>
          </reference>
        </references>
      </pivotArea>
    </format>
    <format dxfId="1490">
      <pivotArea dataOnly="0" labelOnly="1" outline="0" fieldPosition="0">
        <references count="3">
          <reference field="2" count="1" selected="0">
            <x v="8"/>
          </reference>
          <reference field="5" count="1" selected="0">
            <x v="5"/>
          </reference>
          <reference field="6" count="1">
            <x v="17"/>
          </reference>
        </references>
      </pivotArea>
    </format>
    <format dxfId="1491">
      <pivotArea dataOnly="0" labelOnly="1" outline="0" fieldPosition="0">
        <references count="3">
          <reference field="2" count="1" selected="0">
            <x v="6"/>
          </reference>
          <reference field="5" count="1" selected="0">
            <x v="6"/>
          </reference>
          <reference field="6" count="1">
            <x v="6"/>
          </reference>
        </references>
      </pivotArea>
    </format>
    <format dxfId="1492">
      <pivotArea dataOnly="0" labelOnly="1" outline="0" fieldPosition="0">
        <references count="3">
          <reference field="2" count="1" selected="0">
            <x v="2"/>
          </reference>
          <reference field="5" count="1" selected="0">
            <x v="7"/>
          </reference>
          <reference field="6" count="1">
            <x v="7"/>
          </reference>
        </references>
      </pivotArea>
    </format>
    <format dxfId="1493">
      <pivotArea dataOnly="0" labelOnly="1" outline="0" fieldPosition="0">
        <references count="3">
          <reference field="2" count="1" selected="0">
            <x v="3"/>
          </reference>
          <reference field="5" count="1" selected="0">
            <x v="8"/>
          </reference>
          <reference field="6" count="1">
            <x v="15"/>
          </reference>
        </references>
      </pivotArea>
    </format>
    <format dxfId="1494">
      <pivotArea dataOnly="0" labelOnly="1" outline="0" fieldPosition="0">
        <references count="3">
          <reference field="2" count="1" selected="0">
            <x v="14"/>
          </reference>
          <reference field="5" count="1" selected="0">
            <x v="9"/>
          </reference>
          <reference field="6" count="1">
            <x v="16"/>
          </reference>
        </references>
      </pivotArea>
    </format>
    <format dxfId="1495">
      <pivotArea dataOnly="0" labelOnly="1" outline="0" fieldPosition="0">
        <references count="3">
          <reference field="2" count="1" selected="0">
            <x v="14"/>
          </reference>
          <reference field="5" count="1" selected="0">
            <x v="10"/>
          </reference>
          <reference field="6" count="1">
            <x v="1"/>
          </reference>
        </references>
      </pivotArea>
    </format>
    <format dxfId="1496">
      <pivotArea dataOnly="0" labelOnly="1" outline="0" fieldPosition="0">
        <references count="3">
          <reference field="2" count="1" selected="0">
            <x v="15"/>
          </reference>
          <reference field="5" count="1" selected="0">
            <x v="11"/>
          </reference>
          <reference field="6" count="1">
            <x v="13"/>
          </reference>
        </references>
      </pivotArea>
    </format>
    <format dxfId="1497">
      <pivotArea dataOnly="0" labelOnly="1" outline="0" fieldPosition="0">
        <references count="3">
          <reference field="2" count="1" selected="0">
            <x v="4"/>
          </reference>
          <reference field="5" count="1" selected="0">
            <x v="12"/>
          </reference>
          <reference field="6" count="1">
            <x v="9"/>
          </reference>
        </references>
      </pivotArea>
    </format>
    <format dxfId="1498">
      <pivotArea dataOnly="0" labelOnly="1" outline="0" fieldPosition="0">
        <references count="3">
          <reference field="2" count="1" selected="0">
            <x v="4"/>
          </reference>
          <reference field="5" count="1" selected="0">
            <x v="13"/>
          </reference>
          <reference field="6" count="1">
            <x v="2"/>
          </reference>
        </references>
      </pivotArea>
    </format>
    <format dxfId="1499">
      <pivotArea dataOnly="0" labelOnly="1" outline="0" fieldPosition="0">
        <references count="3">
          <reference field="2" count="1" selected="0">
            <x v="4"/>
          </reference>
          <reference field="5" count="1" selected="0">
            <x v="14"/>
          </reference>
          <reference field="6" count="1">
            <x v="12"/>
          </reference>
        </references>
      </pivotArea>
    </format>
    <format dxfId="1500">
      <pivotArea dataOnly="0" labelOnly="1" outline="0" fieldPosition="0">
        <references count="3">
          <reference field="2" count="1" selected="0">
            <x v="13"/>
          </reference>
          <reference field="5" count="1" selected="0">
            <x v="15"/>
          </reference>
          <reference field="6" count="1">
            <x v="18"/>
          </reference>
        </references>
      </pivotArea>
    </format>
    <format dxfId="1501">
      <pivotArea dataOnly="0" labelOnly="1" outline="0" fieldPosition="0">
        <references count="3">
          <reference field="2" count="1" selected="0">
            <x v="10"/>
          </reference>
          <reference field="5" count="1" selected="0">
            <x v="16"/>
          </reference>
          <reference field="6" count="1">
            <x v="8"/>
          </reference>
        </references>
      </pivotArea>
    </format>
    <format dxfId="1502">
      <pivotArea dataOnly="0" labelOnly="1" outline="0" fieldPosition="0">
        <references count="3">
          <reference field="2" count="1" selected="0">
            <x v="12"/>
          </reference>
          <reference field="5" count="1" selected="0">
            <x v="17"/>
          </reference>
          <reference field="6" count="1">
            <x v="11"/>
          </reference>
        </references>
      </pivotArea>
    </format>
    <format dxfId="1503">
      <pivotArea dataOnly="0" labelOnly="1" outline="0" fieldPosition="0">
        <references count="3">
          <reference field="2" count="1" selected="0">
            <x v="0"/>
          </reference>
          <reference field="5" count="1" selected="0">
            <x v="18"/>
          </reference>
          <reference field="6" count="1">
            <x v="4"/>
          </reference>
        </references>
      </pivotArea>
    </format>
    <format dxfId="1504">
      <pivotArea dataOnly="0" labelOnly="1" outline="0" fieldPosition="0">
        <references count="3">
          <reference field="2" count="1" selected="0">
            <x v="13"/>
          </reference>
          <reference field="5" count="1" selected="0">
            <x v="19"/>
          </reference>
          <reference field="6" count="1">
            <x v="19"/>
          </reference>
        </references>
      </pivotArea>
    </format>
    <format dxfId="1505">
      <pivotArea dataOnly="0" labelOnly="1" outline="0" fieldPosition="0">
        <references count="3">
          <reference field="2" count="1" selected="0">
            <x v="11"/>
          </reference>
          <reference field="5" count="1" selected="0">
            <x v="20"/>
          </reference>
          <reference field="6" count="1">
            <x v="10"/>
          </reference>
        </references>
      </pivotArea>
    </format>
    <format dxfId="1506">
      <pivotArea dataOnly="0" labelOnly="1" outline="0" fieldPosition="0">
        <references count="3">
          <reference field="2" count="1" selected="0">
            <x v="0"/>
          </reference>
          <reference field="5" count="1" selected="0">
            <x v="21"/>
          </reference>
          <reference field="6" count="1">
            <x v="20"/>
          </reference>
        </references>
      </pivotArea>
    </format>
    <format dxfId="1507">
      <pivotArea dataOnly="0" labelOnly="1" outline="0" fieldPosition="0">
        <references count="3">
          <reference field="2" count="1" selected="0">
            <x v="18"/>
          </reference>
          <reference field="5" count="1" selected="0">
            <x v="22"/>
          </reference>
          <reference field="6" count="1">
            <x v="24"/>
          </reference>
        </references>
      </pivotArea>
    </format>
    <format dxfId="1508">
      <pivotArea dataOnly="0" labelOnly="1" outline="0" fieldPosition="0">
        <references count="3">
          <reference field="2" count="1" selected="0">
            <x v="16"/>
          </reference>
          <reference field="5" count="1" selected="0">
            <x v="23"/>
          </reference>
          <reference field="6" count="1">
            <x v="21"/>
          </reference>
        </references>
      </pivotArea>
    </format>
    <format dxfId="1509">
      <pivotArea dataOnly="0" labelOnly="1" outline="0" fieldPosition="0">
        <references count="3">
          <reference field="2" count="1" selected="0">
            <x v="14"/>
          </reference>
          <reference field="5" count="1" selected="0">
            <x v="24"/>
          </reference>
          <reference field="6" count="1">
            <x v="22"/>
          </reference>
        </references>
      </pivotArea>
    </format>
    <format dxfId="1510">
      <pivotArea dataOnly="0" labelOnly="1" outline="0" fieldPosition="0">
        <references count="3">
          <reference field="2" count="1" selected="0">
            <x v="17"/>
          </reference>
          <reference field="5" count="1" selected="0">
            <x v="25"/>
          </reference>
          <reference field="6" count="1">
            <x v="23"/>
          </reference>
        </references>
      </pivotArea>
    </format>
    <format dxfId="1511">
      <pivotArea dataOnly="0" labelOnly="1" outline="0" fieldPosition="0">
        <references count="3">
          <reference field="2" count="1" selected="0">
            <x v="19"/>
          </reference>
          <reference field="5" count="1" selected="0">
            <x v="26"/>
          </reference>
          <reference field="6" count="1">
            <x v="25"/>
          </reference>
        </references>
      </pivotArea>
    </format>
    <format dxfId="1512">
      <pivotArea dataOnly="0" outline="0" fieldPosition="0">
        <references count="1">
          <reference field="4294967294" count="1">
            <x v="0"/>
          </reference>
        </references>
      </pivotArea>
    </format>
    <format dxfId="1513">
      <pivotArea dataOnly="0" labelOnly="1" outline="0" fieldPosition="0">
        <references count="1">
          <reference field="5" count="1">
            <x v="27"/>
          </reference>
        </references>
      </pivotArea>
    </format>
    <format dxfId="1514">
      <pivotArea dataOnly="0" labelOnly="1" outline="0" fieldPosition="0">
        <references count="2">
          <reference field="2" count="1">
            <x v="20"/>
          </reference>
          <reference field="5" count="1" selected="0">
            <x v="27"/>
          </reference>
        </references>
      </pivotArea>
    </format>
    <format dxfId="1515">
      <pivotArea dataOnly="0" labelOnly="1" outline="0" fieldPosition="0">
        <references count="1">
          <reference field="4294967294" count="1">
            <x v="39"/>
          </reference>
        </references>
      </pivotArea>
    </format>
    <format dxfId="1516">
      <pivotArea dataOnly="0" labelOnly="1" outline="0" fieldPosition="0">
        <references count="1">
          <reference field="4294967294" count="1">
            <x v="39"/>
          </reference>
        </references>
      </pivotArea>
    </format>
    <format dxfId="1517">
      <pivotArea outline="0" collapsedLevelsAreSubtotals="1" fieldPosition="0">
        <references count="1">
          <reference field="4294967294" count="5" selected="0">
            <x v="35"/>
            <x v="36"/>
            <x v="37"/>
            <x v="38"/>
            <x v="39"/>
          </reference>
        </references>
      </pivotArea>
    </format>
    <format dxfId="1518">
      <pivotArea dataOnly="0" labelOnly="1" outline="0" fieldPosition="0">
        <references count="1">
          <reference field="4294967294" count="5">
            <x v="35"/>
            <x v="36"/>
            <x v="37"/>
            <x v="38"/>
            <x v="39"/>
          </reference>
        </references>
      </pivotArea>
    </format>
    <format dxfId="1519">
      <pivotArea dataOnly="0" labelOnly="1" outline="0" fieldPosition="0">
        <references count="1">
          <reference field="4294967294" count="1">
            <x v="38"/>
          </reference>
        </references>
      </pivotArea>
    </format>
    <format dxfId="1520">
      <pivotArea dataOnly="0" labelOnly="1" outline="0" fieldPosition="0">
        <references count="1">
          <reference field="4294967294" count="5">
            <x v="35"/>
            <x v="36"/>
            <x v="37"/>
            <x v="38"/>
            <x v="39"/>
          </reference>
        </references>
      </pivotArea>
    </format>
    <format dxfId="1521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1522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1523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1524">
      <pivotArea outline="0" collapsedLevelsAreSubtotals="1" fieldPosition="0">
        <references count="1">
          <reference field="4294967294" count="1" selected="0">
            <x v="5"/>
          </reference>
        </references>
      </pivotArea>
    </format>
    <format dxfId="1525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1526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1527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1528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1529">
      <pivotArea dataOnly="0" labelOnly="1" outline="0" fieldPosition="0">
        <references count="1">
          <reference field="4294967294" count="1">
            <x v="10"/>
          </reference>
        </references>
      </pivotArea>
    </format>
    <format dxfId="1530">
      <pivotArea dataOnly="0" labelOnly="1" outline="0" fieldPosition="0">
        <references count="1">
          <reference field="4294967294" count="1">
            <x v="10"/>
          </reference>
        </references>
      </pivotArea>
    </format>
    <format dxfId="1531">
      <pivotArea dataOnly="0" labelOnly="1" outline="0" fieldPosition="0">
        <references count="1">
          <reference field="4294967294" count="1">
            <x v="10"/>
          </reference>
        </references>
      </pivotArea>
    </format>
    <format dxfId="1532">
      <pivotArea dataOnly="0" labelOnly="1" outline="0" fieldPosition="0">
        <references count="1">
          <reference field="4294967294" count="1">
            <x v="11"/>
          </reference>
        </references>
      </pivotArea>
    </format>
    <format dxfId="1533">
      <pivotArea dataOnly="0" labelOnly="1" outline="0" fieldPosition="0">
        <references count="1">
          <reference field="4294967294" count="1">
            <x v="11"/>
          </reference>
        </references>
      </pivotArea>
    </format>
    <format dxfId="1534">
      <pivotArea dataOnly="0" labelOnly="1" outline="0" fieldPosition="0">
        <references count="1">
          <reference field="4294967294" count="1">
            <x v="11"/>
          </reference>
        </references>
      </pivotArea>
    </format>
    <format dxfId="1535">
      <pivotArea outline="0" collapsedLevelsAreSubtotals="1" fieldPosition="0">
        <references count="1">
          <reference field="4294967294" count="1" selected="0">
            <x v="11"/>
          </reference>
        </references>
      </pivotArea>
    </format>
    <format dxfId="1536">
      <pivotArea dataOnly="0" labelOnly="1" outline="0" fieldPosition="0">
        <references count="1">
          <reference field="4294967294" count="1">
            <x v="11"/>
          </reference>
        </references>
      </pivotArea>
    </format>
    <format dxfId="1537">
      <pivotArea dataOnly="0" labelOnly="1" outline="0" fieldPosition="0">
        <references count="1">
          <reference field="4294967294" count="1">
            <x v="12"/>
          </reference>
        </references>
      </pivotArea>
    </format>
    <format dxfId="1538">
      <pivotArea dataOnly="0" labelOnly="1" outline="0" fieldPosition="0">
        <references count="1">
          <reference field="4294967294" count="1">
            <x v="15"/>
          </reference>
        </references>
      </pivotArea>
    </format>
    <format dxfId="1539">
      <pivotArea dataOnly="0" labelOnly="1" outline="0" fieldPosition="0">
        <references count="1">
          <reference field="4294967294" count="1">
            <x v="17"/>
          </reference>
        </references>
      </pivotArea>
    </format>
    <format dxfId="1540">
      <pivotArea dataOnly="0" labelOnly="1" outline="0" fieldPosition="0">
        <references count="1">
          <reference field="4294967294" count="1">
            <x v="17"/>
          </reference>
        </references>
      </pivotArea>
    </format>
    <format dxfId="1541">
      <pivotArea dataOnly="0" labelOnly="1" outline="0" fieldPosition="0">
        <references count="1">
          <reference field="4294967294" count="1">
            <x v="17"/>
          </reference>
        </references>
      </pivotArea>
    </format>
    <format dxfId="1542">
      <pivotArea outline="0" collapsedLevelsAreSubtotals="1" fieldPosition="0">
        <references count="1">
          <reference field="4294967294" count="1" selected="0">
            <x v="17"/>
          </reference>
        </references>
      </pivotArea>
    </format>
    <format dxfId="1543">
      <pivotArea dataOnly="0" labelOnly="1" outline="0" fieldPosition="0">
        <references count="1">
          <reference field="4294967294" count="1">
            <x v="17"/>
          </reference>
        </references>
      </pivotArea>
    </format>
    <format dxfId="1544">
      <pivotArea dataOnly="0" labelOnly="1" outline="0" fieldPosition="0">
        <references count="1">
          <reference field="4294967294" count="1">
            <x v="27"/>
          </reference>
        </references>
      </pivotArea>
    </format>
    <format dxfId="1545">
      <pivotArea dataOnly="0" labelOnly="1" outline="0" fieldPosition="0">
        <references count="1">
          <reference field="4294967294" count="1">
            <x v="28"/>
          </reference>
        </references>
      </pivotArea>
    </format>
    <format dxfId="1546">
      <pivotArea dataOnly="0" labelOnly="1" outline="0" fieldPosition="0">
        <references count="1">
          <reference field="4294967294" count="1">
            <x v="28"/>
          </reference>
        </references>
      </pivotArea>
    </format>
    <format dxfId="1547">
      <pivotArea dataOnly="0" labelOnly="1" outline="0" fieldPosition="0">
        <references count="1">
          <reference field="4294967294" count="1">
            <x v="28"/>
          </reference>
        </references>
      </pivotArea>
    </format>
    <format dxfId="1548">
      <pivotArea dataOnly="0" outline="0" fieldPosition="0">
        <references count="1">
          <reference field="4294967294" count="1">
            <x v="28"/>
          </reference>
        </references>
      </pivotArea>
    </format>
    <format dxfId="1549">
      <pivotArea dataOnly="0" labelOnly="1" outline="0" fieldPosition="0">
        <references count="1">
          <reference field="4294967294" count="1">
            <x v="32"/>
          </reference>
        </references>
      </pivotArea>
    </format>
    <format dxfId="1550">
      <pivotArea dataOnly="0" labelOnly="1" outline="0" fieldPosition="0">
        <references count="1">
          <reference field="4294967294" count="1">
            <x v="31"/>
          </reference>
        </references>
      </pivotArea>
    </format>
    <format dxfId="1551">
      <pivotArea dataOnly="0" labelOnly="1" outline="0" fieldPosition="0">
        <references count="1">
          <reference field="4294967294" count="1">
            <x v="30"/>
          </reference>
        </references>
      </pivotArea>
    </format>
    <format dxfId="1552">
      <pivotArea dataOnly="0" labelOnly="1" outline="0" fieldPosition="0">
        <references count="1">
          <reference field="4294967294" count="1">
            <x v="37"/>
          </reference>
        </references>
      </pivotArea>
    </format>
    <format dxfId="1553">
      <pivotArea dataOnly="0" labelOnly="1" outline="0" fieldPosition="0">
        <references count="1">
          <reference field="4294967294" count="1">
            <x v="38"/>
          </reference>
        </references>
      </pivotArea>
    </format>
    <format dxfId="1554">
      <pivotArea dataOnly="0" labelOnly="1" outline="0" fieldPosition="0">
        <references count="1">
          <reference field="4294967294" count="1">
            <x v="39"/>
          </reference>
        </references>
      </pivotArea>
    </format>
    <format dxfId="1555">
      <pivotArea dataOnly="0" labelOnly="1" outline="0" fieldPosition="0">
        <references count="1">
          <reference field="4294967294" count="1">
            <x v="39"/>
          </reference>
        </references>
      </pivotArea>
    </format>
    <format dxfId="1556">
      <pivotArea dataOnly="0" labelOnly="1" outline="0" fieldPosition="0">
        <references count="1">
          <reference field="4294967294" count="1">
            <x v="40"/>
          </reference>
        </references>
      </pivotArea>
    </format>
    <format dxfId="1557">
      <pivotArea dataOnly="0" labelOnly="1" outline="0" fieldPosition="0">
        <references count="1">
          <reference field="4294967294" count="1">
            <x v="40"/>
          </reference>
        </references>
      </pivotArea>
    </format>
    <format dxfId="1558">
      <pivotArea dataOnly="0" labelOnly="1" outline="0" fieldPosition="0">
        <references count="1">
          <reference field="4294967294" count="1">
            <x v="40"/>
          </reference>
        </references>
      </pivotArea>
    </format>
    <format dxfId="1559">
      <pivotArea dataOnly="0" labelOnly="1" outline="0" fieldPosition="0">
        <references count="1">
          <reference field="4294967294" count="1">
            <x v="40"/>
          </reference>
        </references>
      </pivotArea>
    </format>
    <format dxfId="1560">
      <pivotArea dataOnly="0" labelOnly="1" outline="0" fieldPosition="0">
        <references count="1">
          <reference field="4294967294" count="1">
            <x v="22"/>
          </reference>
        </references>
      </pivotArea>
    </format>
    <format dxfId="1561">
      <pivotArea dataOnly="0" labelOnly="1" outline="0" fieldPosition="0">
        <references count="1">
          <reference field="4294967294" count="1">
            <x v="22"/>
          </reference>
        </references>
      </pivotArea>
    </format>
    <format dxfId="1562">
      <pivotArea dataOnly="0" labelOnly="1" outline="0" fieldPosition="0">
        <references count="1">
          <reference field="4294967294" count="1">
            <x v="22"/>
          </reference>
        </references>
      </pivotArea>
    </format>
    <format dxfId="1563">
      <pivotArea outline="0" collapsedLevelsAreSubtotals="1" fieldPosition="0">
        <references count="1">
          <reference field="4294967294" count="1" selected="0">
            <x v="22"/>
          </reference>
        </references>
      </pivotArea>
    </format>
    <format dxfId="1564">
      <pivotArea dataOnly="0" labelOnly="1" outline="0" fieldPosition="0">
        <references count="1">
          <reference field="4294967294" count="1">
            <x v="22"/>
          </reference>
        </references>
      </pivotArea>
    </format>
    <format dxfId="1565">
      <pivotArea dataOnly="0" labelOnly="1" outline="0" fieldPosition="0">
        <references count="1">
          <reference field="4294967294" count="1">
            <x v="33"/>
          </reference>
        </references>
      </pivotArea>
    </format>
    <format dxfId="1566">
      <pivotArea dataOnly="0" labelOnly="1" outline="0" fieldPosition="0">
        <references count="1">
          <reference field="4294967294" count="1">
            <x v="33"/>
          </reference>
        </references>
      </pivotArea>
    </format>
    <format dxfId="1567">
      <pivotArea dataOnly="0" labelOnly="1" outline="0" fieldPosition="0">
        <references count="1">
          <reference field="4294967294" count="1">
            <x v="34"/>
          </reference>
        </references>
      </pivotArea>
    </format>
    <format dxfId="1568">
      <pivotArea dataOnly="0" labelOnly="1" outline="0" fieldPosition="0">
        <references count="1">
          <reference field="4294967294" count="1">
            <x v="34"/>
          </reference>
        </references>
      </pivotArea>
    </format>
    <format dxfId="1569">
      <pivotArea dataOnly="0" labelOnly="1" outline="0" fieldPosition="0">
        <references count="1">
          <reference field="4294967294" count="1">
            <x v="34"/>
          </reference>
        </references>
      </pivotArea>
    </format>
    <format dxfId="1570">
      <pivotArea dataOnly="0" outline="0" fieldPosition="0">
        <references count="1">
          <reference field="4294967294" count="1">
            <x v="34"/>
          </reference>
        </references>
      </pivotArea>
    </format>
    <format dxfId="1571">
      <pivotArea outline="0" collapsedLevelsAreSubtotals="1" fieldPosition="0">
        <references count="4">
          <reference field="4294967294" count="1" selected="0">
            <x v="5"/>
          </reference>
          <reference field="2" count="0" selected="0"/>
          <reference field="5" count="0" selected="0"/>
          <reference field="6" count="0" selected="0"/>
        </references>
      </pivotArea>
    </format>
    <format dxfId="1572">
      <pivotArea outline="0" collapsedLevelsAreSubtotals="1" fieldPosition="0">
        <references count="4">
          <reference field="4294967294" count="1" selected="0">
            <x v="5"/>
          </reference>
          <reference field="2" count="0" selected="0"/>
          <reference field="5" count="0" selected="0"/>
          <reference field="6" count="0" selected="0"/>
        </references>
      </pivotArea>
    </format>
    <format dxfId="1573">
      <pivotArea outline="0" collapsedLevelsAreSubtotals="1" fieldPosition="0">
        <references count="4">
          <reference field="4294967294" count="1" selected="0">
            <x v="5"/>
          </reference>
          <reference field="2" count="0" selected="0"/>
          <reference field="5" count="0" selected="0"/>
          <reference field="6" count="0" selected="0"/>
        </references>
      </pivotArea>
    </format>
    <format dxfId="1574">
      <pivotArea outline="0" collapsedLevelsAreSubtotals="1" fieldPosition="0">
        <references count="4">
          <reference field="4294967294" count="1" selected="0">
            <x v="11"/>
          </reference>
          <reference field="2" count="0" selected="0"/>
          <reference field="5" count="0" selected="0"/>
          <reference field="6" count="0" selected="0"/>
        </references>
      </pivotArea>
    </format>
    <format dxfId="1575">
      <pivotArea outline="0" collapsedLevelsAreSubtotals="1" fieldPosition="0">
        <references count="4">
          <reference field="4294967294" count="1" selected="0">
            <x v="11"/>
          </reference>
          <reference field="2" count="0" selected="0"/>
          <reference field="5" count="0" selected="0"/>
          <reference field="6" count="0" selected="0"/>
        </references>
      </pivotArea>
    </format>
    <format dxfId="1576">
      <pivotArea outline="0" collapsedLevelsAreSubtotals="1" fieldPosition="0">
        <references count="4">
          <reference field="4294967294" count="1" selected="0">
            <x v="17"/>
          </reference>
          <reference field="2" count="0" selected="0"/>
          <reference field="5" count="0" selected="0"/>
          <reference field="6" count="0" selected="0"/>
        </references>
      </pivotArea>
    </format>
    <format dxfId="1577">
      <pivotArea outline="0" collapsedLevelsAreSubtotals="1" fieldPosition="0">
        <references count="4">
          <reference field="4294967294" count="1" selected="0">
            <x v="17"/>
          </reference>
          <reference field="2" count="0" selected="0"/>
          <reference field="5" count="0" selected="0"/>
          <reference field="6" count="0" selected="0"/>
        </references>
      </pivotArea>
    </format>
    <format dxfId="1578">
      <pivotArea outline="0" collapsedLevelsAreSubtotals="1" fieldPosition="0">
        <references count="4">
          <reference field="4294967294" count="1" selected="0">
            <x v="22"/>
          </reference>
          <reference field="2" count="0" selected="0"/>
          <reference field="5" count="0" selected="0"/>
          <reference field="6" count="0" selected="0"/>
        </references>
      </pivotArea>
    </format>
    <format dxfId="1579">
      <pivotArea outline="0" collapsedLevelsAreSubtotals="1" fieldPosition="0">
        <references count="4">
          <reference field="4294967294" count="1" selected="0">
            <x v="22"/>
          </reference>
          <reference field="2" count="0" selected="0"/>
          <reference field="5" count="0" selected="0"/>
          <reference field="6" count="0" selected="0"/>
        </references>
      </pivotArea>
    </format>
    <format dxfId="1580">
      <pivotArea outline="0" collapsedLevelsAreSubtotals="1" fieldPosition="0">
        <references count="4">
          <reference field="4294967294" count="1" selected="0">
            <x v="28"/>
          </reference>
          <reference field="2" count="0" selected="0"/>
          <reference field="5" count="0" selected="0"/>
          <reference field="6" count="0" selected="0"/>
        </references>
      </pivotArea>
    </format>
    <format dxfId="1581">
      <pivotArea outline="0" collapsedLevelsAreSubtotals="1" fieldPosition="0">
        <references count="4">
          <reference field="4294967294" count="1" selected="0">
            <x v="28"/>
          </reference>
          <reference field="2" count="0" selected="0"/>
          <reference field="5" count="0" selected="0"/>
          <reference field="6" count="0" selected="0"/>
        </references>
      </pivotArea>
    </format>
    <format dxfId="1582">
      <pivotArea outline="0" collapsedLevelsAreSubtotals="1" fieldPosition="0">
        <references count="4">
          <reference field="4294967294" count="1" selected="0">
            <x v="34"/>
          </reference>
          <reference field="2" count="0" selected="0"/>
          <reference field="5" count="0" selected="0"/>
          <reference field="6" count="0" selected="0"/>
        </references>
      </pivotArea>
    </format>
    <format dxfId="1583">
      <pivotArea outline="0" collapsedLevelsAreSubtotals="1" fieldPosition="0">
        <references count="4">
          <reference field="4294967294" count="1" selected="0">
            <x v="34"/>
          </reference>
          <reference field="2" count="0" selected="0"/>
          <reference field="5" count="0" selected="0"/>
          <reference field="6" count="0" selected="0"/>
        </references>
      </pivotArea>
    </format>
    <format dxfId="1584">
      <pivotArea outline="0" collapsedLevelsAreSubtotals="1" fieldPosition="0">
        <references count="4">
          <reference field="4294967294" count="1" selected="0">
            <x v="40"/>
          </reference>
          <reference field="2" count="0" selected="0"/>
          <reference field="5" count="0" selected="0"/>
          <reference field="6" count="0" selected="0"/>
        </references>
      </pivotArea>
    </format>
    <format dxfId="1585">
      <pivotArea outline="0" collapsedLevelsAreSubtotals="1" fieldPosition="0">
        <references count="4">
          <reference field="4294967294" count="1" selected="0">
            <x v="40"/>
          </reference>
          <reference field="2" count="0" selected="0"/>
          <reference field="5" count="0" selected="0"/>
          <reference field="6" count="0" selected="0"/>
        </references>
      </pivotArea>
    </format>
    <format dxfId="1586">
      <pivotArea outline="0" collapsedLevelsAreSubtotals="1" fieldPosition="0">
        <references count="4">
          <reference field="4294967294" count="1" selected="0">
            <x v="11"/>
          </reference>
          <reference field="2" count="0" selected="0"/>
          <reference field="5" count="0" selected="0"/>
          <reference field="6" count="0" selected="0"/>
        </references>
      </pivotArea>
    </format>
    <format dxfId="1587">
      <pivotArea outline="0" collapsedLevelsAreSubtotals="1" fieldPosition="0">
        <references count="4">
          <reference field="4294967294" count="1" selected="0">
            <x v="17"/>
          </reference>
          <reference field="2" count="0" selected="0"/>
          <reference field="5" count="0" selected="0"/>
          <reference field="6" count="0" selected="0"/>
        </references>
      </pivotArea>
    </format>
    <format dxfId="1588">
      <pivotArea outline="0" collapsedLevelsAreSubtotals="1" fieldPosition="0">
        <references count="4">
          <reference field="4294967294" count="1" selected="0">
            <x v="22"/>
          </reference>
          <reference field="2" count="0" selected="0"/>
          <reference field="5" count="0" selected="0"/>
          <reference field="6" count="0" selected="0"/>
        </references>
      </pivotArea>
    </format>
    <format dxfId="1589">
      <pivotArea outline="0" collapsedLevelsAreSubtotals="1" fieldPosition="0">
        <references count="4">
          <reference field="4294967294" count="1" selected="0">
            <x v="28"/>
          </reference>
          <reference field="2" count="0" selected="0"/>
          <reference field="5" count="0" selected="0"/>
          <reference field="6" count="0" selected="0"/>
        </references>
      </pivotArea>
    </format>
    <format dxfId="1590">
      <pivotArea outline="0" collapsedLevelsAreSubtotals="1" fieldPosition="0">
        <references count="4">
          <reference field="4294967294" count="1" selected="0">
            <x v="34"/>
          </reference>
          <reference field="2" count="0" selected="0"/>
          <reference field="5" count="0" selected="0"/>
          <reference field="6" count="0" selected="0"/>
        </references>
      </pivotArea>
    </format>
    <format dxfId="1591">
      <pivotArea dataOnly="0" labelOnly="1" outline="0" fieldPosition="0">
        <references count="1">
          <reference field="4294967294" count="1">
            <x v="59"/>
          </reference>
        </references>
      </pivotArea>
    </format>
    <format dxfId="1592">
      <pivotArea dataOnly="0" labelOnly="1" outline="0" fieldPosition="0">
        <references count="1">
          <reference field="4294967294" count="1">
            <x v="59"/>
          </reference>
        </references>
      </pivotArea>
    </format>
    <format dxfId="1593">
      <pivotArea dataOnly="0" labelOnly="1" outline="0" fieldPosition="0">
        <references count="1">
          <reference field="4294967294" count="1">
            <x v="59"/>
          </reference>
        </references>
      </pivotArea>
    </format>
    <format dxfId="1594">
      <pivotArea outline="0" collapsedLevelsAreSubtotals="1" fieldPosition="0">
        <references count="1">
          <reference field="4294967294" count="1" selected="0">
            <x v="59"/>
          </reference>
        </references>
      </pivotArea>
    </format>
    <format dxfId="1595">
      <pivotArea dataOnly="0" labelOnly="1" outline="0" fieldPosition="0">
        <references count="1">
          <reference field="4294967294" count="1">
            <x v="59"/>
          </reference>
        </references>
      </pivotArea>
    </format>
    <format dxfId="1596">
      <pivotArea outline="0" collapsedLevelsAreSubtotals="1" fieldPosition="0">
        <references count="4">
          <reference field="4294967294" count="1" selected="0">
            <x v="59"/>
          </reference>
          <reference field="2" count="0" selected="0"/>
          <reference field="5" count="0" selected="0"/>
          <reference field="6" count="0" selected="0"/>
        </references>
      </pivotArea>
    </format>
    <format dxfId="1597">
      <pivotArea outline="0" collapsedLevelsAreSubtotals="1" fieldPosition="0">
        <references count="4">
          <reference field="4294967294" count="1" selected="0">
            <x v="59"/>
          </reference>
          <reference field="2" count="0" selected="0"/>
          <reference field="5" count="0" selected="0"/>
          <reference field="6" count="0" selected="0"/>
        </references>
      </pivotArea>
    </format>
    <format dxfId="1598">
      <pivotArea outline="0" collapsedLevelsAreSubtotals="1" fieldPosition="0">
        <references count="4">
          <reference field="4294967294" count="1" selected="0">
            <x v="59"/>
          </reference>
          <reference field="2" count="0" selected="0"/>
          <reference field="5" count="0" selected="0"/>
          <reference field="6" count="0" selected="0"/>
        </references>
      </pivotArea>
    </format>
    <format dxfId="1599">
      <pivotArea dataOnly="0" labelOnly="1" outline="0" fieldPosition="0">
        <references count="1">
          <reference field="4294967294" count="1">
            <x v="41"/>
          </reference>
        </references>
      </pivotArea>
    </format>
    <format dxfId="1600">
      <pivotArea dataOnly="0" labelOnly="1" outline="0" fieldPosition="0">
        <references count="1">
          <reference field="4294967294" count="5">
            <x v="41"/>
            <x v="42"/>
            <x v="43"/>
            <x v="44"/>
            <x v="45"/>
          </reference>
        </references>
      </pivotArea>
    </format>
    <format dxfId="1601">
      <pivotArea dataOnly="0" labelOnly="1" outline="0" fieldPosition="0">
        <references count="1">
          <reference field="4294967294" count="1">
            <x v="46"/>
          </reference>
        </references>
      </pivotArea>
    </format>
    <format dxfId="1602">
      <pivotArea outline="0" collapsedLevelsAreSubtotals="1" fieldPosition="0">
        <references count="1">
          <reference field="4294967294" count="1" selected="0">
            <x v="46"/>
          </reference>
        </references>
      </pivotArea>
    </format>
    <format dxfId="1603">
      <pivotArea outline="0" collapsedLevelsAreSubtotals="1" fieldPosition="0">
        <references count="4">
          <reference field="4294967294" count="1" selected="0">
            <x v="40"/>
          </reference>
          <reference field="2" count="0" selected="0"/>
          <reference field="5" count="0" selected="0"/>
          <reference field="6" count="0" selected="0"/>
        </references>
      </pivotArea>
    </format>
    <format dxfId="1604">
      <pivotArea outline="0" collapsedLevelsAreSubtotals="1" fieldPosition="0">
        <references count="1">
          <reference field="4294967294" count="1" selected="0">
            <x v="40"/>
          </reference>
        </references>
      </pivotArea>
    </format>
    <format dxfId="1605">
      <pivotArea dataOnly="0" labelOnly="1" outline="0" fieldPosition="0">
        <references count="1">
          <reference field="4294967294" count="4">
            <x v="42"/>
            <x v="43"/>
            <x v="44"/>
            <x v="45"/>
          </reference>
        </references>
      </pivotArea>
    </format>
    <format dxfId="1606">
      <pivotArea dataOnly="0" labelOnly="1" outline="0" fieldPosition="0">
        <references count="1">
          <reference field="4294967294" count="1">
            <x v="46"/>
          </reference>
        </references>
      </pivotArea>
    </format>
    <format dxfId="1607">
      <pivotArea dataOnly="0" labelOnly="1" outline="0" fieldPosition="0">
        <references count="1">
          <reference field="4294967294" count="5">
            <x v="41"/>
            <x v="42"/>
            <x v="43"/>
            <x v="44"/>
            <x v="45"/>
          </reference>
        </references>
      </pivotArea>
    </format>
    <format dxfId="1608">
      <pivotArea dataOnly="0" labelOnly="1" outline="0" fieldPosition="0">
        <references count="1">
          <reference field="4294967294" count="5">
            <x v="47"/>
            <x v="48"/>
            <x v="49"/>
            <x v="50"/>
            <x v="51"/>
          </reference>
        </references>
      </pivotArea>
    </format>
    <format dxfId="1609">
      <pivotArea dataOnly="0" labelOnly="1" outline="0" fieldPosition="0">
        <references count="1">
          <reference field="4294967294" count="5">
            <x v="47"/>
            <x v="48"/>
            <x v="49"/>
            <x v="50"/>
            <x v="51"/>
          </reference>
        </references>
      </pivotArea>
    </format>
    <format dxfId="1610">
      <pivotArea dataOnly="0" outline="0" fieldPosition="0">
        <references count="1">
          <reference field="4294967294" count="1">
            <x v="46"/>
          </reference>
        </references>
      </pivotArea>
    </format>
    <format dxfId="1611">
      <pivotArea dataOnly="0" outline="0" fieldPosition="0">
        <references count="1">
          <reference field="4294967294" count="1">
            <x v="52"/>
          </reference>
        </references>
      </pivotArea>
    </format>
    <format dxfId="1612">
      <pivotArea dataOnly="0" labelOnly="1" outline="0" fieldPosition="0">
        <references count="1">
          <reference field="4294967294" count="5">
            <x v="47"/>
            <x v="48"/>
            <x v="49"/>
            <x v="50"/>
            <x v="51"/>
          </reference>
        </references>
      </pivotArea>
    </format>
    <format dxfId="1613">
      <pivotArea dataOnly="0" labelOnly="1" outline="0" fieldPosition="0">
        <references count="1">
          <reference field="4294967294" count="1">
            <x v="52"/>
          </reference>
        </references>
      </pivotArea>
    </format>
    <format dxfId="1614">
      <pivotArea dataOnly="0" labelOnly="1" outline="0" fieldPosition="0">
        <references count="1">
          <reference field="4294967294" count="1">
            <x v="52"/>
          </reference>
        </references>
      </pivotArea>
    </format>
    <format dxfId="1615">
      <pivotArea dataOnly="0" labelOnly="1" outline="0" fieldPosition="0">
        <references count="1">
          <reference field="4294967294" count="1">
            <x v="52"/>
          </reference>
        </references>
      </pivotArea>
    </format>
    <format dxfId="1616">
      <pivotArea outline="0" collapsedLevelsAreSubtotals="1" fieldPosition="0">
        <references count="4">
          <reference field="4294967294" count="1" selected="0">
            <x v="46"/>
          </reference>
          <reference field="2" count="0" selected="0"/>
          <reference field="5" count="0" selected="0"/>
          <reference field="6" count="0" selected="0"/>
        </references>
      </pivotArea>
    </format>
    <format dxfId="1617">
      <pivotArea outline="0" collapsedLevelsAreSubtotals="1" fieldPosition="0">
        <references count="4">
          <reference field="4294967294" count="1" selected="0">
            <x v="52"/>
          </reference>
          <reference field="2" count="13" selected="0">
            <x v="0"/>
            <x v="4"/>
            <x v="7"/>
            <x v="13"/>
            <x v="14"/>
            <x v="15"/>
            <x v="16"/>
            <x v="17"/>
            <x v="18"/>
            <x v="19"/>
            <x v="20"/>
            <x v="22"/>
            <x v="23"/>
          </reference>
          <reference field="5" count="20" selected="0">
            <x v="21"/>
            <x v="22"/>
            <x v="23"/>
            <x v="24"/>
            <x v="25"/>
            <x v="26"/>
            <x v="27"/>
            <x v="28"/>
            <x v="29"/>
            <x v="31"/>
            <x v="36"/>
            <x v="38"/>
            <x v="39"/>
            <x v="40"/>
            <x v="41"/>
            <x v="43"/>
            <x v="44"/>
            <x v="45"/>
            <x v="46"/>
            <x v="47"/>
          </reference>
          <reference field="6" count="20" selected="0">
            <x v="21"/>
            <x v="22"/>
            <x v="23"/>
            <x v="24"/>
            <x v="25"/>
            <x v="27"/>
            <x v="30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</reference>
        </references>
      </pivotArea>
    </format>
    <format dxfId="1618">
      <pivotArea outline="0" collapsedLevelsAreSubtotals="1" fieldPosition="0">
        <references count="4">
          <reference field="4294967294" count="1" selected="0">
            <x v="46"/>
          </reference>
          <reference field="2" count="0" selected="0"/>
          <reference field="5" count="0" selected="0"/>
          <reference field="6" count="0" selected="0"/>
        </references>
      </pivotArea>
    </format>
    <format dxfId="1619">
      <pivotArea outline="0" collapsedLevelsAreSubtotals="1" fieldPosition="0">
        <references count="4">
          <reference field="4294967294" count="1" selected="0">
            <x v="52"/>
          </reference>
          <reference field="2" count="0" selected="0"/>
          <reference field="5" count="0" selected="0"/>
          <reference field="6" count="0" selected="0"/>
        </references>
      </pivotArea>
    </format>
    <format dxfId="1620">
      <pivotArea outline="0" collapsedLevelsAreSubtotals="1" fieldPosition="0">
        <references count="4">
          <reference field="4294967294" count="1" selected="0">
            <x v="52"/>
          </reference>
          <reference field="2" count="0" selected="0"/>
          <reference field="5" count="0" selected="0"/>
          <reference field="6" count="0" selected="0"/>
        </references>
      </pivotArea>
    </format>
    <format dxfId="1621">
      <pivotArea dataOnly="0" labelOnly="1" outline="0" fieldPosition="0">
        <references count="1">
          <reference field="4294967294" count="1">
            <x v="53"/>
          </reference>
        </references>
      </pivotArea>
    </format>
    <format dxfId="1622">
      <pivotArea dataOnly="0" labelOnly="1" outline="0" fieldPosition="0">
        <references count="1">
          <reference field="4294967294" count="1">
            <x v="58"/>
          </reference>
        </references>
      </pivotArea>
    </format>
    <format dxfId="1623">
      <pivotArea dataOnly="0" labelOnly="1" outline="0" fieldPosition="0">
        <references count="1">
          <reference field="4294967294" count="1">
            <x v="58"/>
          </reference>
        </references>
      </pivotArea>
    </format>
    <format dxfId="1624">
      <pivotArea dataOnly="0" labelOnly="1" outline="0" fieldPosition="0">
        <references count="1">
          <reference field="4294967294" count="1">
            <x v="58"/>
          </reference>
        </references>
      </pivotArea>
    </format>
    <format dxfId="1625">
      <pivotArea dataOnly="0" labelOnly="1" outline="0" fieldPosition="0">
        <references count="1">
          <reference field="4294967294" count="1">
            <x v="58"/>
          </reference>
        </references>
      </pivotArea>
    </format>
    <format dxfId="1626">
      <pivotArea outline="0" collapsedLevelsAreSubtotals="1" fieldPosition="0">
        <references count="4">
          <reference field="4294967294" count="1" selected="0">
            <x v="58"/>
          </reference>
          <reference field="2" count="1" selected="0">
            <x v="1"/>
          </reference>
          <reference field="5" count="1" selected="0">
            <x v="0"/>
          </reference>
          <reference field="6" count="1" selected="0">
            <x v="0"/>
          </reference>
        </references>
      </pivotArea>
    </format>
    <format dxfId="1627">
      <pivotArea outline="0" collapsedLevelsAreSubtotals="1" fieldPosition="0">
        <references count="1">
          <reference field="4294967294" count="1" selected="0">
            <x v="58"/>
          </reference>
        </references>
      </pivotArea>
    </format>
    <format dxfId="1628">
      <pivotArea dataOnly="0" labelOnly="1" outline="0" fieldPosition="0">
        <references count="1">
          <reference field="4294967294" count="1">
            <x v="58"/>
          </reference>
        </references>
      </pivotArea>
    </format>
    <format dxfId="1629">
      <pivotArea dataOnly="0" labelOnly="1" outline="0" fieldPosition="0">
        <references count="1">
          <reference field="4294967294" count="5">
            <x v="53"/>
            <x v="54"/>
            <x v="55"/>
            <x v="56"/>
            <x v="57"/>
          </reference>
        </references>
      </pivotArea>
    </format>
    <format dxfId="1630">
      <pivotArea dataOnly="0" labelOnly="1" outline="0" fieldPosition="0">
        <references count="1">
          <reference field="4294967294" count="5">
            <x v="53"/>
            <x v="54"/>
            <x v="55"/>
            <x v="56"/>
            <x v="57"/>
          </reference>
        </references>
      </pivotArea>
    </format>
    <format dxfId="1631">
      <pivotArea dataOnly="0" labelOnly="1" outline="0" fieldPosition="0">
        <references count="1">
          <reference field="4294967294" count="5">
            <x v="47"/>
            <x v="48"/>
            <x v="49"/>
            <x v="50"/>
            <x v="51"/>
          </reference>
        </references>
      </pivotArea>
    </format>
    <format dxfId="1632">
      <pivotArea dataOnly="0" labelOnly="1" outline="0" fieldPosition="0">
        <references count="1">
          <reference field="4294967294" count="5">
            <x v="47"/>
            <x v="48"/>
            <x v="49"/>
            <x v="50"/>
            <x v="51"/>
          </reference>
        </references>
      </pivotArea>
    </format>
    <format dxfId="1633">
      <pivotArea dataOnly="0" labelOnly="1" outline="0" fieldPosition="0">
        <references count="1">
          <reference field="4294967294" count="5">
            <x v="47"/>
            <x v="48"/>
            <x v="49"/>
            <x v="50"/>
            <x v="51"/>
          </reference>
        </references>
      </pivotArea>
    </format>
    <format dxfId="1634">
      <pivotArea dataOnly="0" labelOnly="1" outline="0" fieldPosition="0">
        <references count="1">
          <reference field="4294967294" count="5">
            <x v="53"/>
            <x v="54"/>
            <x v="55"/>
            <x v="56"/>
            <x v="57"/>
          </reference>
        </references>
      </pivotArea>
    </format>
    <format dxfId="1635">
      <pivotArea dataOnly="0" labelOnly="1" outline="0" fieldPosition="0">
        <references count="1">
          <reference field="4294967294" count="5">
            <x v="41"/>
            <x v="42"/>
            <x v="43"/>
            <x v="44"/>
            <x v="45"/>
          </reference>
        </references>
      </pivotArea>
    </format>
    <format dxfId="1636">
      <pivotArea dataOnly="0" labelOnly="1" outline="0" fieldPosition="0">
        <references count="1">
          <reference field="4294967294" count="5">
            <x v="41"/>
            <x v="42"/>
            <x v="43"/>
            <x v="44"/>
            <x v="45"/>
          </reference>
        </references>
      </pivotArea>
    </format>
    <format dxfId="1637">
      <pivotArea dataOnly="0" labelOnly="1" outline="0" fieldPosition="0">
        <references count="1">
          <reference field="4294967294" count="5">
            <x v="41"/>
            <x v="42"/>
            <x v="43"/>
            <x v="44"/>
            <x v="45"/>
          </reference>
        </references>
      </pivotArea>
    </format>
    <format dxfId="1348">
      <pivotArea dataOnly="0" labelOnly="1" outline="0" fieldPosition="0">
        <references count="1">
          <reference field="4294967294" count="5">
            <x v="35"/>
            <x v="36"/>
            <x v="37"/>
            <x v="38"/>
            <x v="39"/>
          </reference>
        </references>
      </pivotArea>
    </format>
    <format dxfId="1347">
      <pivotArea dataOnly="0" labelOnly="1" outline="0" fieldPosition="0">
        <references count="1">
          <reference field="4294967294" count="5">
            <x v="35"/>
            <x v="36"/>
            <x v="37"/>
            <x v="38"/>
            <x v="39"/>
          </reference>
        </references>
      </pivotArea>
    </format>
    <format dxfId="1346">
      <pivotArea dataOnly="0" labelOnly="1" outline="0" fieldPosition="0">
        <references count="1">
          <reference field="4294967294" count="5">
            <x v="35"/>
            <x v="36"/>
            <x v="37"/>
            <x v="38"/>
            <x v="39"/>
          </reference>
        </references>
      </pivotArea>
    </format>
    <format dxfId="1345">
      <pivotArea dataOnly="0" labelOnly="1" outline="0" fieldPosition="0">
        <references count="1">
          <reference field="4294967294" count="5">
            <x v="29"/>
            <x v="30"/>
            <x v="31"/>
            <x v="32"/>
            <x v="33"/>
          </reference>
        </references>
      </pivotArea>
    </format>
    <format dxfId="1344">
      <pivotArea dataOnly="0" labelOnly="1" outline="0" fieldPosition="0">
        <references count="1">
          <reference field="4294967294" count="5">
            <x v="29"/>
            <x v="30"/>
            <x v="31"/>
            <x v="32"/>
            <x v="33"/>
          </reference>
        </references>
      </pivotArea>
    </format>
    <format dxfId="1343">
      <pivotArea dataOnly="0" labelOnly="1" outline="0" fieldPosition="0">
        <references count="1">
          <reference field="4294967294" count="5">
            <x v="29"/>
            <x v="30"/>
            <x v="31"/>
            <x v="32"/>
            <x v="33"/>
          </reference>
        </references>
      </pivotArea>
    </format>
    <format dxfId="1342">
      <pivotArea dataOnly="0" labelOnly="1" outline="0" fieldPosition="0">
        <references count="1">
          <reference field="4294967294" count="5">
            <x v="23"/>
            <x v="24"/>
            <x v="25"/>
            <x v="26"/>
            <x v="27"/>
          </reference>
        </references>
      </pivotArea>
    </format>
    <format dxfId="1341">
      <pivotArea dataOnly="0" labelOnly="1" outline="0" fieldPosition="0">
        <references count="1">
          <reference field="4294967294" count="5">
            <x v="23"/>
            <x v="24"/>
            <x v="25"/>
            <x v="26"/>
            <x v="27"/>
          </reference>
        </references>
      </pivotArea>
    </format>
    <format dxfId="1340">
      <pivotArea dataOnly="0" labelOnly="1" outline="0" fieldPosition="0">
        <references count="1">
          <reference field="4294967294" count="5">
            <x v="23"/>
            <x v="24"/>
            <x v="25"/>
            <x v="26"/>
            <x v="27"/>
          </reference>
        </references>
      </pivotArea>
    </format>
    <format dxfId="1339">
      <pivotArea dataOnly="0" labelOnly="1" outline="0" fieldPosition="0">
        <references count="1">
          <reference field="4294967294" count="4">
            <x v="18"/>
            <x v="19"/>
            <x v="20"/>
            <x v="21"/>
          </reference>
        </references>
      </pivotArea>
    </format>
    <format dxfId="1338">
      <pivotArea dataOnly="0" labelOnly="1" outline="0" fieldPosition="0">
        <references count="1">
          <reference field="4294967294" count="4">
            <x v="18"/>
            <x v="19"/>
            <x v="20"/>
            <x v="21"/>
          </reference>
        </references>
      </pivotArea>
    </format>
    <format dxfId="1337">
      <pivotArea dataOnly="0" labelOnly="1" outline="0" fieldPosition="0">
        <references count="1">
          <reference field="4294967294" count="5">
            <x v="12"/>
            <x v="13"/>
            <x v="14"/>
            <x v="15"/>
            <x v="16"/>
          </reference>
        </references>
      </pivotArea>
    </format>
    <format dxfId="1336">
      <pivotArea dataOnly="0" labelOnly="1" outline="0" fieldPosition="0">
        <references count="1">
          <reference field="4294967294" count="5">
            <x v="12"/>
            <x v="13"/>
            <x v="14"/>
            <x v="15"/>
            <x v="16"/>
          </reference>
        </references>
      </pivotArea>
    </format>
    <format dxfId="1335">
      <pivotArea dataOnly="0" labelOnly="1" outline="0" fieldPosition="0">
        <references count="1">
          <reference field="4294967294" count="5">
            <x v="12"/>
            <x v="13"/>
            <x v="14"/>
            <x v="15"/>
            <x v="16"/>
          </reference>
        </references>
      </pivotArea>
    </format>
    <format dxfId="1334">
      <pivotArea dataOnly="0" labelOnly="1" outline="0" fieldPosition="0">
        <references count="1">
          <reference field="4294967294" count="4">
            <x v="18"/>
            <x v="19"/>
            <x v="20"/>
            <x v="21"/>
          </reference>
        </references>
      </pivotArea>
    </format>
    <format dxfId="1333">
      <pivotArea dataOnly="0" labelOnly="1" outline="0" fieldPosition="0">
        <references count="1">
          <reference field="4294967294" count="5">
            <x v="6"/>
            <x v="7"/>
            <x v="8"/>
            <x v="9"/>
            <x v="10"/>
          </reference>
        </references>
      </pivotArea>
    </format>
    <format dxfId="1332">
      <pivotArea dataOnly="0" labelOnly="1" outline="0" fieldPosition="0">
        <references count="1">
          <reference field="4294967294" count="5">
            <x v="6"/>
            <x v="7"/>
            <x v="8"/>
            <x v="9"/>
            <x v="10"/>
          </reference>
        </references>
      </pivotArea>
    </format>
    <format dxfId="1331">
      <pivotArea dataOnly="0" labelOnly="1" outline="0" fieldPosition="0">
        <references count="1">
          <reference field="4294967294" count="5">
            <x v="6"/>
            <x v="7"/>
            <x v="8"/>
            <x v="9"/>
            <x v="10"/>
          </reference>
        </references>
      </pivotArea>
    </format>
    <format dxfId="133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32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32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327">
      <pivotArea dataOnly="0" labelOnly="1" outline="0" fieldPosition="0">
        <references count="1">
          <reference field="4294967294" count="5">
            <x v="53"/>
            <x v="54"/>
            <x v="55"/>
            <x v="56"/>
            <x v="57"/>
          </reference>
        </references>
      </pivotArea>
    </format>
    <format dxfId="1326">
      <pivotArea dataOnly="0" labelOnly="1" outline="0" fieldPosition="0">
        <references count="1">
          <reference field="4294967294" count="1">
            <x v="58"/>
          </reference>
        </references>
      </pivotArea>
    </format>
    <format dxfId="1325">
      <pivotArea outline="0" collapsedLevelsAreSubtotals="1" fieldPosition="0">
        <references count="4">
          <reference field="4294967294" count="1" selected="0">
            <x v="5"/>
          </reference>
          <reference field="2" count="0" selected="0"/>
          <reference field="5" count="0" selected="0"/>
          <reference field="6" count="0" selected="0"/>
        </references>
      </pivotArea>
    </format>
    <format dxfId="1324">
      <pivotArea dataOnly="0" labelOnly="1" outline="0" fieldPosition="0">
        <references count="1">
          <reference field="4294967294" count="1">
            <x v="59"/>
          </reference>
        </references>
      </pivotArea>
    </format>
    <format dxfId="1323">
      <pivotArea dataOnly="0" labelOnly="1" outline="0" fieldPosition="0">
        <references count="1">
          <reference field="4294967294" count="1">
            <x v="59"/>
          </reference>
        </references>
      </pivotArea>
    </format>
    <format dxfId="1322">
      <pivotArea dataOnly="0" labelOnly="1" outline="0" fieldPosition="0">
        <references count="1">
          <reference field="4294967294" count="1">
            <x v="59"/>
          </reference>
        </references>
      </pivotArea>
    </format>
    <format dxfId="1321">
      <pivotArea dataOnly="0" labelOnly="1" outline="0" fieldPosition="0">
        <references count="1">
          <reference field="4294967294" count="1">
            <x v="58"/>
          </reference>
        </references>
      </pivotArea>
    </format>
    <format dxfId="1320">
      <pivotArea dataOnly="0" labelOnly="1" outline="0" fieldPosition="0">
        <references count="1">
          <reference field="4294967294" count="1">
            <x v="52"/>
          </reference>
        </references>
      </pivotArea>
    </format>
    <format dxfId="1319">
      <pivotArea dataOnly="0" labelOnly="1" outline="0" fieldPosition="0">
        <references count="1">
          <reference field="4294967294" count="1">
            <x v="46"/>
          </reference>
        </references>
      </pivotArea>
    </format>
    <format dxfId="1318">
      <pivotArea dataOnly="0" labelOnly="1" outline="0" fieldPosition="0">
        <references count="1">
          <reference field="4294967294" count="1">
            <x v="40"/>
          </reference>
        </references>
      </pivotArea>
    </format>
    <format dxfId="1317">
      <pivotArea dataOnly="0" labelOnly="1" outline="0" fieldPosition="0">
        <references count="1">
          <reference field="4294967294" count="1">
            <x v="34"/>
          </reference>
        </references>
      </pivotArea>
    </format>
    <format dxfId="1316">
      <pivotArea dataOnly="0" labelOnly="1" outline="0" fieldPosition="0">
        <references count="1">
          <reference field="4294967294" count="1">
            <x v="28"/>
          </reference>
        </references>
      </pivotArea>
    </format>
    <format dxfId="1315">
      <pivotArea dataOnly="0" labelOnly="1" outline="0" fieldPosition="0">
        <references count="1">
          <reference field="4294967294" count="1">
            <x v="22"/>
          </reference>
        </references>
      </pivotArea>
    </format>
    <format dxfId="1314">
      <pivotArea dataOnly="0" labelOnly="1" outline="0" fieldPosition="0">
        <references count="1">
          <reference field="4294967294" count="1">
            <x v="11"/>
          </reference>
        </references>
      </pivotArea>
    </format>
    <format dxfId="1313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1312">
      <pivotArea dataOnly="0" labelOnly="1" outline="0" fieldPosition="0">
        <references count="1">
          <reference field="4294967294" count="1">
            <x v="17"/>
          </reference>
        </references>
      </pivotArea>
    </format>
    <format dxfId="1303">
      <pivotArea grandRow="1" outline="0" collapsedLevelsAreSubtotals="1" fieldPosition="0"/>
    </format>
    <format dxfId="1302">
      <pivotArea outline="0" collapsedLevelsAreSubtotals="1" fieldPosition="0">
        <references count="4">
          <reference field="4294967294" count="1" selected="0">
            <x v="58"/>
          </reference>
          <reference field="2" count="0" selected="0"/>
          <reference field="5" count="0" selected="0"/>
          <reference field="6" count="0" selected="0"/>
        </references>
      </pivotArea>
    </format>
    <format dxfId="1301">
      <pivotArea outline="0" collapsedLevelsAreSubtotals="1" fieldPosition="0">
        <references count="4">
          <reference field="4294967294" count="1" selected="0">
            <x v="58"/>
          </reference>
          <reference field="2" count="0" selected="0"/>
          <reference field="5" count="0" selected="0"/>
          <reference field="6" count="0" selected="0"/>
        </references>
      </pivotArea>
    </format>
    <format dxfId="1300">
      <pivotArea dataOnly="0" labelOnly="1" grandRow="1" outline="0" fieldPosition="0"/>
    </format>
    <format dxfId="1299">
      <pivotArea field="5" grandRow="1" outline="0" collapsedLevelsAreSubtotals="1" axis="axisRow" fieldPosition="0">
        <references count="1">
          <reference field="4294967294" count="1" selected="0">
            <x v="52"/>
          </reference>
        </references>
      </pivotArea>
    </format>
    <format dxfId="1298">
      <pivotArea field="5" grandRow="1" outline="0" collapsedLevelsAreSubtotals="1" axis="axisRow" fieldPosition="0">
        <references count="1">
          <reference field="4294967294" count="1" selected="0">
            <x v="58"/>
          </reference>
        </references>
      </pivotArea>
    </format>
    <format dxfId="1297">
      <pivotArea field="5" grandRow="1" outline="0" collapsedLevelsAreSubtotals="1" axis="axisRow" fieldPosition="0">
        <references count="1">
          <reference field="4294967294" count="1" selected="0">
            <x v="46"/>
          </reference>
        </references>
      </pivotArea>
    </format>
    <format dxfId="1296">
      <pivotArea field="5" grandRow="1" outline="0" collapsedLevelsAreSubtotals="1" axis="axisRow" fieldPosition="0">
        <references count="1">
          <reference field="4294967294" count="1" selected="0">
            <x v="34"/>
          </reference>
        </references>
      </pivotArea>
    </format>
    <format dxfId="1295">
      <pivotArea field="5" grandRow="1" outline="0" collapsedLevelsAreSubtotals="1" axis="axisRow" fieldPosition="0">
        <references count="1">
          <reference field="4294967294" count="1" selected="0">
            <x v="28"/>
          </reference>
        </references>
      </pivotArea>
    </format>
    <format dxfId="1294">
      <pivotArea field="5" grandRow="1" outline="0" collapsedLevelsAreSubtotals="1" axis="axisRow" fieldPosition="0">
        <references count="1">
          <reference field="4294967294" count="1" selected="0">
            <x v="22"/>
          </reference>
        </references>
      </pivotArea>
    </format>
    <format dxfId="1293">
      <pivotArea field="5" grandRow="1" outline="0" collapsedLevelsAreSubtotals="1" axis="axisRow" fieldPosition="0">
        <references count="1">
          <reference field="4294967294" count="1" selected="0">
            <x v="17"/>
          </reference>
        </references>
      </pivotArea>
    </format>
    <format dxfId="1292">
      <pivotArea field="5" grandRow="1" outline="0" collapsedLevelsAreSubtotals="1" axis="axisRow" fieldPosition="0">
        <references count="1">
          <reference field="4294967294" count="1" selected="0">
            <x v="11"/>
          </reference>
        </references>
      </pivotArea>
    </format>
    <format dxfId="1291">
      <pivotArea field="5" grandRow="1" outline="0" collapsedLevelsAreSubtotals="1" axis="axisRow" fieldPosition="0">
        <references count="1">
          <reference field="4294967294" count="1" selected="0">
            <x v="5"/>
          </reference>
        </references>
      </pivotArea>
    </format>
    <format dxfId="1290">
      <pivotArea field="5" grandRow="1" outline="0" collapsedLevelsAreSubtotals="1" axis="axisRow" fieldPosition="0">
        <references count="1">
          <reference field="4294967294" count="1" selected="0">
            <x v="59"/>
          </reference>
        </references>
      </pivotArea>
    </format>
  </formats>
  <pivotTableStyleInfo name="PivotStyleLight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 dinámica5" cacheId="2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rowHeaderCaption="PROYECTOS - DESCRIPCION">
  <location ref="B3:I40" firstHeaderRow="0" firstDataRow="1" firstDataCol="1"/>
  <pivotFields count="41">
    <pivotField showAll="0">
      <items count="6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t="default"/>
      </items>
    </pivotField>
    <pivotField showAll="0"/>
    <pivotField outline="0" showAll="0" defaultSubtotal="0">
      <items count="21">
        <item x="4"/>
        <item x="5"/>
        <item x="12"/>
        <item x="2"/>
        <item x="0"/>
        <item x="11"/>
        <item x="15"/>
        <item x="13"/>
        <item x="20"/>
        <item x="19"/>
        <item x="3"/>
        <item x="7"/>
        <item x="9"/>
        <item x="16"/>
        <item x="8"/>
        <item x="18"/>
        <item x="6"/>
        <item x="14"/>
        <item x="1"/>
        <item x="17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PROYECTO " axis="axisRow" showAll="0">
      <items count="41">
        <item x="9"/>
        <item x="15"/>
        <item x="18"/>
        <item x="19"/>
        <item x="12"/>
        <item x="10"/>
        <item x="26"/>
        <item x="3"/>
        <item x="4"/>
        <item x="16"/>
        <item m="1" x="38"/>
        <item x="2"/>
        <item x="0"/>
        <item m="1" x="36"/>
        <item x="1"/>
        <item x="22"/>
        <item x="20"/>
        <item x="28"/>
        <item x="34"/>
        <item x="14"/>
        <item x="29"/>
        <item x="25"/>
        <item x="30"/>
        <item x="21"/>
        <item x="7"/>
        <item x="6"/>
        <item x="32"/>
        <item x="23"/>
        <item x="5"/>
        <item x="31"/>
        <item x="17"/>
        <item x="24"/>
        <item x="27"/>
        <item x="11"/>
        <item x="35"/>
        <item m="1" x="39"/>
        <item x="8"/>
        <item x="13"/>
        <item m="1" x="37"/>
        <item x="3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  <pivotField numFmtId="2" showAll="0"/>
    <pivotField numFmtId="2" showAll="0"/>
    <pivotField numFmtId="2" showAll="0"/>
    <pivotField numFmtId="2" showAll="0"/>
    <pivotField numFmtId="2" showAll="0"/>
  </pivotFields>
  <rowFields count="1">
    <field x="3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6"/>
    </i>
    <i>
      <x v="37"/>
    </i>
    <i>
      <x v="39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.COSTO ENERO" fld="29" baseField="2" baseItem="0"/>
    <dataField name=".COSTO FEBRERO" fld="30" baseField="2" baseItem="0"/>
    <dataField name=".COSTO MARZO" fld="31" baseField="2" baseItem="0"/>
    <dataField name=".COSTO ABRIL" fld="32" baseField="2" baseItem="0"/>
    <dataField name=".COSTO MAYO" fld="33" baseField="2" baseItem="0"/>
    <dataField name=".COSTO JUNIO" fld="34" baseField="2" baseItem="0"/>
    <dataField name=".COSTO JULIO" fld="35" baseField="2" baseItem="0"/>
  </dataFields>
  <formats count="24">
    <format dxfId="2398">
      <pivotArea field="3" type="button" dataOnly="0" labelOnly="1" outline="0" axis="axisRow" fieldPosition="0"/>
    </format>
    <format dxfId="2397">
      <pivotArea field="3" type="button" dataOnly="0" labelOnly="1" outline="0" axis="axisRow" fieldPosition="0"/>
    </format>
    <format dxfId="2396">
      <pivotArea field="3" type="button" dataOnly="0" labelOnly="1" outline="0" axis="axisRow" fieldPosition="0"/>
    </format>
    <format dxfId="2395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2394">
      <pivotArea collapsedLevelsAreSubtotals="1" fieldPosition="0">
        <references count="1">
          <reference field="3" count="0"/>
        </references>
      </pivotArea>
    </format>
    <format dxfId="2393">
      <pivotArea dataOnly="0" labelOnly="1" fieldPosition="0">
        <references count="1">
          <reference field="3" count="0"/>
        </references>
      </pivotArea>
    </format>
    <format dxfId="2392">
      <pivotArea collapsedLevelsAreSubtotals="1" fieldPosition="0">
        <references count="2">
          <reference field="4294967294" count="1" selected="0">
            <x v="0"/>
          </reference>
          <reference field="3" count="0"/>
        </references>
      </pivotArea>
    </format>
    <format dxfId="2391">
      <pivotArea collapsedLevelsAreSubtotals="1" fieldPosition="0">
        <references count="2">
          <reference field="4294967294" count="1" selected="0">
            <x v="1"/>
          </reference>
          <reference field="3" count="0"/>
        </references>
      </pivotArea>
    </format>
    <format dxfId="2390">
      <pivotArea collapsedLevelsAreSubtotals="1" fieldPosition="0">
        <references count="2">
          <reference field="4294967294" count="1" selected="0">
            <x v="2"/>
          </reference>
          <reference field="3" count="0"/>
        </references>
      </pivotArea>
    </format>
    <format dxfId="2389">
      <pivotArea collapsedLevelsAreSubtotals="1" fieldPosition="0">
        <references count="2">
          <reference field="4294967294" count="1" selected="0">
            <x v="3"/>
          </reference>
          <reference field="3" count="0"/>
        </references>
      </pivotArea>
    </format>
    <format dxfId="2388">
      <pivotArea collapsedLevelsAreSubtotals="1" fieldPosition="0">
        <references count="2">
          <reference field="4294967294" count="1" selected="0">
            <x v="4"/>
          </reference>
          <reference field="3" count="0"/>
        </references>
      </pivotArea>
    </format>
    <format dxfId="2387">
      <pivotArea collapsedLevelsAreSubtotals="1" fieldPosition="0">
        <references count="2">
          <reference field="4294967294" count="1" selected="0">
            <x v="5"/>
          </reference>
          <reference field="3" count="0"/>
        </references>
      </pivotArea>
    </format>
    <format dxfId="2386">
      <pivotArea collapsedLevelsAreSubtotals="1" fieldPosition="0">
        <references count="2">
          <reference field="4294967294" count="1" selected="0">
            <x v="6"/>
          </reference>
          <reference field="3" count="0"/>
        </references>
      </pivotArea>
    </format>
    <format dxfId="2385">
      <pivotArea grandRow="1" outline="0" collapsedLevelsAreSubtotals="1" fieldPosition="0"/>
    </format>
    <format dxfId="2384">
      <pivotArea dataOnly="0" labelOnly="1" grandRow="1" outline="0" fieldPosition="0"/>
    </format>
    <format dxfId="2383">
      <pivotArea dataOnly="0" labelOnly="1" fieldPosition="0">
        <references count="1">
          <reference field="3" count="0"/>
        </references>
      </pivotArea>
    </format>
    <format dxfId="2382">
      <pivotArea outline="0" collapsedLevelsAreSubtotals="1" fieldPosition="0"/>
    </format>
    <format dxfId="2381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2380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2379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2378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2377">
      <pivotArea grandRow="1" outline="0" collapsedLevelsAreSubtotals="1" fieldPosition="0"/>
    </format>
    <format dxfId="2376">
      <pivotArea collapsedLevelsAreSubtotals="1" fieldPosition="0">
        <references count="2">
          <reference field="4294967294" count="1" selected="0">
            <x v="6"/>
          </reference>
          <reference field="3" count="1">
            <x v="0"/>
          </reference>
        </references>
      </pivotArea>
    </format>
    <format dxfId="237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royecto" cacheId="379" applyNumberFormats="0" applyBorderFormats="0" applyFontFormats="0" applyPatternFormats="0" applyAlignmentFormats="0" applyWidthHeightFormats="1" dataCaption="Valores" updatedVersion="5" minRefreshableVersion="3" itemPrintTitles="1" mergeItem="1" createdVersion="5" indent="0" outline="1" outlineData="1" multipleFieldFilters="0" rowHeaderCaption="Responsable">
  <location ref="B14:BJ90" firstHeaderRow="0" firstDataRow="1" firstDataCol="1"/>
  <pivotFields count="81">
    <pivotField axis="axisRow" showAll="0">
      <items count="118">
        <item x="43"/>
        <item x="56"/>
        <item x="1"/>
        <item x="52"/>
        <item x="50"/>
        <item x="54"/>
        <item x="57"/>
        <item x="51"/>
        <item x="0"/>
        <item m="1" x="116"/>
        <item x="46"/>
        <item x="47"/>
        <item x="48"/>
        <item x="40"/>
        <item x="39"/>
        <item m="1" x="109"/>
        <item x="45"/>
        <item m="1" x="80"/>
        <item m="1" x="111"/>
        <item m="1" x="92"/>
        <item x="38"/>
        <item m="1" x="89"/>
        <item m="1" x="85"/>
        <item m="1" x="105"/>
        <item x="64"/>
        <item x="73"/>
        <item x="74"/>
        <item m="1" x="104"/>
        <item m="1" x="94"/>
        <item m="1" x="110"/>
        <item x="6"/>
        <item x="8"/>
        <item m="1" x="113"/>
        <item m="1" x="76"/>
        <item m="1" x="78"/>
        <item m="1" x="107"/>
        <item m="1" x="103"/>
        <item x="14"/>
        <item x="15"/>
        <item x="16"/>
        <item m="1" x="114"/>
        <item m="1" x="93"/>
        <item m="1" x="88"/>
        <item m="1" x="102"/>
        <item m="1" x="86"/>
        <item x="22"/>
        <item m="1" x="100"/>
        <item m="1" x="99"/>
        <item m="1" x="83"/>
        <item x="27"/>
        <item x="28"/>
        <item x="29"/>
        <item m="1" x="77"/>
        <item m="1" x="91"/>
        <item m="1" x="84"/>
        <item x="35"/>
        <item x="36"/>
        <item m="1" x="90"/>
        <item m="1" x="81"/>
        <item m="1" x="97"/>
        <item m="1" x="96"/>
        <item m="1" x="112"/>
        <item m="1" x="98"/>
        <item m="1" x="108"/>
        <item m="1" x="75"/>
        <item m="1" x="95"/>
        <item m="1" x="82"/>
        <item m="1" x="115"/>
        <item m="1" x="87"/>
        <item x="30"/>
        <item x="2"/>
        <item x="3"/>
        <item x="4"/>
        <item x="5"/>
        <item x="7"/>
        <item x="9"/>
        <item x="10"/>
        <item x="12"/>
        <item x="13"/>
        <item x="17"/>
        <item x="18"/>
        <item x="19"/>
        <item x="20"/>
        <item x="21"/>
        <item x="23"/>
        <item x="24"/>
        <item x="25"/>
        <item x="26"/>
        <item x="31"/>
        <item x="32"/>
        <item x="33"/>
        <item x="37"/>
        <item x="41"/>
        <item x="44"/>
        <item x="49"/>
        <item x="58"/>
        <item x="62"/>
        <item x="63"/>
        <item x="65"/>
        <item x="71"/>
        <item x="70"/>
        <item x="55"/>
        <item x="59"/>
        <item x="67"/>
        <item m="1" x="101"/>
        <item x="11"/>
        <item x="34"/>
        <item x="53"/>
        <item x="66"/>
        <item m="1" x="79"/>
        <item x="42"/>
        <item m="1" x="106"/>
        <item x="68"/>
        <item x="69"/>
        <item x="60"/>
        <item x="72"/>
        <item x="61"/>
        <item t="default"/>
      </items>
    </pivotField>
    <pivotField showAll="0" defaultSubtotal="0"/>
    <pivotField showAll="0">
      <items count="26">
        <item x="12"/>
        <item x="19"/>
        <item x="15"/>
        <item x="18"/>
        <item x="17"/>
        <item x="1"/>
        <item x="10"/>
        <item x="7"/>
        <item x="0"/>
        <item x="21"/>
        <item x="22"/>
        <item x="16"/>
        <item x="6"/>
        <item x="14"/>
        <item x="2"/>
        <item x="11"/>
        <item x="3"/>
        <item x="20"/>
        <item x="5"/>
        <item x="8"/>
        <item m="1" x="24"/>
        <item x="9"/>
        <item x="13"/>
        <item x="4"/>
        <item m="1" x="23"/>
        <item t="default"/>
      </items>
    </pivotField>
    <pivotField showAll="0" defaultSubtotal="0">
      <items count="6">
        <item x="3"/>
        <item x="0"/>
        <item m="1" x="4"/>
        <item x="1"/>
        <item m="1" x="5"/>
        <item x="2"/>
      </items>
    </pivotField>
    <pivotField showAll="0" defaultSubtotal="0">
      <items count="2">
        <item x="1"/>
        <item x="0"/>
      </items>
    </pivotField>
    <pivotField showAll="0">
      <items count="50">
        <item x="37"/>
        <item x="6"/>
        <item x="16"/>
        <item x="19"/>
        <item x="10"/>
        <item x="11"/>
        <item x="2"/>
        <item m="1" x="45"/>
        <item x="36"/>
        <item x="40"/>
        <item x="3"/>
        <item x="0"/>
        <item x="25"/>
        <item x="29"/>
        <item x="7"/>
        <item x="28"/>
        <item x="27"/>
        <item x="9"/>
        <item x="34"/>
        <item x="13"/>
        <item x="20"/>
        <item x="22"/>
        <item x="1"/>
        <item x="23"/>
        <item x="38"/>
        <item x="24"/>
        <item x="33"/>
        <item x="32"/>
        <item x="12"/>
        <item x="15"/>
        <item x="35"/>
        <item x="30"/>
        <item x="39"/>
        <item x="8"/>
        <item x="14"/>
        <item m="1" x="43"/>
        <item x="21"/>
        <item m="1" x="42"/>
        <item x="26"/>
        <item x="17"/>
        <item x="31"/>
        <item x="18"/>
        <item m="1" x="47"/>
        <item m="1" x="46"/>
        <item m="1" x="44"/>
        <item x="5"/>
        <item m="1" x="48"/>
        <item x="4"/>
        <item m="1" x="41"/>
        <item t="default"/>
      </items>
    </pivotField>
    <pivotField showAll="0">
      <items count="51">
        <item x="34"/>
        <item x="14"/>
        <item x="23"/>
        <item x="18"/>
        <item x="9"/>
        <item x="33"/>
        <item x="25"/>
        <item x="21"/>
        <item x="0"/>
        <item m="1" x="49"/>
        <item x="11"/>
        <item m="1" x="41"/>
        <item x="36"/>
        <item m="1" x="46"/>
        <item x="8"/>
        <item m="1" x="47"/>
        <item x="38"/>
        <item x="28"/>
        <item x="24"/>
        <item x="13"/>
        <item x="7"/>
        <item x="27"/>
        <item x="6"/>
        <item x="15"/>
        <item x="37"/>
        <item x="16"/>
        <item x="3"/>
        <item x="17"/>
        <item x="19"/>
        <item x="32"/>
        <item x="5"/>
        <item m="1" x="48"/>
        <item x="1"/>
        <item x="22"/>
        <item m="1" x="45"/>
        <item x="39"/>
        <item m="1" x="43"/>
        <item x="30"/>
        <item m="1" x="42"/>
        <item x="20"/>
        <item x="31"/>
        <item x="2"/>
        <item x="12"/>
        <item x="35"/>
        <item x="10"/>
        <item x="29"/>
        <item x="26"/>
        <item x="4"/>
        <item m="1" x="44"/>
        <item m="1" x="40"/>
        <item t="default"/>
      </items>
    </pivotField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</pivotFields>
  <rowFields count="1">
    <field x="0"/>
  </rowFields>
  <rowItems count="7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10"/>
    </i>
    <i>
      <x v="11"/>
    </i>
    <i>
      <x v="12"/>
    </i>
    <i>
      <x v="13"/>
    </i>
    <i>
      <x v="14"/>
    </i>
    <i>
      <x v="16"/>
    </i>
    <i>
      <x v="20"/>
    </i>
    <i>
      <x v="24"/>
    </i>
    <i>
      <x v="25"/>
    </i>
    <i>
      <x v="26"/>
    </i>
    <i>
      <x v="30"/>
    </i>
    <i>
      <x v="31"/>
    </i>
    <i>
      <x v="37"/>
    </i>
    <i>
      <x v="38"/>
    </i>
    <i>
      <x v="39"/>
    </i>
    <i>
      <x v="45"/>
    </i>
    <i>
      <x v="49"/>
    </i>
    <i>
      <x v="50"/>
    </i>
    <i>
      <x v="51"/>
    </i>
    <i>
      <x v="55"/>
    </i>
    <i>
      <x v="56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5"/>
    </i>
    <i>
      <x v="106"/>
    </i>
    <i>
      <x v="107"/>
    </i>
    <i>
      <x v="108"/>
    </i>
    <i>
      <x v="110"/>
    </i>
    <i>
      <x v="112"/>
    </i>
    <i>
      <x v="113"/>
    </i>
    <i>
      <x v="114"/>
    </i>
    <i>
      <x v="115"/>
    </i>
    <i>
      <x v="116"/>
    </i>
    <i t="grand">
      <x/>
    </i>
  </rowItems>
  <colFields count="1">
    <field x="-2"/>
  </colFields>
  <colItems count="6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  <i i="39">
      <x v="39"/>
    </i>
    <i i="40">
      <x v="40"/>
    </i>
    <i i="41">
      <x v="41"/>
    </i>
    <i i="42">
      <x v="42"/>
    </i>
    <i i="43">
      <x v="43"/>
    </i>
    <i i="44">
      <x v="44"/>
    </i>
    <i i="45">
      <x v="45"/>
    </i>
    <i i="46">
      <x v="46"/>
    </i>
    <i i="47">
      <x v="47"/>
    </i>
    <i i="48">
      <x v="48"/>
    </i>
    <i i="49">
      <x v="49"/>
    </i>
    <i i="50">
      <x v="50"/>
    </i>
    <i i="51">
      <x v="51"/>
    </i>
    <i i="52">
      <x v="52"/>
    </i>
    <i i="53">
      <x v="53"/>
    </i>
    <i i="54">
      <x v="54"/>
    </i>
    <i i="55">
      <x v="55"/>
    </i>
    <i i="56">
      <x v="56"/>
    </i>
    <i i="57">
      <x v="57"/>
    </i>
    <i i="58">
      <x v="58"/>
    </i>
    <i i="59">
      <x v="59"/>
    </i>
  </colItems>
  <dataFields count="60">
    <dataField name=".Enero  02 - 06" fld="8" baseField="0" baseItem="2"/>
    <dataField name=".Enero  09 - 13" fld="9" baseField="0" baseItem="2"/>
    <dataField name=".Enero  16 - 20" fld="10" baseField="0" baseItem="2"/>
    <dataField name=".Enero  23 - 27" fld="11" baseField="0" baseItem="2"/>
    <dataField name=".Enero  30 - 31" fld="12" baseField="0" baseItem="2"/>
    <dataField name=".TOTAL HRS ENERO" fld="68" baseField="0" baseItem="19"/>
    <dataField name=".Febrero  01 - 03" fld="13" baseField="0" baseItem="2"/>
    <dataField name=".Febrero  06 - 10" fld="14" baseField="0" baseItem="2"/>
    <dataField name=".Febrero  13 - 17" fld="15" baseField="0" baseItem="2"/>
    <dataField name=".Febrero  20 - 24" fld="16" baseField="0" baseItem="2"/>
    <dataField name=".Febrero  27 - 28" fld="17" baseField="0" baseItem="2"/>
    <dataField name=".TOTAL HRS FEBRERO" fld="69" baseField="0" baseItem="0"/>
    <dataField name=".Marzo  01 - 03" fld="18" baseField="0" baseItem="2"/>
    <dataField name=".Marzo  06 - 10" fld="19" baseField="0" baseItem="2"/>
    <dataField name=".Marzo  13 - 17" fld="20" baseField="0" baseItem="2"/>
    <dataField name=".Marzo  20 - 24" fld="21" baseField="0" baseItem="2"/>
    <dataField name=".Marzo  27 - 31" fld="22" baseField="0" baseItem="2"/>
    <dataField name=".TOTAL HRS MARZO" fld="70" baseField="0" baseItem="0"/>
    <dataField name=".Abril  03 - 07" fld="23" baseField="0" baseItem="0"/>
    <dataField name=".Abril  10 - 12" fld="24" baseField="0" baseItem="0"/>
    <dataField name=".Abril  17 - 21" fld="25" baseField="0" baseItem="0"/>
    <dataField name=".Abril  24 - 28" fld="26" baseField="0" baseItem="0"/>
    <dataField name=".TOTAL HRS ABRIL" fld="71" baseField="0" baseItem="0"/>
    <dataField name=".Mayo  02 - 05" fld="27" baseField="0" baseItem="0"/>
    <dataField name=".Mayo  08 - 12" fld="28" baseField="0" baseItem="0"/>
    <dataField name=".Mayo  15 - 19" fld="29" baseField="0" baseItem="0"/>
    <dataField name=".Mayo  22 - 26" fld="30" baseField="0" baseItem="0"/>
    <dataField name=".Mayo  29 - 31" fld="31" baseField="0" baseItem="0"/>
    <dataField name=".TOTAL HRS MAYO" fld="72" baseField="0" baseItem="0"/>
    <dataField name=".Junio  01-02" fld="32" baseField="0" baseItem="0"/>
    <dataField name=".Junio  05-09" fld="33" baseField="0" baseItem="0"/>
    <dataField name=". Junio  12-16" fld="34" baseField="0" baseItem="0"/>
    <dataField name=". Junio  19-23" fld="35" baseField="0" baseItem="0"/>
    <dataField name=".Junio  26-30" fld="36" baseField="0" baseItem="0"/>
    <dataField name=".TOTAL HRS JUNIO" fld="73" baseField="0" baseItem="0"/>
    <dataField name=".Julio  03-07" fld="37" baseField="5" baseItem="0"/>
    <dataField name=".Julio  10-14" fld="38" baseField="5" baseItem="0"/>
    <dataField name=".Julio  17-21" fld="39" baseField="0" baseItem="2"/>
    <dataField name=".Julio  24-28" fld="40" baseField="0" baseItem="2"/>
    <dataField name=".Julio  31-" fld="42" baseField="0" baseItem="4"/>
    <dataField name=".TOTAL HRS JULIO" fld="74" baseField="0" baseItem="11"/>
    <dataField name=".Agosto  01-04" fld="43" baseField="0" baseItem="12"/>
    <dataField name=".Agosto  07-11" fld="44" baseField="0" baseItem="12"/>
    <dataField name=".Agosto  14-18" fld="45" baseField="0" baseItem="12"/>
    <dataField name=".Agosto  21-25" fld="46" baseField="0" baseItem="12"/>
    <dataField name=".Agosto  28-31" fld="47" baseField="0" baseItem="12"/>
    <dataField name=".TOTAL HRS AGOSTO" fld="75" baseField="0" baseItem="79"/>
    <dataField name=".Setiembre  01" fld="48" baseField="0" baseItem="0"/>
    <dataField name=".Setiembre  04-08" fld="49" baseField="0" baseItem="0"/>
    <dataField name=".Setiembre  11-15" fld="50" baseField="0" baseItem="0"/>
    <dataField name=".Setiembre  18-22" fld="51" baseField="0" baseItem="0"/>
    <dataField name=".Setiembre  25-29" fld="52" baseField="0" baseItem="0"/>
    <dataField name=".TOTAL HRS SETIEMBRE" fld="76" baseField="0" baseItem="0"/>
    <dataField name=".Octubre  02-06" fld="53" baseField="0" baseItem="5"/>
    <dataField name=".Octubre  09-13" fld="54" baseField="0" baseItem="8"/>
    <dataField name=".Octubre  16-20" fld="55" baseField="0" baseItem="8"/>
    <dataField name=".Octubre  23-28" fld="56" baseField="0" baseItem="8"/>
    <dataField name=".Octubre  30-31" fld="57" baseField="0" baseItem="0"/>
    <dataField name=".TOTAL HRS OCTUBRE" fld="77" baseField="0" baseItem="0"/>
    <dataField name=".TOTAL ACUMULADO" fld="80" baseField="0" baseItem="0"/>
  </dataFields>
  <formats count="173">
    <format dxfId="2374">
      <pivotArea type="all" dataOnly="0" outline="0" fieldPosition="0"/>
    </format>
    <format dxfId="2373">
      <pivotArea field="0" type="button" dataOnly="0" labelOnly="1" outline="0" axis="axisRow" fieldPosition="0"/>
    </format>
    <format dxfId="2372">
      <pivotArea type="all" dataOnly="0" outline="0" fieldPosition="0"/>
    </format>
    <format dxfId="2371">
      <pivotArea outline="0" collapsedLevelsAreSubtotals="1" fieldPosition="0"/>
    </format>
    <format dxfId="2370">
      <pivotArea field="0" type="button" dataOnly="0" labelOnly="1" outline="0" axis="axisRow" fieldPosition="0"/>
    </format>
    <format dxfId="2369">
      <pivotArea dataOnly="0" labelOnly="1" fieldPosition="0">
        <references count="1">
          <reference field="0" count="3">
            <x v="1"/>
            <x v="8"/>
            <x v="9"/>
          </reference>
        </references>
      </pivotArea>
    </format>
    <format dxfId="2368">
      <pivotArea dataOnly="0" labelOnly="1" grandRow="1" outline="0" fieldPosition="0"/>
    </format>
    <format dxfId="2367">
      <pivotArea dataOnly="0" labelOnly="1" outline="0" fieldPosition="0">
        <references count="1">
          <reference field="4294967294" count="9">
            <x v="18"/>
            <x v="19"/>
            <x v="20"/>
            <x v="21"/>
            <x v="23"/>
            <x v="24"/>
            <x v="25"/>
            <x v="26"/>
            <x v="27"/>
          </reference>
        </references>
      </pivotArea>
    </format>
    <format dxfId="2366">
      <pivotArea field="0" type="button" dataOnly="0" labelOnly="1" outline="0" axis="axisRow" fieldPosition="0"/>
    </format>
    <format dxfId="2365">
      <pivotArea dataOnly="0" labelOnly="1" outline="0" fieldPosition="0">
        <references count="1">
          <reference field="4294967294" count="9">
            <x v="18"/>
            <x v="19"/>
            <x v="20"/>
            <x v="21"/>
            <x v="23"/>
            <x v="24"/>
            <x v="25"/>
            <x v="26"/>
            <x v="27"/>
          </reference>
        </references>
      </pivotArea>
    </format>
    <format dxfId="2364">
      <pivotArea field="0" type="button" dataOnly="0" labelOnly="1" outline="0" axis="axisRow" fieldPosition="0"/>
    </format>
    <format dxfId="2363">
      <pivotArea dataOnly="0" labelOnly="1" outline="0" fieldPosition="0">
        <references count="1">
          <reference field="4294967294" count="9">
            <x v="18"/>
            <x v="19"/>
            <x v="20"/>
            <x v="21"/>
            <x v="23"/>
            <x v="24"/>
            <x v="25"/>
            <x v="26"/>
            <x v="27"/>
          </reference>
        </references>
      </pivotArea>
    </format>
    <format dxfId="2362">
      <pivotArea field="0" type="button" dataOnly="0" labelOnly="1" outline="0" axis="axisRow" fieldPosition="0"/>
    </format>
    <format dxfId="2361">
      <pivotArea dataOnly="0" labelOnly="1" outline="0" fieldPosition="0">
        <references count="1">
          <reference field="4294967294" count="9">
            <x v="18"/>
            <x v="19"/>
            <x v="20"/>
            <x v="21"/>
            <x v="23"/>
            <x v="24"/>
            <x v="25"/>
            <x v="26"/>
            <x v="27"/>
          </reference>
        </references>
      </pivotArea>
    </format>
    <format dxfId="2360">
      <pivotArea grandRow="1" outline="0" collapsedLevelsAreSubtotals="1" fieldPosition="0"/>
    </format>
    <format dxfId="2359">
      <pivotArea dataOnly="0" labelOnly="1" grandRow="1" outline="0" fieldPosition="0"/>
    </format>
    <format dxfId="2358">
      <pivotArea grandRow="1" outline="0" collapsedLevelsAreSubtotals="1" fieldPosition="0"/>
    </format>
    <format dxfId="2357">
      <pivotArea dataOnly="0" labelOnly="1" grandRow="1" outline="0" fieldPosition="0"/>
    </format>
    <format dxfId="2356">
      <pivotArea outline="0" collapsedLevelsAreSubtotals="1" fieldPosition="0"/>
    </format>
    <format dxfId="2355">
      <pivotArea dataOnly="0" labelOnly="1" outline="0" fieldPosition="0">
        <references count="1">
          <reference field="4294967294" count="9">
            <x v="18"/>
            <x v="19"/>
            <x v="20"/>
            <x v="21"/>
            <x v="23"/>
            <x v="24"/>
            <x v="25"/>
            <x v="26"/>
            <x v="27"/>
          </reference>
        </references>
      </pivotArea>
    </format>
    <format dxfId="2354">
      <pivotArea type="all" dataOnly="0" outline="0" fieldPosition="0"/>
    </format>
    <format dxfId="2353">
      <pivotArea outline="0" collapsedLevelsAreSubtotals="1" fieldPosition="0"/>
    </format>
    <format dxfId="2352">
      <pivotArea field="0" type="button" dataOnly="0" labelOnly="1" outline="0" axis="axisRow" fieldPosition="0"/>
    </format>
    <format dxfId="2351">
      <pivotArea dataOnly="0" labelOnly="1" fieldPosition="0">
        <references count="1">
          <reference field="0" count="0"/>
        </references>
      </pivotArea>
    </format>
    <format dxfId="2350">
      <pivotArea dataOnly="0" labelOnly="1" grandRow="1" outline="0" fieldPosition="0"/>
    </format>
    <format dxfId="2349">
      <pivotArea dataOnly="0" labelOnly="1" outline="0" fieldPosition="0">
        <references count="1">
          <reference field="4294967294" count="9">
            <x v="18"/>
            <x v="19"/>
            <x v="20"/>
            <x v="21"/>
            <x v="23"/>
            <x v="24"/>
            <x v="25"/>
            <x v="26"/>
            <x v="27"/>
          </reference>
        </references>
      </pivotArea>
    </format>
    <format dxfId="2348">
      <pivotArea outline="0" collapsedLevelsAreSubtotals="1" fieldPosition="0">
        <references count="1">
          <reference field="4294967294" count="5" selected="0">
            <x v="23"/>
            <x v="24"/>
            <x v="25"/>
            <x v="26"/>
            <x v="27"/>
          </reference>
        </references>
      </pivotArea>
    </format>
    <format dxfId="2347">
      <pivotArea dataOnly="0" labelOnly="1" outline="0" fieldPosition="0">
        <references count="1">
          <reference field="4294967294" count="5">
            <x v="23"/>
            <x v="24"/>
            <x v="25"/>
            <x v="26"/>
            <x v="27"/>
          </reference>
        </references>
      </pivotArea>
    </format>
    <format dxfId="2346">
      <pivotArea dataOnly="0" labelOnly="1" outline="0" fieldPosition="0">
        <references count="1">
          <reference field="4294967294" count="2">
            <x v="29"/>
            <x v="30"/>
          </reference>
        </references>
      </pivotArea>
    </format>
    <format dxfId="2345">
      <pivotArea collapsedLevelsAreSubtotals="1" fieldPosition="0">
        <references count="2">
          <reference field="4294967294" count="5" selected="0">
            <x v="23"/>
            <x v="24"/>
            <x v="25"/>
            <x v="26"/>
            <x v="27"/>
          </reference>
          <reference field="0" count="0"/>
        </references>
      </pivotArea>
    </format>
    <format dxfId="2344">
      <pivotArea dataOnly="0" labelOnly="1" outline="0" fieldPosition="0">
        <references count="1">
          <reference field="4294967294" count="5">
            <x v="23"/>
            <x v="24"/>
            <x v="25"/>
            <x v="26"/>
            <x v="27"/>
          </reference>
        </references>
      </pivotArea>
    </format>
    <format dxfId="2343">
      <pivotArea dataOnly="0" labelOnly="1" outline="0" fieldPosition="0">
        <references count="1">
          <reference field="4294967294" count="1">
            <x v="31"/>
          </reference>
        </references>
      </pivotArea>
    </format>
    <format dxfId="2342">
      <pivotArea dataOnly="0" labelOnly="1" outline="0" fieldPosition="0">
        <references count="1">
          <reference field="4294967294" count="1">
            <x v="32"/>
          </reference>
        </references>
      </pivotArea>
    </format>
    <format dxfId="2341">
      <pivotArea collapsedLevelsAreSubtotals="1" fieldPosition="0">
        <references count="2">
          <reference field="4294967294" count="1" selected="0">
            <x v="32"/>
          </reference>
          <reference field="0" count="15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</reference>
        </references>
      </pivotArea>
    </format>
    <format dxfId="2340">
      <pivotArea dataOnly="0" labelOnly="1" outline="0" fieldPosition="0">
        <references count="1">
          <reference field="4294967294" count="1">
            <x v="33"/>
          </reference>
        </references>
      </pivotArea>
    </format>
    <format dxfId="2339">
      <pivotArea dataOnly="0" labelOnly="1" outline="0" fieldPosition="0">
        <references count="1">
          <reference field="4294967294" count="1">
            <x v="35"/>
          </reference>
        </references>
      </pivotArea>
    </format>
    <format dxfId="2338">
      <pivotArea dataOnly="0" labelOnly="1" outline="0" fieldPosition="0">
        <references count="1">
          <reference field="4294967294" count="1">
            <x v="36"/>
          </reference>
        </references>
      </pivotArea>
    </format>
    <format dxfId="2337">
      <pivotArea dataOnly="0" labelOnly="1" outline="0" fieldPosition="0">
        <references count="1">
          <reference field="4294967294" count="1">
            <x v="36"/>
          </reference>
        </references>
      </pivotArea>
    </format>
    <format dxfId="2336">
      <pivotArea collapsedLevelsAreSubtotals="1" fieldPosition="0">
        <references count="2">
          <reference field="4294967294" count="1" selected="0">
            <x v="31"/>
          </reference>
          <reference field="0" count="1">
            <x v="0"/>
          </reference>
        </references>
      </pivotArea>
    </format>
    <format dxfId="2335">
      <pivotArea dataOnly="0" labelOnly="1" outline="0" fieldPosition="0">
        <references count="1">
          <reference field="4294967294" count="5">
            <x v="12"/>
            <x v="13"/>
            <x v="14"/>
            <x v="15"/>
            <x v="16"/>
          </reference>
        </references>
      </pivotArea>
    </format>
    <format dxfId="2334">
      <pivotArea dataOnly="0" labelOnly="1" outline="0" fieldPosition="0">
        <references count="1">
          <reference field="4294967294" count="5">
            <x v="6"/>
            <x v="7"/>
            <x v="8"/>
            <x v="9"/>
            <x v="10"/>
          </reference>
        </references>
      </pivotArea>
    </format>
    <format dxfId="233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332">
      <pivotArea dataOnly="0" labelOnly="1" outline="0" fieldPosition="0">
        <references count="1">
          <reference field="4294967294" count="2">
            <x v="37"/>
            <x v="38"/>
          </reference>
        </references>
      </pivotArea>
    </format>
    <format dxfId="2331">
      <pivotArea dataOnly="0" outline="0" fieldPosition="0">
        <references count="1">
          <reference field="4294967294" count="1">
            <x v="33"/>
          </reference>
        </references>
      </pivotArea>
    </format>
    <format dxfId="2330">
      <pivotArea dataOnly="0" outline="0" fieldPosition="0">
        <references count="1">
          <reference field="4294967294" count="1">
            <x v="4"/>
          </reference>
        </references>
      </pivotArea>
    </format>
    <format dxfId="2329">
      <pivotArea dataOnly="0" outline="0" fieldPosition="0">
        <references count="1">
          <reference field="4294967294" count="1">
            <x v="10"/>
          </reference>
        </references>
      </pivotArea>
    </format>
    <format dxfId="2328">
      <pivotArea dataOnly="0" outline="0" fieldPosition="0">
        <references count="1">
          <reference field="4294967294" count="1">
            <x v="16"/>
          </reference>
        </references>
      </pivotArea>
    </format>
    <format dxfId="2327">
      <pivotArea dataOnly="0" labelOnly="1" outline="0" fieldPosition="0">
        <references count="1">
          <reference field="4294967294" count="1">
            <x v="39"/>
          </reference>
        </references>
      </pivotArea>
    </format>
    <format dxfId="2326">
      <pivotArea outline="0" collapsedLevelsAreSubtotals="1" fieldPosition="0">
        <references count="1">
          <reference field="4294967294" count="5" selected="0">
            <x v="35"/>
            <x v="36"/>
            <x v="37"/>
            <x v="38"/>
            <x v="39"/>
          </reference>
        </references>
      </pivotArea>
    </format>
    <format dxfId="2325">
      <pivotArea dataOnly="0" labelOnly="1" outline="0" fieldPosition="0">
        <references count="1">
          <reference field="4294967294" count="5">
            <x v="35"/>
            <x v="36"/>
            <x v="37"/>
            <x v="38"/>
            <x v="39"/>
          </reference>
        </references>
      </pivotArea>
    </format>
    <format dxfId="2324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2323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2322">
      <pivotArea outline="0" collapsedLevelsAreSubtotals="1" fieldPosition="0">
        <references count="1">
          <reference field="4294967294" count="1" selected="0">
            <x v="5"/>
          </reference>
        </references>
      </pivotArea>
    </format>
    <format dxfId="2321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2320">
      <pivotArea collapsedLevelsAreSubtotals="1" fieldPosition="0">
        <references count="2">
          <reference field="4294967294" count="1" selected="0">
            <x v="5"/>
          </reference>
          <reference field="0" count="0"/>
        </references>
      </pivotArea>
    </format>
    <format dxfId="2319">
      <pivotArea collapsedLevelsAreSubtotals="1" fieldPosition="0">
        <references count="2">
          <reference field="4294967294" count="1" selected="0">
            <x v="5"/>
          </reference>
          <reference field="0" count="0"/>
        </references>
      </pivotArea>
    </format>
    <format dxfId="2318">
      <pivotArea field="0" grandRow="1" outline="0" collapsedLevelsAreSubtotals="1" axis="axisRow" fieldPosition="0">
        <references count="1">
          <reference field="4294967294" count="1" selected="0">
            <x v="5"/>
          </reference>
        </references>
      </pivotArea>
    </format>
    <format dxfId="2317">
      <pivotArea dataOnly="0" labelOnly="1" outline="0" fieldPosition="0">
        <references count="1">
          <reference field="4294967294" count="1">
            <x v="11"/>
          </reference>
        </references>
      </pivotArea>
    </format>
    <format dxfId="2316">
      <pivotArea dataOnly="0" labelOnly="1" outline="0" fieldPosition="0">
        <references count="1">
          <reference field="4294967294" count="1">
            <x v="11"/>
          </reference>
        </references>
      </pivotArea>
    </format>
    <format dxfId="2315">
      <pivotArea outline="0" collapsedLevelsAreSubtotals="1" fieldPosition="0">
        <references count="1">
          <reference field="4294967294" count="1" selected="0">
            <x v="11"/>
          </reference>
        </references>
      </pivotArea>
    </format>
    <format dxfId="2314">
      <pivotArea dataOnly="0" labelOnly="1" outline="0" fieldPosition="0">
        <references count="1">
          <reference field="4294967294" count="1">
            <x v="11"/>
          </reference>
        </references>
      </pivotArea>
    </format>
    <format dxfId="2313">
      <pivotArea collapsedLevelsAreSubtotals="1" fieldPosition="0">
        <references count="2">
          <reference field="4294967294" count="1" selected="0">
            <x v="11"/>
          </reference>
          <reference field="0" count="0"/>
        </references>
      </pivotArea>
    </format>
    <format dxfId="2312">
      <pivotArea collapsedLevelsAreSubtotals="1" fieldPosition="0">
        <references count="2">
          <reference field="4294967294" count="1" selected="0">
            <x v="11"/>
          </reference>
          <reference field="0" count="0"/>
        </references>
      </pivotArea>
    </format>
    <format dxfId="2311">
      <pivotArea dataOnly="0" labelOnly="1" outline="0" fieldPosition="0">
        <references count="1">
          <reference field="4294967294" count="1">
            <x v="17"/>
          </reference>
        </references>
      </pivotArea>
    </format>
    <format dxfId="2310">
      <pivotArea dataOnly="0" labelOnly="1" outline="0" fieldPosition="0">
        <references count="1">
          <reference field="4294967294" count="1">
            <x v="17"/>
          </reference>
        </references>
      </pivotArea>
    </format>
    <format dxfId="2309">
      <pivotArea outline="0" collapsedLevelsAreSubtotals="1" fieldPosition="0">
        <references count="1">
          <reference field="4294967294" count="1" selected="0">
            <x v="17"/>
          </reference>
        </references>
      </pivotArea>
    </format>
    <format dxfId="2308">
      <pivotArea dataOnly="0" labelOnly="1" outline="0" fieldPosition="0">
        <references count="1">
          <reference field="4294967294" count="1">
            <x v="17"/>
          </reference>
        </references>
      </pivotArea>
    </format>
    <format dxfId="2307">
      <pivotArea collapsedLevelsAreSubtotals="1" fieldPosition="0">
        <references count="2">
          <reference field="4294967294" count="1" selected="0">
            <x v="17"/>
          </reference>
          <reference field="0" count="0"/>
        </references>
      </pivotArea>
    </format>
    <format dxfId="2306">
      <pivotArea dataOnly="0" labelOnly="1" outline="0" fieldPosition="0">
        <references count="1">
          <reference field="4294967294" count="1">
            <x v="22"/>
          </reference>
        </references>
      </pivotArea>
    </format>
    <format dxfId="2305">
      <pivotArea dataOnly="0" labelOnly="1" outline="0" fieldPosition="0">
        <references count="1">
          <reference field="4294967294" count="1">
            <x v="22"/>
          </reference>
        </references>
      </pivotArea>
    </format>
    <format dxfId="2304">
      <pivotArea dataOnly="0" outline="0" fieldPosition="0">
        <references count="1">
          <reference field="4294967294" count="1">
            <x v="22"/>
          </reference>
        </references>
      </pivotArea>
    </format>
    <format dxfId="2303">
      <pivotArea collapsedLevelsAreSubtotals="1" fieldPosition="0">
        <references count="2">
          <reference field="4294967294" count="1" selected="0">
            <x v="22"/>
          </reference>
          <reference field="0" count="0"/>
        </references>
      </pivotArea>
    </format>
    <format dxfId="2302">
      <pivotArea collapsedLevelsAreSubtotals="1" fieldPosition="0">
        <references count="2">
          <reference field="4294967294" count="1" selected="0">
            <x v="17"/>
          </reference>
          <reference field="0" count="0"/>
        </references>
      </pivotArea>
    </format>
    <format dxfId="2301">
      <pivotArea collapsedLevelsAreSubtotals="1" fieldPosition="0">
        <references count="2">
          <reference field="4294967294" count="1" selected="0">
            <x v="22"/>
          </reference>
          <reference field="0" count="0"/>
        </references>
      </pivotArea>
    </format>
    <format dxfId="2300">
      <pivotArea dataOnly="0" labelOnly="1" outline="0" fieldPosition="0">
        <references count="1">
          <reference field="4294967294" count="1">
            <x v="28"/>
          </reference>
        </references>
      </pivotArea>
    </format>
    <format dxfId="2299">
      <pivotArea dataOnly="0" labelOnly="1" outline="0" fieldPosition="0">
        <references count="1">
          <reference field="4294967294" count="1">
            <x v="28"/>
          </reference>
        </references>
      </pivotArea>
    </format>
    <format dxfId="2298">
      <pivotArea outline="0" collapsedLevelsAreSubtotals="1" fieldPosition="0">
        <references count="1">
          <reference field="4294967294" count="1" selected="0">
            <x v="28"/>
          </reference>
        </references>
      </pivotArea>
    </format>
    <format dxfId="2297">
      <pivotArea dataOnly="0" labelOnly="1" outline="0" fieldPosition="0">
        <references count="1">
          <reference field="4294967294" count="1">
            <x v="28"/>
          </reference>
        </references>
      </pivotArea>
    </format>
    <format dxfId="2296">
      <pivotArea collapsedLevelsAreSubtotals="1" fieldPosition="0">
        <references count="2">
          <reference field="4294967294" count="1" selected="0">
            <x v="28"/>
          </reference>
          <reference field="0" count="0"/>
        </references>
      </pivotArea>
    </format>
    <format dxfId="2295">
      <pivotArea collapsedLevelsAreSubtotals="1" fieldPosition="0">
        <references count="2">
          <reference field="4294967294" count="1" selected="0">
            <x v="28"/>
          </reference>
          <reference field="0" count="0"/>
        </references>
      </pivotArea>
    </format>
    <format dxfId="2294">
      <pivotArea dataOnly="0" labelOnly="1" outline="0" fieldPosition="0">
        <references count="1">
          <reference field="4294967294" count="1">
            <x v="34"/>
          </reference>
        </references>
      </pivotArea>
    </format>
    <format dxfId="2293">
      <pivotArea dataOnly="0" labelOnly="1" outline="0" fieldPosition="0">
        <references count="1">
          <reference field="4294967294" count="1">
            <x v="34"/>
          </reference>
        </references>
      </pivotArea>
    </format>
    <format dxfId="2292">
      <pivotArea collapsedLevelsAreSubtotals="1" fieldPosition="0">
        <references count="2">
          <reference field="4294967294" count="1" selected="0">
            <x v="34"/>
          </reference>
          <reference field="0" count="53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</reference>
        </references>
      </pivotArea>
    </format>
    <format dxfId="2291">
      <pivotArea collapsedLevelsAreSubtotals="1" fieldPosition="0">
        <references count="2">
          <reference field="4294967294" count="1" selected="0">
            <x v="34"/>
          </reference>
          <reference field="0" count="53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</reference>
        </references>
      </pivotArea>
    </format>
    <format dxfId="2290">
      <pivotArea collapsedLevelsAreSubtotals="1" fieldPosition="0">
        <references count="2">
          <reference field="4294967294" count="1" selected="0">
            <x v="34"/>
          </reference>
          <reference field="0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2289">
      <pivotArea collapsedLevelsAreSubtotals="1" fieldPosition="0">
        <references count="2">
          <reference field="4294967294" count="1" selected="0">
            <x v="34"/>
          </reference>
          <reference field="0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2288">
      <pivotArea dataOnly="0" labelOnly="1" outline="0" fieldPosition="0">
        <references count="1">
          <reference field="4294967294" count="1">
            <x v="40"/>
          </reference>
        </references>
      </pivotArea>
    </format>
    <format dxfId="2287">
      <pivotArea dataOnly="0" labelOnly="1" outline="0" fieldPosition="0">
        <references count="1">
          <reference field="4294967294" count="1">
            <x v="40"/>
          </reference>
        </references>
      </pivotArea>
    </format>
    <format dxfId="2286">
      <pivotArea collapsedLevelsAreSubtotals="1" fieldPosition="0">
        <references count="2">
          <reference field="4294967294" count="1" selected="0">
            <x v="40"/>
          </reference>
          <reference field="0" count="56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</reference>
        </references>
      </pivotArea>
    </format>
    <format dxfId="2285">
      <pivotArea collapsedLevelsAreSubtotals="1" fieldPosition="0">
        <references count="2">
          <reference field="4294967294" count="1" selected="0">
            <x v="40"/>
          </reference>
          <reference field="0" count="56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</reference>
        </references>
      </pivotArea>
    </format>
    <format dxfId="2284">
      <pivotArea collapsedLevelsAreSubtotals="1" fieldPosition="0">
        <references count="2">
          <reference field="4294967294" count="1" selected="0">
            <x v="40"/>
          </reference>
          <reference field="0" count="6">
            <x v="0"/>
            <x v="1"/>
            <x v="2"/>
            <x v="3"/>
            <x v="4"/>
            <x v="5"/>
          </reference>
        </references>
      </pivotArea>
    </format>
    <format dxfId="2283">
      <pivotArea collapsedLevelsAreSubtotals="1" fieldPosition="0">
        <references count="2">
          <reference field="4294967294" count="1" selected="0">
            <x v="40"/>
          </reference>
          <reference field="0" count="6">
            <x v="0"/>
            <x v="1"/>
            <x v="2"/>
            <x v="3"/>
            <x v="4"/>
            <x v="5"/>
          </reference>
        </references>
      </pivotArea>
    </format>
    <format dxfId="2282">
      <pivotArea collapsedLevelsAreSubtotals="1" fieldPosition="0">
        <references count="2">
          <reference field="4294967294" count="1" selected="0">
            <x v="34"/>
          </reference>
          <reference field="0" count="1">
            <x v="63"/>
          </reference>
        </references>
      </pivotArea>
    </format>
    <format dxfId="2281">
      <pivotArea collapsedLevelsAreSubtotals="1" fieldPosition="0">
        <references count="2">
          <reference field="4294967294" count="1" selected="0">
            <x v="40"/>
          </reference>
          <reference field="0" count="2">
            <x v="62"/>
            <x v="63"/>
          </reference>
        </references>
      </pivotArea>
    </format>
    <format dxfId="2280">
      <pivotArea dataOnly="0" labelOnly="1" outline="0" fieldPosition="0">
        <references count="1">
          <reference field="4294967294" count="1">
            <x v="40"/>
          </reference>
        </references>
      </pivotArea>
    </format>
    <format dxfId="2279">
      <pivotArea dataOnly="0" labelOnly="1" outline="0" fieldPosition="0">
        <references count="1">
          <reference field="4294967294" count="1">
            <x v="34"/>
          </reference>
        </references>
      </pivotArea>
    </format>
    <format dxfId="2278">
      <pivotArea outline="0" collapsedLevelsAreSubtotals="1" fieldPosition="0">
        <references count="1">
          <reference field="4294967294" count="1" selected="0">
            <x v="40"/>
          </reference>
        </references>
      </pivotArea>
    </format>
    <format dxfId="2277">
      <pivotArea dataOnly="0" labelOnly="1" outline="0" fieldPosition="0">
        <references count="1">
          <reference field="4294967294" count="1">
            <x v="59"/>
          </reference>
        </references>
      </pivotArea>
    </format>
    <format dxfId="2276">
      <pivotArea dataOnly="0" labelOnly="1" outline="0" fieldPosition="0">
        <references count="1">
          <reference field="4294967294" count="1">
            <x v="59"/>
          </reference>
        </references>
      </pivotArea>
    </format>
    <format dxfId="2275">
      <pivotArea collapsedLevelsAreSubtotals="1" fieldPosition="0">
        <references count="2">
          <reference field="4294967294" count="1" selected="0">
            <x v="59"/>
          </reference>
          <reference field="0" count="0"/>
        </references>
      </pivotArea>
    </format>
    <format dxfId="2274">
      <pivotArea collapsedLevelsAreSubtotals="1" fieldPosition="0">
        <references count="2">
          <reference field="4294967294" count="1" selected="0">
            <x v="34"/>
          </reference>
          <reference field="0" count="1">
            <x v="62"/>
          </reference>
        </references>
      </pivotArea>
    </format>
    <format dxfId="2273">
      <pivotArea collapsedLevelsAreSubtotals="1" fieldPosition="0">
        <references count="2">
          <reference field="4294967294" count="1" selected="0">
            <x v="59"/>
          </reference>
          <reference field="0" count="0"/>
        </references>
      </pivotArea>
    </format>
    <format dxfId="2272">
      <pivotArea collapsedLevelsAreSubtotals="1" fieldPosition="0">
        <references count="2">
          <reference field="4294967294" count="1" selected="0">
            <x v="59"/>
          </reference>
          <reference field="0" count="0"/>
        </references>
      </pivotArea>
    </format>
    <format dxfId="2271">
      <pivotArea outline="0" collapsedLevelsAreSubtotals="1" fieldPosition="0">
        <references count="1">
          <reference field="4294967294" count="1" selected="0">
            <x v="59"/>
          </reference>
        </references>
      </pivotArea>
    </format>
    <format dxfId="2270">
      <pivotArea collapsedLevelsAreSubtotals="1" fieldPosition="0">
        <references count="2">
          <reference field="4294967294" count="1" selected="0">
            <x v="34"/>
          </reference>
          <reference field="0" count="1">
            <x v="65"/>
          </reference>
        </references>
      </pivotArea>
    </format>
    <format dxfId="2269">
      <pivotArea collapsedLevelsAreSubtotals="1" fieldPosition="0">
        <references count="2">
          <reference field="4294967294" count="1" selected="0">
            <x v="40"/>
          </reference>
          <reference field="0" count="1">
            <x v="65"/>
          </reference>
        </references>
      </pivotArea>
    </format>
    <format dxfId="2268">
      <pivotArea collapsedLevelsAreSubtotals="1" fieldPosition="0">
        <references count="2">
          <reference field="4294967294" count="1" selected="0">
            <x v="34"/>
          </reference>
          <reference field="0" count="1">
            <x v="66"/>
          </reference>
        </references>
      </pivotArea>
    </format>
    <format dxfId="2267">
      <pivotArea collapsedLevelsAreSubtotals="1" fieldPosition="0">
        <references count="2">
          <reference field="4294967294" count="1" selected="0">
            <x v="34"/>
          </reference>
          <reference field="0" count="1">
            <x v="67"/>
          </reference>
        </references>
      </pivotArea>
    </format>
    <format dxfId="2266">
      <pivotArea collapsedLevelsAreSubtotals="1" fieldPosition="0">
        <references count="2">
          <reference field="4294967294" count="1" selected="0">
            <x v="40"/>
          </reference>
          <reference field="0" count="2">
            <x v="66"/>
            <x v="67"/>
          </reference>
        </references>
      </pivotArea>
    </format>
    <format dxfId="2265">
      <pivotArea collapsedLevelsAreSubtotals="1" fieldPosition="0">
        <references count="2">
          <reference field="4294967294" count="1" selected="0">
            <x v="34"/>
          </reference>
          <reference field="0" count="1">
            <x v="68"/>
          </reference>
        </references>
      </pivotArea>
    </format>
    <format dxfId="2264">
      <pivotArea collapsedLevelsAreSubtotals="1" fieldPosition="0">
        <references count="2">
          <reference field="4294967294" count="1" selected="0">
            <x v="40"/>
          </reference>
          <reference field="0" count="1">
            <x v="68"/>
          </reference>
        </references>
      </pivotArea>
    </format>
    <format dxfId="2263">
      <pivotArea collapsedLevelsAreSubtotals="1" fieldPosition="0">
        <references count="2">
          <reference field="4294967294" count="1" selected="0">
            <x v="34"/>
          </reference>
          <reference field="0" count="31"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2262">
      <pivotArea collapsedLevelsAreSubtotals="1" fieldPosition="0">
        <references count="2">
          <reference field="4294967294" count="1" selected="0">
            <x v="40"/>
          </reference>
          <reference field="0" count="31"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2261">
      <pivotArea outline="0" collapsedLevelsAreSubtotals="1" fieldPosition="0">
        <references count="1">
          <reference field="4294967294" count="1" selected="0">
            <x v="40"/>
          </reference>
        </references>
      </pivotArea>
    </format>
    <format dxfId="2260">
      <pivotArea outline="0" collapsedLevelsAreSubtotals="1" fieldPosition="0">
        <references count="1">
          <reference field="4294967294" count="1" selected="0">
            <x v="34"/>
          </reference>
        </references>
      </pivotArea>
    </format>
    <format dxfId="2259">
      <pivotArea dataOnly="0" labelOnly="1" outline="0" fieldPosition="0">
        <references count="1">
          <reference field="4294967294" count="6">
            <x v="41"/>
            <x v="42"/>
            <x v="43"/>
            <x v="44"/>
            <x v="45"/>
            <x v="59"/>
          </reference>
        </references>
      </pivotArea>
    </format>
    <format dxfId="2258">
      <pivotArea dataOnly="0" labelOnly="1" outline="0" fieldPosition="0">
        <references count="1">
          <reference field="4294967294" count="1">
            <x v="41"/>
          </reference>
        </references>
      </pivotArea>
    </format>
    <format dxfId="2257">
      <pivotArea collapsedLevelsAreSubtotals="1" fieldPosition="0">
        <references count="2">
          <reference field="4294967294" count="1" selected="0">
            <x v="34"/>
          </reference>
          <reference field="0" count="1">
            <x v="100"/>
          </reference>
        </references>
      </pivotArea>
    </format>
    <format dxfId="2256">
      <pivotArea collapsedLevelsAreSubtotals="1" fieldPosition="0">
        <references count="2">
          <reference field="4294967294" count="1" selected="0">
            <x v="40"/>
          </reference>
          <reference field="0" count="1">
            <x v="100"/>
          </reference>
        </references>
      </pivotArea>
    </format>
    <format dxfId="2255">
      <pivotArea dataOnly="0" labelOnly="1" outline="0" fieldPosition="0">
        <references count="1">
          <reference field="4294967294" count="5">
            <x v="41"/>
            <x v="42"/>
            <x v="43"/>
            <x v="44"/>
            <x v="45"/>
          </reference>
        </references>
      </pivotArea>
    </format>
    <format dxfId="2254">
      <pivotArea collapsedLevelsAreSubtotals="1" fieldPosition="0">
        <references count="2">
          <reference field="4294967294" count="1" selected="0">
            <x v="59"/>
          </reference>
          <reference field="0" count="0"/>
        </references>
      </pivotArea>
    </format>
    <format dxfId="2253">
      <pivotArea field="0" grandRow="1" outline="0" collapsedLevelsAreSubtotals="1" axis="axisRow" fieldPosition="0">
        <references count="1">
          <reference field="4294967294" count="1" selected="0">
            <x v="59"/>
          </reference>
        </references>
      </pivotArea>
    </format>
    <format dxfId="2252">
      <pivotArea field="0" grandRow="1" outline="0" collapsedLevelsAreSubtotals="1" axis="axisRow" fieldPosition="0">
        <references count="1">
          <reference field="4294967294" count="1" selected="0">
            <x v="40"/>
          </reference>
        </references>
      </pivotArea>
    </format>
    <format dxfId="2251">
      <pivotArea dataOnly="0" labelOnly="1" outline="0" fieldPosition="0">
        <references count="1">
          <reference field="4294967294" count="1">
            <x v="46"/>
          </reference>
        </references>
      </pivotArea>
    </format>
    <format dxfId="2250">
      <pivotArea dataOnly="0" labelOnly="1" outline="0" fieldPosition="0">
        <references count="1">
          <reference field="4294967294" count="4">
            <x v="42"/>
            <x v="43"/>
            <x v="44"/>
            <x v="45"/>
          </reference>
        </references>
      </pivotArea>
    </format>
    <format dxfId="2249">
      <pivotArea dataOnly="0" labelOnly="1" outline="0" fieldPosition="0">
        <references count="1">
          <reference field="4294967294" count="5">
            <x v="41"/>
            <x v="42"/>
            <x v="43"/>
            <x v="44"/>
            <x v="45"/>
          </reference>
        </references>
      </pivotArea>
    </format>
    <format dxfId="2248">
      <pivotArea dataOnly="0" labelOnly="1" outline="0" fieldPosition="0">
        <references count="1">
          <reference field="4294967294" count="1">
            <x v="46"/>
          </reference>
        </references>
      </pivotArea>
    </format>
    <format dxfId="2247">
      <pivotArea outline="0" collapsedLevelsAreSubtotals="1" fieldPosition="0">
        <references count="1">
          <reference field="4294967294" count="1" selected="0">
            <x v="46"/>
          </reference>
        </references>
      </pivotArea>
    </format>
    <format dxfId="2246">
      <pivotArea field="0" grandRow="1" outline="0" collapsedLevelsAreSubtotals="1" axis="axisRow" fieldPosition="0">
        <references count="1">
          <reference field="4294967294" count="1" selected="0">
            <x v="46"/>
          </reference>
        </references>
      </pivotArea>
    </format>
    <format dxfId="2245">
      <pivotArea collapsedLevelsAreSubtotals="1" fieldPosition="0">
        <references count="2">
          <reference field="4294967294" count="1" selected="0">
            <x v="46"/>
          </reference>
          <reference field="0" count="0"/>
        </references>
      </pivotArea>
    </format>
    <format dxfId="2244">
      <pivotArea collapsedLevelsAreSubtotals="1" fieldPosition="0">
        <references count="2">
          <reference field="4294967294" count="1" selected="0">
            <x v="40"/>
          </reference>
          <reference field="0" count="1">
            <x v="101"/>
          </reference>
        </references>
      </pivotArea>
    </format>
    <format dxfId="2243">
      <pivotArea collapsedLevelsAreSubtotals="1" fieldPosition="0">
        <references count="2">
          <reference field="4294967294" count="1" selected="0">
            <x v="34"/>
          </reference>
          <reference field="0" count="1">
            <x v="101"/>
          </reference>
        </references>
      </pivotArea>
    </format>
    <format dxfId="2242">
      <pivotArea collapsedLevelsAreSubtotals="1" fieldPosition="0">
        <references count="2">
          <reference field="4294967294" count="1" selected="0">
            <x v="40"/>
          </reference>
          <reference field="0" count="2">
            <x v="102"/>
            <x v="103"/>
          </reference>
        </references>
      </pivotArea>
    </format>
    <format dxfId="2241">
      <pivotArea collapsedLevelsAreSubtotals="1" fieldPosition="0">
        <references count="2">
          <reference field="4294967294" count="1" selected="0">
            <x v="34"/>
          </reference>
          <reference field="0" count="2">
            <x v="102"/>
            <x v="103"/>
          </reference>
        </references>
      </pivotArea>
    </format>
    <format dxfId="2240">
      <pivotArea collapsedLevelsAreSubtotals="1" fieldPosition="0">
        <references count="2">
          <reference field="4294967294" count="1" selected="0">
            <x v="40"/>
          </reference>
          <reference field="0" count="4">
            <x v="105"/>
            <x v="106"/>
            <x v="107"/>
            <x v="108"/>
          </reference>
        </references>
      </pivotArea>
    </format>
    <format dxfId="2239">
      <pivotArea collapsedLevelsAreSubtotals="1" fieldPosition="0">
        <references count="2">
          <reference field="4294967294" count="1" selected="0">
            <x v="34"/>
          </reference>
          <reference field="0" count="4">
            <x v="105"/>
            <x v="106"/>
            <x v="107"/>
            <x v="108"/>
          </reference>
        </references>
      </pivotArea>
    </format>
    <format dxfId="2238">
      <pivotArea dataOnly="0" labelOnly="1" outline="0" fieldPosition="0">
        <references count="1">
          <reference field="4294967294" count="1">
            <x v="52"/>
          </reference>
        </references>
      </pivotArea>
    </format>
    <format dxfId="2237">
      <pivotArea dataOnly="0" labelOnly="1" outline="0" fieldPosition="0">
        <references count="1">
          <reference field="4294967294" count="1">
            <x v="47"/>
          </reference>
        </references>
      </pivotArea>
    </format>
    <format dxfId="2236">
      <pivotArea dataOnly="0" outline="0" fieldPosition="0">
        <references count="1">
          <reference field="4294967294" count="1">
            <x v="52"/>
          </reference>
        </references>
      </pivotArea>
    </format>
    <format dxfId="2235">
      <pivotArea collapsedLevelsAreSubtotals="1" fieldPosition="0">
        <references count="2">
          <reference field="4294967294" count="1" selected="0">
            <x v="52"/>
          </reference>
          <reference field="0" count="0"/>
        </references>
      </pivotArea>
    </format>
    <format dxfId="2234">
      <pivotArea dataOnly="0" labelOnly="1" outline="0" fieldPosition="0">
        <references count="1">
          <reference field="4294967294" count="1">
            <x v="52"/>
          </reference>
        </references>
      </pivotArea>
    </format>
    <format dxfId="2233">
      <pivotArea dataOnly="0" outline="0" fieldPosition="0">
        <references count="1">
          <reference field="4294967294" count="1">
            <x v="46"/>
          </reference>
        </references>
      </pivotArea>
    </format>
    <format dxfId="2232">
      <pivotArea field="0" grandRow="1" outline="0" collapsedLevelsAreSubtotals="1" axis="axisRow" fieldPosition="0">
        <references count="1">
          <reference field="4294967294" count="1" selected="0">
            <x v="52"/>
          </reference>
        </references>
      </pivotArea>
    </format>
    <format dxfId="2231">
      <pivotArea dataOnly="0" outline="0" fieldPosition="0">
        <references count="1">
          <reference field="4294967294" count="1">
            <x v="46"/>
          </reference>
        </references>
      </pivotArea>
    </format>
    <format dxfId="2230">
      <pivotArea dataOnly="0" outline="0" fieldPosition="0">
        <references count="1">
          <reference field="4294967294" count="1">
            <x v="52"/>
          </reference>
        </references>
      </pivotArea>
    </format>
    <format dxfId="2229">
      <pivotArea collapsedLevelsAreSubtotals="1" fieldPosition="0">
        <references count="2">
          <reference field="4294967294" count="1" selected="0">
            <x v="40"/>
          </reference>
          <reference field="0" count="1">
            <x v="109"/>
          </reference>
        </references>
      </pivotArea>
    </format>
    <format dxfId="2228">
      <pivotArea collapsedLevelsAreSubtotals="1" fieldPosition="0">
        <references count="2">
          <reference field="4294967294" count="1" selected="0">
            <x v="34"/>
          </reference>
          <reference field="0" count="1">
            <x v="109"/>
          </reference>
        </references>
      </pivotArea>
    </format>
    <format dxfId="2227">
      <pivotArea dataOnly="0" labelOnly="1" outline="0" fieldPosition="0">
        <references count="1">
          <reference field="4294967294" count="5">
            <x v="47"/>
            <x v="48"/>
            <x v="49"/>
            <x v="50"/>
            <x v="51"/>
          </reference>
        </references>
      </pivotArea>
    </format>
    <format dxfId="2226">
      <pivotArea dataOnly="0" labelOnly="1" outline="0" fieldPosition="0">
        <references count="1">
          <reference field="4294967294" count="5">
            <x v="47"/>
            <x v="48"/>
            <x v="49"/>
            <x v="50"/>
            <x v="51"/>
          </reference>
        </references>
      </pivotArea>
    </format>
    <format dxfId="2225">
      <pivotArea collapsedLevelsAreSubtotals="1" fieldPosition="0">
        <references count="2">
          <reference field="4294967294" count="1" selected="0">
            <x v="34"/>
          </reference>
          <reference field="0" count="2">
            <x v="110"/>
            <x v="111"/>
          </reference>
        </references>
      </pivotArea>
    </format>
    <format dxfId="2224">
      <pivotArea collapsedLevelsAreSubtotals="1" fieldPosition="0">
        <references count="2">
          <reference field="4294967294" count="1" selected="0">
            <x v="40"/>
          </reference>
          <reference field="0" count="2">
            <x v="110"/>
            <x v="111"/>
          </reference>
        </references>
      </pivotArea>
    </format>
    <format dxfId="2223">
      <pivotArea collapsedLevelsAreSubtotals="1" fieldPosition="0">
        <references count="2">
          <reference field="4294967294" count="1" selected="0">
            <x v="34"/>
          </reference>
          <reference field="0" count="4">
            <x v="112"/>
            <x v="113"/>
            <x v="114"/>
            <x v="115"/>
          </reference>
        </references>
      </pivotArea>
    </format>
    <format dxfId="2222">
      <pivotArea collapsedLevelsAreSubtotals="1" fieldPosition="0">
        <references count="2">
          <reference field="4294967294" count="1" selected="0">
            <x v="40"/>
          </reference>
          <reference field="0" count="4">
            <x v="112"/>
            <x v="113"/>
            <x v="114"/>
            <x v="115"/>
          </reference>
        </references>
      </pivotArea>
    </format>
    <format dxfId="1649">
      <pivotArea dataOnly="0" labelOnly="1" outline="0" fieldPosition="0">
        <references count="1">
          <reference field="4294967294" count="1">
            <x v="53"/>
          </reference>
        </references>
      </pivotArea>
    </format>
    <format dxfId="1648">
      <pivotArea dataOnly="0" labelOnly="1" outline="0" fieldPosition="0">
        <references count="1">
          <reference field="4294967294" count="1">
            <x v="58"/>
          </reference>
        </references>
      </pivotArea>
    </format>
    <format dxfId="1647">
      <pivotArea dataOnly="0" labelOnly="1" outline="0" fieldPosition="0">
        <references count="1">
          <reference field="4294967294" count="1">
            <x v="58"/>
          </reference>
        </references>
      </pivotArea>
    </format>
    <format dxfId="1646">
      <pivotArea dataOnly="0" labelOnly="1" outline="0" fieldPosition="0">
        <references count="1">
          <reference field="4294967294" count="1">
            <x v="58"/>
          </reference>
        </references>
      </pivotArea>
    </format>
    <format dxfId="1645">
      <pivotArea collapsedLevelsAreSubtotals="1" fieldPosition="0">
        <references count="2">
          <reference field="4294967294" count="1" selected="0">
            <x v="52"/>
          </reference>
          <reference field="0" count="1">
            <x v="0"/>
          </reference>
        </references>
      </pivotArea>
    </format>
    <format dxfId="1644">
      <pivotArea collapsedLevelsAreSubtotals="1" fieldPosition="0">
        <references count="2">
          <reference field="4294967294" count="1" selected="0">
            <x v="52"/>
          </reference>
          <reference field="0" count="1">
            <x v="0"/>
          </reference>
        </references>
      </pivotArea>
    </format>
    <format dxfId="1643">
      <pivotArea outline="0" collapsedLevelsAreSubtotals="1" fieldPosition="0">
        <references count="1">
          <reference field="4294967294" count="1" selected="0">
            <x v="52"/>
          </reference>
        </references>
      </pivotArea>
    </format>
    <format dxfId="1642">
      <pivotArea dataOnly="0" labelOnly="1" outline="0" fieldPosition="0">
        <references count="1">
          <reference field="4294967294" count="1">
            <x v="52"/>
          </reference>
        </references>
      </pivotArea>
    </format>
    <format dxfId="1641">
      <pivotArea collapsedLevelsAreSubtotals="1" fieldPosition="0">
        <references count="2">
          <reference field="4294967294" count="1" selected="0">
            <x v="58"/>
          </reference>
          <reference field="0" count="1">
            <x v="0"/>
          </reference>
        </references>
      </pivotArea>
    </format>
    <format dxfId="1640">
      <pivotArea outline="0" collapsedLevelsAreSubtotals="1" fieldPosition="0">
        <references count="1">
          <reference field="4294967294" count="1" selected="0">
            <x v="58"/>
          </reference>
        </references>
      </pivotArea>
    </format>
    <format dxfId="1639">
      <pivotArea field="0" grandRow="1" outline="0" collapsedLevelsAreSubtotals="1" axis="axisRow" fieldPosition="0">
        <references count="1">
          <reference field="4294967294" count="1" selected="0">
            <x v="58"/>
          </reference>
        </references>
      </pivotArea>
    </format>
    <format dxfId="1638">
      <pivotArea dataOnly="0" labelOnly="1" outline="0" fieldPosition="0">
        <references count="1">
          <reference field="4294967294" count="1">
            <x v="58"/>
          </reference>
        </references>
      </pivotArea>
    </format>
    <format dxfId="1311">
      <pivotArea dataOnly="0" labelOnly="1" outline="0" fieldPosition="0">
        <references count="1">
          <reference field="4294967294" count="5">
            <x v="53"/>
            <x v="54"/>
            <x v="55"/>
            <x v="56"/>
            <x v="57"/>
          </reference>
        </references>
      </pivotArea>
    </format>
    <format dxfId="1310">
      <pivotArea dataOnly="0" labelOnly="1" outline="0" fieldPosition="0">
        <references count="1">
          <reference field="4294967294" count="5">
            <x v="53"/>
            <x v="54"/>
            <x v="55"/>
            <x v="56"/>
            <x v="57"/>
          </reference>
        </references>
      </pivotArea>
    </format>
    <format dxfId="1309">
      <pivotArea outline="0" collapsedLevelsAreSubtotals="1" fieldPosition="0">
        <references count="1">
          <reference field="4294967294" count="1" selected="0">
            <x v="58"/>
          </reference>
        </references>
      </pivotArea>
    </format>
    <format dxfId="1308">
      <pivotArea dataOnly="0" labelOnly="1" outline="0" fieldPosition="0">
        <references count="1">
          <reference field="4294967294" count="1">
            <x v="58"/>
          </reference>
        </references>
      </pivotArea>
    </format>
    <format dxfId="1307">
      <pivotArea field="0" grandRow="1" outline="0" collapsedLevelsAreSubtotals="1" axis="axisRow" fieldPosition="0">
        <references count="1">
          <reference field="4294967294" count="1" selected="0">
            <x v="58"/>
          </reference>
        </references>
      </pivotArea>
    </format>
    <format dxfId="1306">
      <pivotArea dataOnly="0" labelOnly="1" outline="0" fieldPosition="0">
        <references count="1">
          <reference field="4294967294" count="1">
            <x v="58"/>
          </reference>
        </references>
      </pivotArea>
    </format>
    <format dxfId="1305">
      <pivotArea collapsedLevelsAreSubtotals="1" fieldPosition="0">
        <references count="2">
          <reference field="4294967294" count="1" selected="0">
            <x v="58"/>
          </reference>
          <reference field="0" count="0"/>
        </references>
      </pivotArea>
    </format>
    <format dxfId="1304">
      <pivotArea field="0" grandRow="1" outline="0" collapsedLevelsAreSubtotals="1" axis="axisRow" fieldPosition="0">
        <references count="1">
          <reference field="4294967294" count="1" selected="0">
            <x v="5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a dinámica3" cacheId="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B3:G47" firstHeaderRow="0" firstDataRow="1" firstDataCol="1"/>
  <pivotFields count="43">
    <pivotField axis="axisRow" showAll="0">
      <items count="63">
        <item x="42"/>
        <item x="7"/>
        <item x="37"/>
        <item x="32"/>
        <item x="18"/>
        <item x="28"/>
        <item x="19"/>
        <item x="54"/>
        <item x="30"/>
        <item x="1"/>
        <item x="48"/>
        <item x="6"/>
        <item x="31"/>
        <item x="53"/>
        <item x="60"/>
        <item x="49"/>
        <item x="8"/>
        <item x="21"/>
        <item x="14"/>
        <item x="13"/>
        <item x="29"/>
        <item x="44"/>
        <item x="34"/>
        <item x="15"/>
        <item x="52"/>
        <item x="25"/>
        <item x="38"/>
        <item x="55"/>
        <item x="16"/>
        <item x="50"/>
        <item x="24"/>
        <item x="10"/>
        <item x="56"/>
        <item x="20"/>
        <item x="0"/>
        <item x="9"/>
        <item x="43"/>
        <item x="17"/>
        <item x="35"/>
        <item x="41"/>
        <item x="27"/>
        <item x="22"/>
        <item x="23"/>
        <item x="3"/>
        <item x="2"/>
        <item x="26"/>
        <item x="33"/>
        <item x="45"/>
        <item x="46"/>
        <item x="47"/>
        <item x="40"/>
        <item x="58"/>
        <item x="61"/>
        <item x="59"/>
        <item x="5"/>
        <item x="39"/>
        <item x="12"/>
        <item x="57"/>
        <item x="11"/>
        <item x="51"/>
        <item x="4"/>
        <item x="36"/>
        <item t="default"/>
      </items>
    </pivotField>
    <pivotField showAll="0">
      <items count="3">
        <item h="1"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dataField="1" showAll="0"/>
  </pivotFields>
  <rowFields count="1">
    <field x="0"/>
  </rowFields>
  <rowItems count="44">
    <i>
      <x/>
    </i>
    <i>
      <x v="3"/>
    </i>
    <i>
      <x v="4"/>
    </i>
    <i>
      <x v="5"/>
    </i>
    <i>
      <x v="6"/>
    </i>
    <i>
      <x v="7"/>
    </i>
    <i>
      <x v="8"/>
    </i>
    <i>
      <x v="9"/>
    </i>
    <i>
      <x v="13"/>
    </i>
    <i>
      <x v="14"/>
    </i>
    <i>
      <x v="15"/>
    </i>
    <i>
      <x v="17"/>
    </i>
    <i>
      <x v="18"/>
    </i>
    <i>
      <x v="19"/>
    </i>
    <i>
      <x v="20"/>
    </i>
    <i>
      <x v="21"/>
    </i>
    <i>
      <x v="22"/>
    </i>
    <i>
      <x v="23"/>
    </i>
    <i>
      <x v="26"/>
    </i>
    <i>
      <x v="27"/>
    </i>
    <i>
      <x v="28"/>
    </i>
    <i>
      <x v="29"/>
    </i>
    <i>
      <x v="33"/>
    </i>
    <i>
      <x v="34"/>
    </i>
    <i>
      <x v="36"/>
    </i>
    <i>
      <x v="37"/>
    </i>
    <i>
      <x v="38"/>
    </i>
    <i>
      <x v="40"/>
    </i>
    <i>
      <x v="41"/>
    </i>
    <i>
      <x v="42"/>
    </i>
    <i>
      <x v="44"/>
    </i>
    <i>
      <x v="45"/>
    </i>
    <i>
      <x v="46"/>
    </i>
    <i>
      <x v="47"/>
    </i>
    <i>
      <x v="48"/>
    </i>
    <i>
      <x v="49"/>
    </i>
    <i>
      <x v="51"/>
    </i>
    <i>
      <x v="53"/>
    </i>
    <i>
      <x v="55"/>
    </i>
    <i>
      <x v="56"/>
    </i>
    <i>
      <x v="58"/>
    </i>
    <i>
      <x v="59"/>
    </i>
    <i>
      <x v="6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.Julio  03-07" fld="37" baseField="0" baseItem="0"/>
    <dataField name=".Julio  10-14" fld="38" baseField="0" baseItem="0"/>
    <dataField name=".Julio  17-21" fld="39" baseField="0" baseItem="0"/>
    <dataField name=".Julio  24-28" fld="40" baseField="0" baseItem="0"/>
    <dataField name=".Julio  31-" fld="42" baseField="0" baseItem="0"/>
  </dataFields>
  <formats count="5">
    <format dxfId="2221">
      <pivotArea dataOnly="0" labelOnly="1" fieldPosition="0">
        <references count="1">
          <reference field="0" count="1">
            <x v="21"/>
          </reference>
        </references>
      </pivotArea>
    </format>
    <format dxfId="2220">
      <pivotArea dataOnly="0" labelOnly="1" fieldPosition="0">
        <references count="1">
          <reference field="0" count="1">
            <x v="61"/>
          </reference>
        </references>
      </pivotArea>
    </format>
    <format dxfId="2219">
      <pivotArea dataOnly="0" labelOnly="1" fieldPosition="0">
        <references count="1">
          <reference field="0" count="1">
            <x v="42"/>
          </reference>
        </references>
      </pivotArea>
    </format>
    <format dxfId="2218">
      <pivotArea dataOnly="0" labelOnly="1" fieldPosition="0">
        <references count="1">
          <reference field="0" count="1">
            <x v="7"/>
          </reference>
        </references>
      </pivotArea>
    </format>
    <format dxfId="2217">
      <pivotArea dataOnly="0" labelOnly="1" fieldPosition="0">
        <references count="1">
          <reference field="0" count="1">
            <x v="1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C7:C51" firstHeaderRow="1" firstDataRow="1" firstDataCol="1" rowPageCount="1" colPageCount="1"/>
  <pivotFields count="8">
    <pivotField axis="axisRow" showAll="0">
      <items count="63">
        <item x="42"/>
        <item x="7"/>
        <item x="37"/>
        <item x="32"/>
        <item x="18"/>
        <item x="28"/>
        <item x="19"/>
        <item x="54"/>
        <item x="30"/>
        <item x="1"/>
        <item x="48"/>
        <item x="6"/>
        <item x="31"/>
        <item x="53"/>
        <item x="60"/>
        <item x="49"/>
        <item x="8"/>
        <item x="21"/>
        <item x="14"/>
        <item x="13"/>
        <item x="29"/>
        <item x="44"/>
        <item x="34"/>
        <item x="15"/>
        <item x="52"/>
        <item x="25"/>
        <item x="38"/>
        <item x="55"/>
        <item x="16"/>
        <item x="50"/>
        <item x="24"/>
        <item x="10"/>
        <item x="56"/>
        <item x="20"/>
        <item x="0"/>
        <item x="9"/>
        <item x="43"/>
        <item x="17"/>
        <item x="35"/>
        <item x="41"/>
        <item x="27"/>
        <item x="22"/>
        <item x="23"/>
        <item x="3"/>
        <item x="2"/>
        <item x="26"/>
        <item x="33"/>
        <item x="45"/>
        <item x="46"/>
        <item x="47"/>
        <item x="40"/>
        <item x="58"/>
        <item x="61"/>
        <item x="59"/>
        <item x="5"/>
        <item x="39"/>
        <item x="12"/>
        <item x="57"/>
        <item x="11"/>
        <item x="51"/>
        <item x="4"/>
        <item x="36"/>
        <item t="default"/>
      </items>
    </pivotField>
    <pivotField axis="axisPage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0"/>
  </rowFields>
  <rowItems count="44">
    <i>
      <x/>
    </i>
    <i>
      <x v="3"/>
    </i>
    <i>
      <x v="4"/>
    </i>
    <i>
      <x v="5"/>
    </i>
    <i>
      <x v="6"/>
    </i>
    <i>
      <x v="7"/>
    </i>
    <i>
      <x v="8"/>
    </i>
    <i>
      <x v="9"/>
    </i>
    <i>
      <x v="13"/>
    </i>
    <i>
      <x v="14"/>
    </i>
    <i>
      <x v="15"/>
    </i>
    <i>
      <x v="17"/>
    </i>
    <i>
      <x v="18"/>
    </i>
    <i>
      <x v="19"/>
    </i>
    <i>
      <x v="20"/>
    </i>
    <i>
      <x v="21"/>
    </i>
    <i>
      <x v="22"/>
    </i>
    <i>
      <x v="23"/>
    </i>
    <i>
      <x v="26"/>
    </i>
    <i>
      <x v="27"/>
    </i>
    <i>
      <x v="28"/>
    </i>
    <i>
      <x v="29"/>
    </i>
    <i>
      <x v="33"/>
    </i>
    <i>
      <x v="34"/>
    </i>
    <i>
      <x v="36"/>
    </i>
    <i>
      <x v="37"/>
    </i>
    <i>
      <x v="38"/>
    </i>
    <i>
      <x v="40"/>
    </i>
    <i>
      <x v="41"/>
    </i>
    <i>
      <x v="42"/>
    </i>
    <i>
      <x v="44"/>
    </i>
    <i>
      <x v="45"/>
    </i>
    <i>
      <x v="46"/>
    </i>
    <i>
      <x v="47"/>
    </i>
    <i>
      <x v="48"/>
    </i>
    <i>
      <x v="49"/>
    </i>
    <i>
      <x v="51"/>
    </i>
    <i>
      <x v="53"/>
    </i>
    <i>
      <x v="55"/>
    </i>
    <i>
      <x v="56"/>
    </i>
    <i>
      <x v="58"/>
    </i>
    <i>
      <x v="59"/>
    </i>
    <i>
      <x v="61"/>
    </i>
    <i t="grand">
      <x/>
    </i>
  </rowItems>
  <colItems count="1">
    <i/>
  </colItems>
  <pageFields count="1">
    <pageField fld="1" item="1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CLIENTES" sourceName="CLIENTES">
  <pivotTables>
    <pivotTable tabId="15" name="Proyecto"/>
  </pivotTables>
  <data>
    <tabular pivotCacheId="9">
      <items count="25">
        <i x="12" s="1"/>
        <i x="19" s="1"/>
        <i x="15" s="1"/>
        <i x="18" s="1"/>
        <i x="17" s="1"/>
        <i x="1" s="1"/>
        <i x="10" s="1"/>
        <i x="7" s="1"/>
        <i x="0" s="1"/>
        <i x="21" s="1"/>
        <i x="22" s="1"/>
        <i x="16" s="1"/>
        <i x="6" s="1"/>
        <i x="14" s="1"/>
        <i x="2" s="1"/>
        <i x="11" s="1"/>
        <i x="3" s="1"/>
        <i x="20" s="1"/>
        <i x="5" s="1"/>
        <i x="8" s="1"/>
        <i x="9" s="1"/>
        <i x="13" s="1"/>
        <i x="4" s="1"/>
        <i x="24" s="1" nd="1"/>
        <i x="2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ESCRIPCION" sourceName="DESCRIPCION">
  <pivotTables>
    <pivotTable tabId="15" name="Proyecto"/>
  </pivotTables>
  <data>
    <tabular pivotCacheId="9">
      <items count="50">
        <i x="34" s="1"/>
        <i x="14" s="1"/>
        <i x="23" s="1"/>
        <i x="18" s="1"/>
        <i x="9" s="1"/>
        <i x="33" s="1"/>
        <i x="25" s="1"/>
        <i x="21" s="1"/>
        <i x="0" s="1"/>
        <i x="11" s="1"/>
        <i x="36" s="1"/>
        <i x="8" s="1"/>
        <i x="38" s="1"/>
        <i x="28" s="1"/>
        <i x="24" s="1"/>
        <i x="13" s="1"/>
        <i x="7" s="1"/>
        <i x="27" s="1"/>
        <i x="6" s="1"/>
        <i x="15" s="1"/>
        <i x="37" s="1"/>
        <i x="16" s="1"/>
        <i x="3" s="1"/>
        <i x="17" s="1"/>
        <i x="19" s="1"/>
        <i x="32" s="1"/>
        <i x="5" s="1"/>
        <i x="1" s="1"/>
        <i x="22" s="1"/>
        <i x="39" s="1"/>
        <i x="30" s="1"/>
        <i x="20" s="1"/>
        <i x="31" s="1"/>
        <i x="2" s="1"/>
        <i x="12" s="1"/>
        <i x="35" s="1"/>
        <i x="10" s="1"/>
        <i x="29" s="1"/>
        <i x="26" s="1"/>
        <i x="4" s="1"/>
        <i x="49" s="1" nd="1"/>
        <i x="41" s="1" nd="1"/>
        <i x="46" s="1" nd="1"/>
        <i x="47" s="1" nd="1"/>
        <i x="48" s="1" nd="1"/>
        <i x="45" s="1" nd="1"/>
        <i x="43" s="1" nd="1"/>
        <i x="42" s="1" nd="1"/>
        <i x="44" s="1" nd="1"/>
        <i x="4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EST._PROYECTO" sourceName="EST. PROYECTO">
  <pivotTables>
    <pivotTable tabId="15" name="Proyecto"/>
  </pivotTables>
  <data>
    <tabular pivotCacheId="9" showMissing="0">
      <items count="6">
        <i x="3" s="1"/>
        <i x="0" s="1"/>
        <i x="1" s="1"/>
        <i x="2" s="1"/>
        <i x="4" s="1" nd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ESTADO" sourceName="ESTADO">
  <pivotTables>
    <pivotTable tabId="14" name="Tabla dinámica1"/>
  </pivotTables>
  <data>
    <tabular pivotCacheId="9">
      <items count="3">
        <i x="1" s="1"/>
        <i x="0" s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RESPONSABLE" sourceName="RESPONSABLE">
  <pivotTables>
    <pivotTable tabId="14" name="Tabla dinámica1"/>
  </pivotTables>
  <data>
    <tabular pivotCacheId="9">
      <items count="117">
        <i x="43" s="1"/>
        <i x="6" s="1"/>
        <i x="37" s="1"/>
        <i x="32" s="1"/>
        <i x="17" s="1"/>
        <i x="27" s="1"/>
        <i x="18" s="1"/>
        <i x="56" s="1"/>
        <i x="29" s="1"/>
        <i x="1" s="1"/>
        <i x="31" s="1"/>
        <i x="52" s="1"/>
        <i x="5" s="1"/>
        <i x="42" s="1"/>
        <i x="73" s="1"/>
        <i x="70" s="1"/>
        <i x="50" s="1"/>
        <i x="7" s="1"/>
        <i x="20" s="1"/>
        <i x="13" s="1"/>
        <i x="12" s="1"/>
        <i x="66" s="1"/>
        <i x="49" s="1"/>
        <i x="59" s="1"/>
        <i x="28" s="1"/>
        <i x="45" s="1"/>
        <i x="34" s="1"/>
        <i x="14" s="1"/>
        <i x="54" s="1"/>
        <i x="38" s="1"/>
        <i x="57" s="1"/>
        <i x="15" s="1"/>
        <i x="51" s="1"/>
        <i x="9" s="1"/>
        <i x="67" s="1"/>
        <i x="62" s="1"/>
        <i x="19" s="1"/>
        <i x="0" s="1"/>
        <i x="8" s="1"/>
        <i x="44" s="1"/>
        <i x="72" s="1"/>
        <i x="16" s="1"/>
        <i x="35" s="1"/>
        <i x="61" s="1"/>
        <i x="41" s="1"/>
        <i x="26" s="1"/>
        <i x="21" s="1"/>
        <i x="22" s="1"/>
        <i x="30" s="1"/>
        <i x="2" s="1"/>
        <i x="25" s="1"/>
        <i x="24" s="1"/>
        <i x="33" s="1"/>
        <i x="46" s="1"/>
        <i x="47" s="1"/>
        <i x="48" s="1"/>
        <i x="23" s="1"/>
        <i x="55" s="1"/>
        <i x="40" s="1"/>
        <i x="64" s="1"/>
        <i x="60" s="1"/>
        <i x="74" s="1"/>
        <i x="65" s="1"/>
        <i x="58" s="1"/>
        <i x="4" s="1"/>
        <i x="68" s="1"/>
        <i x="39" s="1"/>
        <i x="11" s="1"/>
        <i x="71" s="1"/>
        <i x="63" s="1"/>
        <i x="69" s="1"/>
        <i x="10" s="1"/>
        <i x="53" s="1"/>
        <i x="36" s="1"/>
        <i x="3" s="1"/>
        <i x="87" s="1" nd="1"/>
        <i x="90" s="1" nd="1"/>
        <i x="77" s="1" nd="1"/>
        <i x="114" s="1" nd="1"/>
        <i x="93" s="1" nd="1"/>
        <i x="110" s="1" nd="1"/>
        <i x="92" s="1" nd="1"/>
        <i x="96" s="1" nd="1"/>
        <i x="81" s="1" nd="1"/>
        <i x="102" s="1" nd="1"/>
        <i x="103" s="1" nd="1"/>
        <i x="107" s="1" nd="1"/>
        <i x="101" s="1" nd="1"/>
        <i x="84" s="1" nd="1"/>
        <i x="100" s="1" nd="1"/>
        <i x="97" s="1" nd="1"/>
        <i x="113" s="1" nd="1"/>
        <i x="85" s="1" nd="1"/>
        <i x="88" s="1" nd="1"/>
        <i x="116" s="1" nd="1"/>
        <i x="89" s="1" nd="1"/>
        <i x="83" s="1" nd="1"/>
        <i x="86" s="1" nd="1"/>
        <i x="111" s="1" nd="1"/>
        <i x="80" s="1" nd="1"/>
        <i x="115" s="1" nd="1"/>
        <i x="99" s="1" nd="1"/>
        <i x="82" s="1" nd="1"/>
        <i x="91" s="1" nd="1"/>
        <i x="112" s="1" nd="1"/>
        <i x="94" s="1" nd="1"/>
        <i x="108" s="1" nd="1"/>
        <i x="95" s="1" nd="1"/>
        <i x="79" s="1" nd="1"/>
        <i x="78" s="1" nd="1"/>
        <i x="105" s="1" nd="1"/>
        <i x="106" s="1" nd="1"/>
        <i x="76" s="1" nd="1"/>
        <i x="109" s="1" nd="1"/>
        <i x="104" s="1" nd="1"/>
        <i x="98" s="1" nd="1"/>
        <i x="7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OBSERVACIONES" sourceName="OBSERVACIONES">
  <pivotTables>
    <pivotTable tabId="15" name="Proyecto"/>
  </pivotTables>
  <data>
    <tabular pivotCacheId="9">
      <items count="2">
        <i x="1" s="1"/>
        <i x="0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ESTADO1" sourceName="ESTADO">
  <pivotTables>
    <pivotTable tabId="23" name="Tabla dinámica3"/>
  </pivotTables>
  <data>
    <tabular pivotCacheId="8">
      <items count="2">
        <i x="1"/>
        <i x="0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Clientes2" sourceName="Clientes">
  <pivotTables>
    <pivotTable tabId="27" name="Tabla dinámica5"/>
  </pivotTables>
  <data>
    <tabular pivotCacheId="10">
      <items count="21">
        <i x="4" s="1"/>
        <i x="5" s="1"/>
        <i x="12" s="1"/>
        <i x="2" s="1"/>
        <i x="0" s="1"/>
        <i x="11" s="1"/>
        <i x="15" s="1"/>
        <i x="13" s="1"/>
        <i x="20" s="1"/>
        <i x="19" s="1"/>
        <i x="3" s="1"/>
        <i x="7" s="1"/>
        <i x="9" s="1"/>
        <i x="16" s="1"/>
        <i x="8" s="1"/>
        <i x="18" s="1"/>
        <i x="6" s="1"/>
        <i x="14" s="1"/>
        <i x="1" s="1"/>
        <i x="17" s="1"/>
        <i x="1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RESPONSABLE2" sourceName="RESPONSABLE">
  <pivotTables>
    <pivotTable tabId="27" name="Tabla dinámica5"/>
  </pivotTables>
  <data>
    <tabular pivotCacheId="10">
      <items count="65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  <i x="31" s="1"/>
        <i x="32" s="1"/>
        <i x="33" s="1"/>
        <i x="34" s="1"/>
        <i x="35" s="1"/>
        <i x="36" s="1"/>
        <i x="37" s="1"/>
        <i x="38" s="1"/>
        <i x="39" s="1"/>
        <i x="40" s="1"/>
        <i x="41" s="1"/>
        <i x="42" s="1"/>
        <i x="43" s="1"/>
        <i x="44" s="1"/>
        <i x="45" s="1"/>
        <i x="46" s="1"/>
        <i x="47" s="1"/>
        <i x="48" s="1"/>
        <i x="49" s="1"/>
        <i x="50" s="1"/>
        <i x="51" s="1"/>
        <i x="52" s="1"/>
        <i x="53" s="1"/>
        <i x="54" s="1"/>
        <i x="55" s="1"/>
        <i x="56" s="1"/>
        <i x="57" s="1"/>
        <i x="58" s="1"/>
        <i x="59" s="1"/>
        <i x="60" s="1"/>
        <i x="61" s="1"/>
        <i x="62" s="1"/>
        <i x="63" s="1"/>
        <i x="64" s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ESTADO2" sourceName="ESTADO">
  <pivotTables>
    <pivotTable tabId="79" name="Tabla dinámica1"/>
  </pivotTables>
  <data>
    <tabular pivotCacheId="11">
      <items count="3">
        <i x="2"/>
        <i x="1" s="1"/>
        <i x="0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CLIENTES3" sourceName="CLIENTES">
  <pivotTables>
    <pivotTable tabId="79" name="Tabla dinámica1"/>
  </pivotTables>
  <data>
    <tabular pivotCacheId="11">
      <items count="17">
        <i x="5" s="1"/>
        <i x="15" s="1"/>
        <i x="9" s="1"/>
        <i x="12" s="1"/>
        <i x="8" s="1"/>
        <i x="6" s="1"/>
        <i x="7" s="1"/>
        <i x="14" s="1"/>
        <i x="13" s="1"/>
        <i x="11" s="1"/>
        <i x="4" s="1"/>
        <i x="0" s="1" nd="1"/>
        <i x="10" s="1" nd="1"/>
        <i x="1" s="1" nd="1"/>
        <i x="16" s="1" nd="1"/>
        <i x="3" s="1" nd="1"/>
        <i x="2" s="1" nd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YECTOS" sourceName="PROYECTOS">
  <pivotTables>
    <pivotTable tabId="15" name="Proyecto"/>
  </pivotTables>
  <data>
    <tabular pivotCacheId="9">
      <items count="49">
        <i x="37" s="1"/>
        <i x="6" s="1"/>
        <i x="16" s="1"/>
        <i x="19" s="1"/>
        <i x="10" s="1"/>
        <i x="11" s="1"/>
        <i x="2" s="1"/>
        <i x="36" s="1"/>
        <i x="40" s="1"/>
        <i x="3" s="1"/>
        <i x="0" s="1"/>
        <i x="25" s="1"/>
        <i x="29" s="1"/>
        <i x="7" s="1"/>
        <i x="28" s="1"/>
        <i x="27" s="1"/>
        <i x="9" s="1"/>
        <i x="34" s="1"/>
        <i x="13" s="1"/>
        <i x="20" s="1"/>
        <i x="22" s="1"/>
        <i x="1" s="1"/>
        <i x="23" s="1"/>
        <i x="38" s="1"/>
        <i x="24" s="1"/>
        <i x="33" s="1"/>
        <i x="32" s="1"/>
        <i x="12" s="1"/>
        <i x="15" s="1"/>
        <i x="35" s="1"/>
        <i x="30" s="1"/>
        <i x="39" s="1"/>
        <i x="8" s="1"/>
        <i x="14" s="1"/>
        <i x="21" s="1"/>
        <i x="26" s="1"/>
        <i x="17" s="1"/>
        <i x="31" s="1"/>
        <i x="18" s="1"/>
        <i x="5" s="1"/>
        <i x="4" s="1"/>
        <i x="45" s="1" nd="1"/>
        <i x="43" s="1" nd="1"/>
        <i x="42" s="1" nd="1"/>
        <i x="47" s="1" nd="1"/>
        <i x="46" s="1" nd="1"/>
        <i x="44" s="1" nd="1"/>
        <i x="48" s="1" nd="1"/>
        <i x="4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RESPONSABLE1" sourceName="RESPONSABLE">
  <extLst>
    <x:ext xmlns:x15="http://schemas.microsoft.com/office/spreadsheetml/2010/11/main" uri="{2F2917AC-EB37-4324-AD4E-5DD8C200BD13}">
      <x15:tableSlicerCache tableId="2" column="1"/>
    </x:ext>
  </extLst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CLIENTES1" sourceName="CLIENTES">
  <extLst>
    <x:ext xmlns:x15="http://schemas.microsoft.com/office/spreadsheetml/2010/11/main" uri="{2F2917AC-EB37-4324-AD4E-5DD8C200BD13}">
      <x15:tableSlicerCache tableId="2" column="2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ESTADO 2" cache="SegmentaciónDeDatos_ESTADO2" caption="ESTADO" style="SlicerStyleLight6" rowHeight="241300"/>
  <slicer name="CLIENTES 3" cache="SegmentaciónDeDatos_CLIENTES3" caption="CLIENTES" startItem="3" style="SlicerStyleLight4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RESPONSABLE 1" cache="SegmentaciónDeDatos_RESPONSABLE1" caption="RESPONSABLE" rowHeight="241300"/>
  <slicer name="CLIENTES 1" cache="SegmentaciónDeDatos_CLIENTES1" caption="CLIENTES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ESTADO" cache="SegmentaciónDeDatos_ESTADO" caption="ESTADO" lockedPosition="1" rowHeight="241300"/>
  <slicer name="RESPONSABLE" cache="SegmentaciónDeDatos_RESPONSABLE" caption="RESPONSABLE" lockedPosition="1" rowHeight="1620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Clientes 2" cache="SegmentaciónDeDatos_Clientes2" caption="Clientes" startItem="7" rowHeight="241300"/>
  <slicer name="RESPONSABLE 2" cache="SegmentaciónDeDatos_RESPONSABLE2" caption="RESPONSABLE" startItem="13" rowHeight="2413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CLIENTES" cache="SegmentaciónDeDatos_CLIENTES" caption="CLIENTES" rowHeight="162000"/>
  <slicer name="DESCRIPCION" cache="SegmentaciónDeDatos_DESCRIPCION" caption="DESCRIPCION DE PROYECTO" rowHeight="241300"/>
  <slicer name="EST. PROYECTO" cache="SegmentaciónDeDatos_EST._PROYECTO" caption="EST. PROYECTO" rowHeight="241300"/>
  <slicer name="OBSERVACIONES" cache="SegmentaciónDeDatos_OBSERVACIONES" caption="OBSERVACIONES" rowHeight="241300"/>
  <slicer name="PROYECTOS" cache="SegmentaciónDeDatos_PROYECTOS" caption="PROYECTOS" startItem="2" rowHeight="241300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ESTADO 1" cache="SegmentaciónDeDatos_ESTADO1" caption="ESTADO" rowHeight="241300"/>
</slicers>
</file>

<file path=xl/tables/table1.xml><?xml version="1.0" encoding="utf-8"?>
<table xmlns="http://schemas.openxmlformats.org/spreadsheetml/2006/main" id="2" name="Tabla2" displayName="Tabla2" ref="B4:J83" totalsRowShown="0" headerRowDxfId="2411" headerRowBorderDxfId="2410" tableBorderDxfId="2409" totalsRowBorderDxfId="2408">
  <autoFilter ref="B4:J83"/>
  <sortState ref="B5:J83">
    <sortCondition ref="B5"/>
  </sortState>
  <tableColumns count="9">
    <tableColumn id="1" name="RESPONSABLE" dataDxfId="2407"/>
    <tableColumn id="2" name="CLIENTES" dataDxfId="2406"/>
    <tableColumn id="3" name="PROYECTOS" dataDxfId="2405"/>
    <tableColumn id="4" name="Junio  01-02" dataDxfId="2404"/>
    <tableColumn id="5" name="Junio  05-09" dataDxfId="2403"/>
    <tableColumn id="6" name="Junio  12-16" dataDxfId="2402"/>
    <tableColumn id="7" name="Junio  19-23" dataDxfId="2401"/>
    <tableColumn id="8" name="Junio  26-30" dataDxfId="2400"/>
    <tableColumn id="9" name="TOTAL JUNIO" dataDxfId="2399">
      <calculatedColumnFormula>SUM(E5:I5)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A1:J36" totalsRowCount="1" headerRowDxfId="2216" dataDxfId="2215" tableBorderDxfId="2214">
  <autoFilter ref="A1:J35"/>
  <tableColumns count="10">
    <tableColumn id="1" name="RESPONSABLE" dataDxfId="2213" totalsRowDxfId="2212"/>
    <tableColumn id="2" name="CLIENTES" dataDxfId="2211" totalsRowDxfId="2210"/>
    <tableColumn id="3" name="PROYECTOS" dataDxfId="2209" totalsRowDxfId="2208"/>
    <tableColumn id="4" name=".Mayo  02 - 05" dataDxfId="2207" totalsRowDxfId="2206"/>
    <tableColumn id="5" name=".Mayo  08 - 12" dataDxfId="2205" totalsRowDxfId="2204"/>
    <tableColumn id="6" name=".Mayo  15 - 19" dataDxfId="2203" totalsRowDxfId="2202"/>
    <tableColumn id="7" name=".Mayo  22 - 26" dataDxfId="2201" totalsRowDxfId="2200"/>
    <tableColumn id="8" name=".Mayo  29 - 31" totalsRowLabel="TOTAL" dataDxfId="2199" totalsRowDxfId="2198"/>
    <tableColumn id="9" name="Total Mayo" totalsRowFunction="custom" dataDxfId="2197" totalsRowDxfId="2196">
      <calculatedColumnFormula>SUM(D2:H2)</calculatedColumnFormula>
      <totalsRowFormula>SUBTOTAL(9,Tabla1[Total Mayo])</totalsRowFormula>
    </tableColumn>
    <tableColumn id="11" name="Observaciones" dataDxfId="219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.xml"/><Relationship Id="rId4" Type="http://schemas.microsoft.com/office/2007/relationships/slicer" Target="../slicers/slicer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3.xml"/><Relationship Id="rId4" Type="http://schemas.microsoft.com/office/2007/relationships/slicer" Target="../slicers/slicer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4.xml"/><Relationship Id="rId4" Type="http://schemas.microsoft.com/office/2007/relationships/slicer" Target="../slicers/slicer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0.xml.rels><?xml version="1.0" encoding="UTF-8" standalone="yes"?>
<Relationships xmlns="http://schemas.openxmlformats.org/package/2006/relationships"><Relationship Id="rId3" Type="http://schemas.microsoft.com/office/2007/relationships/slicer" Target="../slicers/slicer6.x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5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6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H76"/>
  <sheetViews>
    <sheetView topLeftCell="E1" workbookViewId="0">
      <selection activeCell="H16" sqref="H16"/>
    </sheetView>
  </sheetViews>
  <sheetFormatPr baseColWidth="10" defaultRowHeight="12.75" x14ac:dyDescent="0.2"/>
  <cols>
    <col min="1" max="1" width="11.42578125" style="3"/>
    <col min="2" max="2" width="34.28515625" style="3" bestFit="1" customWidth="1"/>
    <col min="3" max="3" width="13" style="3" bestFit="1" customWidth="1"/>
    <col min="4" max="5" width="11.42578125" style="3"/>
    <col min="6" max="6" width="34.85546875" style="3" bestFit="1" customWidth="1"/>
    <col min="7" max="7" width="11.42578125" style="3"/>
    <col min="8" max="8" width="34.5703125" style="3" bestFit="1" customWidth="1"/>
    <col min="9" max="16384" width="11.42578125" style="3"/>
  </cols>
  <sheetData>
    <row r="1" spans="1:8" x14ac:dyDescent="0.2">
      <c r="A1" s="5" t="s">
        <v>41</v>
      </c>
      <c r="B1" s="5" t="s">
        <v>40</v>
      </c>
      <c r="F1" s="39" t="s">
        <v>40</v>
      </c>
      <c r="H1" s="11" t="s">
        <v>72</v>
      </c>
    </row>
    <row r="2" spans="1:8" x14ac:dyDescent="0.2">
      <c r="A2" s="37" t="s">
        <v>27</v>
      </c>
      <c r="B2" s="2" t="s">
        <v>28</v>
      </c>
      <c r="C2" s="3" t="s">
        <v>158</v>
      </c>
      <c r="F2" s="3" t="s">
        <v>34</v>
      </c>
      <c r="H2" s="15" t="s">
        <v>34</v>
      </c>
    </row>
    <row r="3" spans="1:8" x14ac:dyDescent="0.2">
      <c r="A3" s="37">
        <v>71425281</v>
      </c>
      <c r="B3" s="2" t="s">
        <v>29</v>
      </c>
      <c r="C3" s="3" t="s">
        <v>158</v>
      </c>
      <c r="F3" s="3" t="s">
        <v>111</v>
      </c>
      <c r="H3" s="15" t="s">
        <v>111</v>
      </c>
    </row>
    <row r="4" spans="1:8" x14ac:dyDescent="0.2">
      <c r="A4" s="37">
        <v>10459302</v>
      </c>
      <c r="B4" s="2" t="s">
        <v>30</v>
      </c>
      <c r="C4" s="3" t="s">
        <v>158</v>
      </c>
      <c r="F4" s="3" t="s">
        <v>13</v>
      </c>
      <c r="H4" s="18" t="s">
        <v>13</v>
      </c>
    </row>
    <row r="5" spans="1:8" x14ac:dyDescent="0.2">
      <c r="A5" s="37">
        <v>46786827</v>
      </c>
      <c r="B5" s="2" t="s">
        <v>31</v>
      </c>
      <c r="C5" s="3" t="s">
        <v>158</v>
      </c>
      <c r="F5" s="3" t="s">
        <v>22</v>
      </c>
      <c r="H5" s="18" t="s">
        <v>22</v>
      </c>
    </row>
    <row r="6" spans="1:8" x14ac:dyDescent="0.2">
      <c r="A6" s="37">
        <v>43672248</v>
      </c>
      <c r="B6" s="2" t="s">
        <v>32</v>
      </c>
      <c r="C6" s="3" t="s">
        <v>158</v>
      </c>
      <c r="F6" s="3" t="s">
        <v>30</v>
      </c>
      <c r="H6" s="15" t="s">
        <v>30</v>
      </c>
    </row>
    <row r="7" spans="1:8" x14ac:dyDescent="0.2">
      <c r="A7" s="37">
        <v>43312981</v>
      </c>
      <c r="B7" s="2" t="s">
        <v>33</v>
      </c>
      <c r="C7" s="3" t="s">
        <v>158</v>
      </c>
      <c r="F7" s="3" t="s">
        <v>39</v>
      </c>
      <c r="H7" s="15" t="s">
        <v>39</v>
      </c>
    </row>
    <row r="8" spans="1:8" ht="15" x14ac:dyDescent="0.25">
      <c r="A8" s="37">
        <v>40781649</v>
      </c>
      <c r="B8" s="2" t="s">
        <v>34</v>
      </c>
      <c r="C8" s="3" t="s">
        <v>158</v>
      </c>
      <c r="F8" t="s">
        <v>38</v>
      </c>
      <c r="H8" s="15" t="s">
        <v>38</v>
      </c>
    </row>
    <row r="9" spans="1:8" ht="15" x14ac:dyDescent="0.25">
      <c r="A9" s="37">
        <v>75448111</v>
      </c>
      <c r="B9" s="2" t="s">
        <v>35</v>
      </c>
      <c r="C9" s="3" t="s">
        <v>158</v>
      </c>
      <c r="F9" t="s">
        <v>28</v>
      </c>
      <c r="H9" s="15" t="s">
        <v>28</v>
      </c>
    </row>
    <row r="10" spans="1:8" ht="15" x14ac:dyDescent="0.25">
      <c r="A10" s="37">
        <v>44494372</v>
      </c>
      <c r="B10" s="2" t="s">
        <v>36</v>
      </c>
      <c r="C10" s="3" t="s">
        <v>158</v>
      </c>
      <c r="F10" t="s">
        <v>112</v>
      </c>
      <c r="H10" s="19" t="s">
        <v>112</v>
      </c>
    </row>
    <row r="11" spans="1:8" ht="15" x14ac:dyDescent="0.25">
      <c r="A11" s="37">
        <v>41867552</v>
      </c>
      <c r="B11" s="2" t="s">
        <v>37</v>
      </c>
      <c r="C11" s="3" t="s">
        <v>158</v>
      </c>
      <c r="F11" t="s">
        <v>35</v>
      </c>
      <c r="H11" s="19" t="s">
        <v>35</v>
      </c>
    </row>
    <row r="12" spans="1:8" ht="15" x14ac:dyDescent="0.25">
      <c r="A12" s="37">
        <v>43978421</v>
      </c>
      <c r="B12" s="2" t="s">
        <v>38</v>
      </c>
      <c r="C12" s="3" t="s">
        <v>159</v>
      </c>
      <c r="F12" t="s">
        <v>36</v>
      </c>
      <c r="H12" s="19" t="s">
        <v>36</v>
      </c>
    </row>
    <row r="13" spans="1:8" ht="15" x14ac:dyDescent="0.25">
      <c r="A13" s="37">
        <v>43115047</v>
      </c>
      <c r="B13" s="2" t="s">
        <v>39</v>
      </c>
      <c r="C13" s="3" t="s">
        <v>158</v>
      </c>
      <c r="F13" t="s">
        <v>37</v>
      </c>
      <c r="H13" s="19" t="s">
        <v>37</v>
      </c>
    </row>
    <row r="14" spans="1:8" ht="15" x14ac:dyDescent="0.25">
      <c r="A14" s="38">
        <v>40154970</v>
      </c>
      <c r="B14" s="4" t="s">
        <v>0</v>
      </c>
      <c r="C14" s="3" t="s">
        <v>161</v>
      </c>
      <c r="F14" t="s">
        <v>99</v>
      </c>
      <c r="H14" s="19" t="s">
        <v>99</v>
      </c>
    </row>
    <row r="15" spans="1:8" ht="15" x14ac:dyDescent="0.25">
      <c r="A15" s="38">
        <v>47260950</v>
      </c>
      <c r="B15" s="4" t="s">
        <v>1</v>
      </c>
      <c r="C15" s="3" t="s">
        <v>161</v>
      </c>
      <c r="F15" t="s">
        <v>110</v>
      </c>
      <c r="H15" s="19" t="s">
        <v>110</v>
      </c>
    </row>
    <row r="16" spans="1:8" ht="15" x14ac:dyDescent="0.25">
      <c r="A16" s="38">
        <v>41212127</v>
      </c>
      <c r="B16" s="4" t="s">
        <v>2</v>
      </c>
      <c r="C16" s="3" t="s">
        <v>161</v>
      </c>
      <c r="F16" t="s">
        <v>100</v>
      </c>
      <c r="H16" s="19" t="s">
        <v>100</v>
      </c>
    </row>
    <row r="17" spans="1:8" ht="15" x14ac:dyDescent="0.25">
      <c r="A17" s="38">
        <v>44330937</v>
      </c>
      <c r="B17" s="4" t="s">
        <v>3</v>
      </c>
      <c r="C17" s="3" t="s">
        <v>160</v>
      </c>
      <c r="F17" t="s">
        <v>33</v>
      </c>
      <c r="H17" s="19" t="s">
        <v>33</v>
      </c>
    </row>
    <row r="18" spans="1:8" ht="15" x14ac:dyDescent="0.25">
      <c r="A18" s="38">
        <v>10496329</v>
      </c>
      <c r="B18" s="4" t="s">
        <v>4</v>
      </c>
      <c r="C18" s="3" t="s">
        <v>161</v>
      </c>
      <c r="F18" t="s">
        <v>106</v>
      </c>
      <c r="H18" s="19" t="s">
        <v>106</v>
      </c>
    </row>
    <row r="19" spans="1:8" ht="15" x14ac:dyDescent="0.25">
      <c r="A19" s="38">
        <v>40528246</v>
      </c>
      <c r="B19" s="4" t="s">
        <v>5</v>
      </c>
      <c r="C19" s="3" t="s">
        <v>160</v>
      </c>
      <c r="F19" t="s">
        <v>32</v>
      </c>
      <c r="H19" s="19" t="s">
        <v>32</v>
      </c>
    </row>
    <row r="20" spans="1:8" ht="15" x14ac:dyDescent="0.25">
      <c r="A20" s="38">
        <v>44812328</v>
      </c>
      <c r="B20" s="4" t="s">
        <v>6</v>
      </c>
      <c r="C20" s="3" t="s">
        <v>160</v>
      </c>
      <c r="F20" t="s">
        <v>31</v>
      </c>
      <c r="H20" s="19" t="s">
        <v>31</v>
      </c>
    </row>
    <row r="21" spans="1:8" ht="15" x14ac:dyDescent="0.25">
      <c r="A21" s="38">
        <v>48274687</v>
      </c>
      <c r="B21" s="4" t="s">
        <v>7</v>
      </c>
      <c r="C21" s="3" t="s">
        <v>161</v>
      </c>
      <c r="F21" t="s">
        <v>29</v>
      </c>
      <c r="H21" s="19" t="s">
        <v>29</v>
      </c>
    </row>
    <row r="22" spans="1:8" ht="15" x14ac:dyDescent="0.25">
      <c r="A22" s="38">
        <v>44220926</v>
      </c>
      <c r="B22" s="4" t="s">
        <v>8</v>
      </c>
      <c r="C22" s="3" t="s">
        <v>160</v>
      </c>
      <c r="F22" t="s">
        <v>108</v>
      </c>
      <c r="H22" s="20" t="s">
        <v>108</v>
      </c>
    </row>
    <row r="23" spans="1:8" ht="15" x14ac:dyDescent="0.25">
      <c r="A23" s="38">
        <v>71960800</v>
      </c>
      <c r="B23" s="4" t="s">
        <v>9</v>
      </c>
      <c r="C23" s="3" t="s">
        <v>160</v>
      </c>
      <c r="F23" t="s">
        <v>107</v>
      </c>
      <c r="H23" s="20" t="s">
        <v>107</v>
      </c>
    </row>
    <row r="24" spans="1:8" ht="15" x14ac:dyDescent="0.25">
      <c r="A24" s="38">
        <v>46952613</v>
      </c>
      <c r="B24" s="4" t="s">
        <v>10</v>
      </c>
      <c r="C24" s="3" t="s">
        <v>159</v>
      </c>
      <c r="F24" t="s">
        <v>101</v>
      </c>
      <c r="H24" s="20" t="s">
        <v>101</v>
      </c>
    </row>
    <row r="25" spans="1:8" ht="15" x14ac:dyDescent="0.25">
      <c r="A25" s="38">
        <v>25613991</v>
      </c>
      <c r="B25" s="4" t="s">
        <v>11</v>
      </c>
      <c r="C25" s="3" t="s">
        <v>160</v>
      </c>
      <c r="F25" t="s">
        <v>134</v>
      </c>
      <c r="H25" s="20" t="s">
        <v>134</v>
      </c>
    </row>
    <row r="26" spans="1:8" ht="15" x14ac:dyDescent="0.25">
      <c r="A26" s="38">
        <v>42942291</v>
      </c>
      <c r="B26" s="4" t="s">
        <v>12</v>
      </c>
      <c r="C26" s="3" t="s">
        <v>161</v>
      </c>
      <c r="F26" t="s">
        <v>102</v>
      </c>
      <c r="H26" s="20" t="s">
        <v>102</v>
      </c>
    </row>
    <row r="27" spans="1:8" ht="15" x14ac:dyDescent="0.25">
      <c r="A27" s="38">
        <v>47303973</v>
      </c>
      <c r="B27" s="4" t="s">
        <v>13</v>
      </c>
      <c r="C27" s="3" t="s">
        <v>160</v>
      </c>
      <c r="F27" t="s">
        <v>109</v>
      </c>
      <c r="H27" s="20" t="s">
        <v>109</v>
      </c>
    </row>
    <row r="28" spans="1:8" ht="15" x14ac:dyDescent="0.25">
      <c r="A28" s="38">
        <v>80444287</v>
      </c>
      <c r="B28" s="4" t="s">
        <v>14</v>
      </c>
      <c r="C28" s="3" t="s">
        <v>160</v>
      </c>
      <c r="F28"/>
    </row>
    <row r="29" spans="1:8" ht="15" x14ac:dyDescent="0.25">
      <c r="A29" s="38">
        <v>44737681</v>
      </c>
      <c r="B29" s="4" t="s">
        <v>15</v>
      </c>
      <c r="C29" s="3" t="s">
        <v>160</v>
      </c>
      <c r="F29"/>
    </row>
    <row r="30" spans="1:8" ht="15" x14ac:dyDescent="0.25">
      <c r="A30" s="38">
        <v>70441516</v>
      </c>
      <c r="B30" s="4" t="s">
        <v>16</v>
      </c>
      <c r="C30" s="3" t="s">
        <v>159</v>
      </c>
      <c r="F30"/>
    </row>
    <row r="31" spans="1:8" ht="15" x14ac:dyDescent="0.25">
      <c r="A31" s="38">
        <v>41229380</v>
      </c>
      <c r="B31" s="4" t="s">
        <v>17</v>
      </c>
      <c r="C31" s="3" t="s">
        <v>159</v>
      </c>
      <c r="F31"/>
    </row>
    <row r="32" spans="1:8" ht="15" x14ac:dyDescent="0.25">
      <c r="A32" s="38">
        <v>43227982</v>
      </c>
      <c r="B32" s="4" t="s">
        <v>18</v>
      </c>
      <c r="C32" s="3" t="s">
        <v>161</v>
      </c>
      <c r="F32"/>
    </row>
    <row r="33" spans="1:6" ht="15" x14ac:dyDescent="0.25">
      <c r="A33" s="38">
        <v>44916267</v>
      </c>
      <c r="B33" s="4" t="s">
        <v>19</v>
      </c>
      <c r="C33" s="3" t="s">
        <v>160</v>
      </c>
      <c r="F33"/>
    </row>
    <row r="34" spans="1:6" ht="15" x14ac:dyDescent="0.25">
      <c r="A34" s="38">
        <v>70580293</v>
      </c>
      <c r="B34" s="4" t="s">
        <v>20</v>
      </c>
      <c r="C34" s="3" t="s">
        <v>162</v>
      </c>
      <c r="F34"/>
    </row>
    <row r="35" spans="1:6" ht="15" x14ac:dyDescent="0.25">
      <c r="A35" s="38">
        <v>43928213</v>
      </c>
      <c r="B35" s="4" t="s">
        <v>21</v>
      </c>
      <c r="C35" s="3" t="s">
        <v>160</v>
      </c>
      <c r="D35" s="3" t="s">
        <v>163</v>
      </c>
      <c r="F35"/>
    </row>
    <row r="36" spans="1:6" ht="15" x14ac:dyDescent="0.25">
      <c r="A36" s="38">
        <v>45047196</v>
      </c>
      <c r="B36" s="4" t="s">
        <v>22</v>
      </c>
      <c r="C36" s="3" t="s">
        <v>161</v>
      </c>
      <c r="F36"/>
    </row>
    <row r="37" spans="1:6" ht="15" x14ac:dyDescent="0.25">
      <c r="A37" s="38">
        <v>10217597</v>
      </c>
      <c r="B37" s="4" t="s">
        <v>23</v>
      </c>
      <c r="C37" s="3" t="s">
        <v>160</v>
      </c>
      <c r="F37"/>
    </row>
    <row r="38" spans="1:6" ht="15" x14ac:dyDescent="0.25">
      <c r="A38" s="38">
        <v>70155057</v>
      </c>
      <c r="B38" s="4" t="s">
        <v>24</v>
      </c>
      <c r="C38" s="3" t="s">
        <v>159</v>
      </c>
      <c r="F38"/>
    </row>
    <row r="39" spans="1:6" ht="15" x14ac:dyDescent="0.25">
      <c r="A39" s="38">
        <v>46995501</v>
      </c>
      <c r="B39" s="4" t="s">
        <v>25</v>
      </c>
      <c r="C39" s="3" t="s">
        <v>160</v>
      </c>
      <c r="F39"/>
    </row>
    <row r="40" spans="1:6" ht="15" x14ac:dyDescent="0.25">
      <c r="A40" s="38">
        <v>44675764</v>
      </c>
      <c r="B40" s="4" t="s">
        <v>26</v>
      </c>
      <c r="C40" s="3" t="s">
        <v>160</v>
      </c>
      <c r="F40"/>
    </row>
    <row r="41" spans="1:6" ht="15" x14ac:dyDescent="0.25">
      <c r="A41" s="5"/>
      <c r="B41" s="5"/>
      <c r="F41"/>
    </row>
    <row r="42" spans="1:6" ht="15" x14ac:dyDescent="0.25">
      <c r="A42" s="5"/>
      <c r="B42" s="5"/>
      <c r="F42"/>
    </row>
    <row r="43" spans="1:6" ht="15" x14ac:dyDescent="0.25">
      <c r="A43" s="5"/>
      <c r="B43" s="5"/>
      <c r="F43"/>
    </row>
    <row r="44" spans="1:6" ht="15" x14ac:dyDescent="0.25">
      <c r="A44" s="5"/>
      <c r="B44" s="5"/>
      <c r="F44"/>
    </row>
    <row r="45" spans="1:6" ht="15" x14ac:dyDescent="0.25">
      <c r="A45" s="5"/>
      <c r="B45" s="5"/>
      <c r="F45"/>
    </row>
    <row r="46" spans="1:6" ht="15" x14ac:dyDescent="0.25">
      <c r="A46" s="5"/>
      <c r="B46" s="5"/>
      <c r="F46"/>
    </row>
    <row r="47" spans="1:6" ht="15" x14ac:dyDescent="0.25">
      <c r="A47" s="5"/>
      <c r="B47" s="5"/>
      <c r="F47"/>
    </row>
    <row r="48" spans="1:6" ht="15" x14ac:dyDescent="0.25">
      <c r="A48" s="5"/>
      <c r="B48" s="5"/>
      <c r="F48"/>
    </row>
    <row r="49" spans="1:6" ht="15" x14ac:dyDescent="0.25">
      <c r="A49" s="5"/>
      <c r="B49" s="5"/>
      <c r="F49"/>
    </row>
    <row r="50" spans="1:6" ht="15" x14ac:dyDescent="0.25">
      <c r="A50" s="5"/>
      <c r="B50" s="5"/>
      <c r="F50"/>
    </row>
    <row r="51" spans="1:6" ht="15" x14ac:dyDescent="0.25">
      <c r="A51" s="5"/>
      <c r="B51" s="5"/>
      <c r="F51"/>
    </row>
    <row r="52" spans="1:6" ht="15" x14ac:dyDescent="0.25">
      <c r="A52" s="5"/>
      <c r="B52" s="5"/>
      <c r="F52"/>
    </row>
    <row r="53" spans="1:6" ht="15" x14ac:dyDescent="0.25">
      <c r="A53" s="5"/>
      <c r="B53" s="5"/>
      <c r="F53"/>
    </row>
    <row r="54" spans="1:6" ht="15" x14ac:dyDescent="0.25">
      <c r="A54" s="5"/>
      <c r="B54" s="5"/>
      <c r="F54"/>
    </row>
    <row r="55" spans="1:6" ht="15" x14ac:dyDescent="0.25">
      <c r="A55" s="5"/>
      <c r="B55" s="5"/>
      <c r="F55"/>
    </row>
    <row r="56" spans="1:6" ht="15" x14ac:dyDescent="0.25">
      <c r="A56" s="5"/>
      <c r="B56" s="5"/>
      <c r="F56"/>
    </row>
    <row r="57" spans="1:6" ht="15" x14ac:dyDescent="0.25">
      <c r="A57" s="5"/>
      <c r="B57" s="5"/>
      <c r="F57"/>
    </row>
    <row r="58" spans="1:6" ht="15" x14ac:dyDescent="0.25">
      <c r="F58"/>
    </row>
    <row r="59" spans="1:6" ht="15" x14ac:dyDescent="0.25">
      <c r="F59"/>
    </row>
    <row r="60" spans="1:6" ht="15" x14ac:dyDescent="0.25">
      <c r="F60"/>
    </row>
    <row r="61" spans="1:6" ht="15" x14ac:dyDescent="0.25">
      <c r="F61"/>
    </row>
    <row r="62" spans="1:6" ht="15" x14ac:dyDescent="0.25">
      <c r="F62"/>
    </row>
    <row r="63" spans="1:6" ht="15" x14ac:dyDescent="0.25">
      <c r="F63"/>
    </row>
    <row r="64" spans="1:6" ht="15" x14ac:dyDescent="0.25">
      <c r="F64"/>
    </row>
    <row r="65" spans="6:6" ht="15" x14ac:dyDescent="0.25">
      <c r="F65"/>
    </row>
    <row r="66" spans="6:6" ht="15" x14ac:dyDescent="0.25">
      <c r="F66"/>
    </row>
    <row r="67" spans="6:6" ht="15" x14ac:dyDescent="0.25">
      <c r="F67"/>
    </row>
    <row r="68" spans="6:6" ht="15" x14ac:dyDescent="0.25">
      <c r="F68"/>
    </row>
    <row r="69" spans="6:6" ht="15" x14ac:dyDescent="0.25">
      <c r="F69"/>
    </row>
    <row r="70" spans="6:6" ht="15" x14ac:dyDescent="0.25">
      <c r="F70"/>
    </row>
    <row r="71" spans="6:6" ht="15" x14ac:dyDescent="0.25">
      <c r="F71"/>
    </row>
    <row r="72" spans="6:6" ht="15" x14ac:dyDescent="0.25">
      <c r="F72"/>
    </row>
    <row r="73" spans="6:6" ht="15" x14ac:dyDescent="0.25">
      <c r="F73"/>
    </row>
    <row r="74" spans="6:6" ht="15" x14ac:dyDescent="0.25">
      <c r="F74"/>
    </row>
    <row r="75" spans="6:6" ht="15" x14ac:dyDescent="0.25">
      <c r="F75"/>
    </row>
    <row r="76" spans="6:6" ht="15" x14ac:dyDescent="0.25">
      <c r="F76"/>
    </row>
  </sheetData>
  <autoFilter ref="A1:C40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0000"/>
  </sheetPr>
  <dimension ref="A1:AQ132"/>
  <sheetViews>
    <sheetView topLeftCell="A7" workbookViewId="0">
      <selection activeCell="A27" sqref="A27:XFD27"/>
    </sheetView>
  </sheetViews>
  <sheetFormatPr baseColWidth="10" defaultRowHeight="15" x14ac:dyDescent="0.25"/>
  <cols>
    <col min="1" max="1" width="18" customWidth="1"/>
    <col min="2" max="2" width="13.42578125" customWidth="1"/>
    <col min="3" max="3" width="12.5703125" style="247" bestFit="1" customWidth="1"/>
    <col min="4" max="4" width="13.5703125" bestFit="1" customWidth="1"/>
    <col min="5" max="5" width="52.28515625" customWidth="1"/>
    <col min="6" max="6" width="13" customWidth="1"/>
    <col min="7" max="7" width="14.7109375" customWidth="1"/>
    <col min="8" max="8" width="13.7109375" style="247" customWidth="1"/>
    <col min="9" max="9" width="13.7109375" customWidth="1"/>
    <col min="10" max="10" width="15" customWidth="1"/>
    <col min="11" max="11" width="12.42578125" style="247" customWidth="1"/>
    <col min="12" max="12" width="11.140625" customWidth="1"/>
  </cols>
  <sheetData>
    <row r="1" spans="1:43" ht="15.75" thickBot="1" x14ac:dyDescent="0.3">
      <c r="A1" s="600" t="s">
        <v>871</v>
      </c>
      <c r="B1" s="601"/>
      <c r="C1" s="121"/>
      <c r="D1" s="121"/>
      <c r="E1" s="594" t="s">
        <v>872</v>
      </c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  <c r="AD1" s="121"/>
      <c r="AE1" s="121"/>
      <c r="AF1" s="121"/>
      <c r="AG1" s="121"/>
      <c r="AH1" s="121"/>
      <c r="AI1" s="121"/>
      <c r="AJ1" s="121"/>
      <c r="AK1" s="121"/>
      <c r="AL1" s="121"/>
      <c r="AM1" s="121"/>
      <c r="AN1" s="121"/>
      <c r="AO1" s="121"/>
      <c r="AP1" s="121"/>
      <c r="AQ1" s="121"/>
    </row>
    <row r="2" spans="1:43" ht="15.75" thickBot="1" x14ac:dyDescent="0.3">
      <c r="A2" s="121"/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  <c r="AK2" s="121"/>
      <c r="AL2" s="121"/>
      <c r="AM2" s="121"/>
      <c r="AN2" s="121"/>
      <c r="AO2" s="121"/>
      <c r="AP2" s="121"/>
      <c r="AQ2" s="121"/>
    </row>
    <row r="3" spans="1:43" ht="45.75" thickBot="1" x14ac:dyDescent="0.3">
      <c r="A3" s="121"/>
      <c r="B3" s="587" t="s">
        <v>74</v>
      </c>
      <c r="C3" s="587" t="s">
        <v>211</v>
      </c>
      <c r="D3" s="587" t="s">
        <v>73</v>
      </c>
      <c r="E3" s="587" t="s">
        <v>133</v>
      </c>
      <c r="F3" s="588" t="s">
        <v>550</v>
      </c>
      <c r="G3" s="589" t="s">
        <v>982</v>
      </c>
      <c r="H3" s="589" t="s">
        <v>983</v>
      </c>
      <c r="I3" s="589" t="s">
        <v>552</v>
      </c>
      <c r="J3" s="590" t="s">
        <v>553</v>
      </c>
      <c r="K3" s="587" t="s">
        <v>919</v>
      </c>
      <c r="L3" s="591" t="s">
        <v>551</v>
      </c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</row>
    <row r="4" spans="1:43" x14ac:dyDescent="0.25">
      <c r="A4" s="121"/>
      <c r="B4" s="545" t="s">
        <v>87</v>
      </c>
      <c r="C4" s="546" t="s">
        <v>218</v>
      </c>
      <c r="D4" s="547" t="s">
        <v>86</v>
      </c>
      <c r="E4" s="548" t="s">
        <v>125</v>
      </c>
      <c r="F4" s="549">
        <f t="shared" ref="F4:F40" si="0">SUMIF(COD_PROY_ING,$B4,ING_17_ENE)+SUMIF(COD_PROY_ING,$B4,ING_17_FEB)+SUMIF(COD_PROY_ING,$B4,ING_17_MAR)+SUMIF(COD_PROY_ING,$B4,ING_17_ABR)+SUMIF(COD_PROY_ING,$B4,ING_17_MAY)+SUMIF(COD_PROY_ING,$B4,ING_17_JUN)+SUMIF(COD_PROY_ING,$B4,ING_17_JUL)+SUMIF(COD_PROY_ING,$B4,ING_17_AGO)+SUMIF(COD_PROY_ING,$B4,ING_17_SEP)+SUMIF(COD_PROY_ING,$B4,ING_17_OCT)+SUMIF(COD_PROY_ING,$B4,ING_17_NOV)+SUMIF(COD_PROY_ING,$B4,ING_17_DIC)</f>
        <v>104250.84745762713</v>
      </c>
      <c r="G4" s="440">
        <f t="shared" ref="G4:G40" si="1">SUMIF(COD_PROY,$B4,MO_17_ENE)+SUMIF(COD_PROY,$B4,MO_17_FEB)+SUMIF(COD_PROY,$B4,MO_17_MAR)+SUMIF(COD_PROY,$B4,MO_17_ABR)+SUMIF(COD_PROY,$B4,MO_17_MAY)+SUMIF(COD_PROY,$B4,MO_17_JUN)+SUMIF(COD_PROY,$B4,MO_17_JUL)+SUMIF(COD_PROY,$B4,MO_17_AGO)+SUMIF(COD_PROY,$B4,MO_17_SEP)+SUMIF(COD_PROY,$B4,MO_17_OCT)+SUMIF(COD_PROY,$B4,MO_17_NOV)+SUMIF(COD_PROY,$B4,MO_17_DIC)</f>
        <v>61027.685425685428</v>
      </c>
      <c r="H4" s="592"/>
      <c r="I4" s="440">
        <f t="shared" ref="I4:I40" si="2">SUMIF(COD_PROY_SC,$B4,SC_17_ENE)+SUMIF(COD_PROY_SC,$B4,SC_17_FEB)+SUMIF(COD_PROY_SC,$B4,SC_17_MAR)+SUMIF(COD_PROY_SC,$B4,SC_17_ABR)+SUMIF(COD_PROY_SC,$B4,SC_17_MAY)+SUMIF(COD_PROY_SC,$B4,SC_17_JUN)+SUMIF(COD_PROY_SC,$B4,SC_17_JUL)+SUMIF(COD_PROY_SC,$B4,SC_17_AGO)+SUMIF(COD_PROY_SC,$B4,SC_17_SET)+SUMIF(COD_PROY_SC,$B4,SC_17_OCT)+SUMIF(COD_PROY_SC,$B4,SC_17_NOV)+SUMIF(COD_PROY_SC,$B4,SC_17_DIC)</f>
        <v>0</v>
      </c>
      <c r="J4" s="550">
        <f t="shared" ref="J4:J40" si="3">F4-G4-I4</f>
        <v>43223.162031941698</v>
      </c>
      <c r="K4" s="558"/>
      <c r="L4" s="554">
        <f t="shared" ref="L4:L35" si="4">IF(F4=0,0,IF(J4&lt;0,0,J4/F4))</f>
        <v>0.41460729659305456</v>
      </c>
      <c r="M4" s="121"/>
      <c r="N4" s="121"/>
      <c r="O4" s="121"/>
      <c r="P4" s="121"/>
      <c r="Q4" s="121"/>
      <c r="R4" s="121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</row>
    <row r="5" spans="1:43" x14ac:dyDescent="0.25">
      <c r="A5" s="121"/>
      <c r="B5" s="528" t="s">
        <v>81</v>
      </c>
      <c r="C5" s="531" t="s">
        <v>218</v>
      </c>
      <c r="D5" s="534" t="s">
        <v>80</v>
      </c>
      <c r="E5" s="541" t="s">
        <v>126</v>
      </c>
      <c r="F5" s="538">
        <f t="shared" si="0"/>
        <v>39782.186440677964</v>
      </c>
      <c r="G5" s="361">
        <f t="shared" si="1"/>
        <v>20109.659090909088</v>
      </c>
      <c r="H5" s="593"/>
      <c r="I5" s="361">
        <f t="shared" si="2"/>
        <v>0</v>
      </c>
      <c r="J5" s="551">
        <f t="shared" si="3"/>
        <v>19672.527349768876</v>
      </c>
      <c r="K5" s="559"/>
      <c r="L5" s="555">
        <f t="shared" si="4"/>
        <v>0.49450593619593974</v>
      </c>
      <c r="M5" s="121"/>
      <c r="N5" s="121"/>
      <c r="O5" s="121"/>
      <c r="P5" s="121"/>
      <c r="Q5" s="121"/>
      <c r="R5" s="121"/>
      <c r="S5" s="121"/>
      <c r="T5" s="121"/>
      <c r="U5" s="121"/>
      <c r="V5" s="121"/>
      <c r="W5" s="121"/>
      <c r="X5" s="121"/>
      <c r="Y5" s="121"/>
      <c r="Z5" s="121"/>
      <c r="AA5" s="121"/>
      <c r="AB5" s="121"/>
      <c r="AC5" s="121"/>
      <c r="AD5" s="121"/>
      <c r="AE5" s="121"/>
    </row>
    <row r="6" spans="1:43" x14ac:dyDescent="0.25">
      <c r="A6" s="121"/>
      <c r="B6" s="528" t="s">
        <v>83</v>
      </c>
      <c r="C6" s="531" t="s">
        <v>218</v>
      </c>
      <c r="D6" s="534" t="s">
        <v>82</v>
      </c>
      <c r="E6" s="541" t="s">
        <v>126</v>
      </c>
      <c r="F6" s="538">
        <f t="shared" si="0"/>
        <v>36424.923728813563</v>
      </c>
      <c r="G6" s="361">
        <f t="shared" si="1"/>
        <v>25126.957070707071</v>
      </c>
      <c r="H6" s="593"/>
      <c r="I6" s="361">
        <f t="shared" si="2"/>
        <v>0</v>
      </c>
      <c r="J6" s="551">
        <f t="shared" si="3"/>
        <v>11297.966658106492</v>
      </c>
      <c r="K6" s="559"/>
      <c r="L6" s="555">
        <f t="shared" si="4"/>
        <v>0.31017131956735855</v>
      </c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</row>
    <row r="7" spans="1:43" x14ac:dyDescent="0.25">
      <c r="A7" s="121"/>
      <c r="B7" s="528" t="s">
        <v>42</v>
      </c>
      <c r="C7" s="531" t="s">
        <v>218</v>
      </c>
      <c r="D7" s="534" t="s">
        <v>44</v>
      </c>
      <c r="E7" s="541" t="s">
        <v>304</v>
      </c>
      <c r="F7" s="538">
        <f t="shared" si="0"/>
        <v>2543139.66</v>
      </c>
      <c r="G7" s="361">
        <f t="shared" si="1"/>
        <v>1376914.4404957965</v>
      </c>
      <c r="H7" s="593"/>
      <c r="I7" s="361">
        <f t="shared" si="2"/>
        <v>187150</v>
      </c>
      <c r="J7" s="551">
        <f t="shared" si="3"/>
        <v>979075.21950420365</v>
      </c>
      <c r="K7" s="559"/>
      <c r="L7" s="555">
        <f t="shared" si="4"/>
        <v>0.3849868078044143</v>
      </c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</row>
    <row r="8" spans="1:43" s="247" customFormat="1" x14ac:dyDescent="0.25">
      <c r="A8" s="121"/>
      <c r="B8" s="528" t="s">
        <v>929</v>
      </c>
      <c r="C8" s="531" t="s">
        <v>218</v>
      </c>
      <c r="D8" s="182" t="s">
        <v>84</v>
      </c>
      <c r="E8" s="541" t="s">
        <v>123</v>
      </c>
      <c r="F8" s="538">
        <f t="shared" si="0"/>
        <v>7000</v>
      </c>
      <c r="G8" s="361">
        <f t="shared" si="1"/>
        <v>4687.0562770562774</v>
      </c>
      <c r="H8" s="593">
        <f t="shared" ref="H8:H40" si="5">SUMIF(COD_PROY_MTZ,$B8,GASTO_PRY)</f>
        <v>7200</v>
      </c>
      <c r="I8" s="361">
        <f t="shared" si="2"/>
        <v>0</v>
      </c>
      <c r="J8" s="551">
        <f>F8-G8-I8</f>
        <v>2312.9437229437226</v>
      </c>
      <c r="K8" s="559">
        <f t="shared" ref="K8:K40" si="6">SUMIF(COD_PROY_ING,$B8,PEND_FACT)</f>
        <v>7000</v>
      </c>
      <c r="L8" s="555">
        <f>IF(F8=0,0,IF(J8&lt;0,0,J8/F8))</f>
        <v>0.33042053184910325</v>
      </c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/>
      <c r="Y8" s="121"/>
      <c r="Z8" s="121"/>
      <c r="AA8" s="121"/>
      <c r="AB8" s="121"/>
      <c r="AC8" s="121"/>
      <c r="AD8" s="121"/>
      <c r="AE8" s="121"/>
    </row>
    <row r="9" spans="1:43" s="247" customFormat="1" x14ac:dyDescent="0.25">
      <c r="A9" s="121"/>
      <c r="B9" s="528" t="s">
        <v>930</v>
      </c>
      <c r="C9" s="531" t="s">
        <v>218</v>
      </c>
      <c r="D9" s="534" t="s">
        <v>50</v>
      </c>
      <c r="E9" s="541" t="s">
        <v>408</v>
      </c>
      <c r="F9" s="538">
        <f t="shared" si="0"/>
        <v>39000</v>
      </c>
      <c r="G9" s="361">
        <f t="shared" si="1"/>
        <v>27357.727272727272</v>
      </c>
      <c r="H9" s="593">
        <f t="shared" si="5"/>
        <v>29750</v>
      </c>
      <c r="I9" s="361">
        <f t="shared" si="2"/>
        <v>0</v>
      </c>
      <c r="J9" s="551">
        <f>F9-G9-I9</f>
        <v>11642.272727272728</v>
      </c>
      <c r="K9" s="559">
        <f t="shared" si="6"/>
        <v>12000</v>
      </c>
      <c r="L9" s="555">
        <f>IF(F9=0,0,IF(J9&lt;0,0,J9/F9))</f>
        <v>0.29851981351981355</v>
      </c>
      <c r="M9" s="121"/>
      <c r="N9" s="121"/>
      <c r="O9" s="121"/>
      <c r="P9" s="121"/>
      <c r="Q9" s="121"/>
      <c r="R9" s="121"/>
      <c r="S9" s="121"/>
      <c r="T9" s="121"/>
      <c r="U9" s="121"/>
      <c r="V9" s="121"/>
      <c r="W9" s="121"/>
      <c r="X9" s="121"/>
      <c r="Y9" s="121"/>
      <c r="Z9" s="121"/>
      <c r="AA9" s="121"/>
      <c r="AB9" s="121"/>
      <c r="AC9" s="121"/>
      <c r="AD9" s="121"/>
      <c r="AE9" s="121"/>
    </row>
    <row r="10" spans="1:43" x14ac:dyDescent="0.25">
      <c r="A10" s="121"/>
      <c r="B10" s="528" t="s">
        <v>43</v>
      </c>
      <c r="C10" s="531" t="s">
        <v>219</v>
      </c>
      <c r="D10" s="534" t="s">
        <v>48</v>
      </c>
      <c r="E10" s="541" t="s">
        <v>128</v>
      </c>
      <c r="F10" s="538">
        <f t="shared" si="0"/>
        <v>71500</v>
      </c>
      <c r="G10" s="361">
        <f t="shared" si="1"/>
        <v>25125.176136363636</v>
      </c>
      <c r="H10" s="593">
        <f t="shared" si="5"/>
        <v>25336</v>
      </c>
      <c r="I10" s="361">
        <f t="shared" si="2"/>
        <v>0</v>
      </c>
      <c r="J10" s="551">
        <f t="shared" si="3"/>
        <v>46374.823863636368</v>
      </c>
      <c r="K10" s="559">
        <f t="shared" si="6"/>
        <v>0</v>
      </c>
      <c r="L10" s="555">
        <f t="shared" si="4"/>
        <v>0.6485989351557534</v>
      </c>
      <c r="M10" s="121"/>
      <c r="N10" s="121"/>
      <c r="O10" s="121"/>
      <c r="P10" s="121"/>
      <c r="Q10" s="121"/>
      <c r="R10" s="121"/>
      <c r="S10" s="121"/>
      <c r="T10" s="121"/>
      <c r="U10" s="121"/>
      <c r="V10" s="121"/>
      <c r="W10" s="121"/>
      <c r="X10" s="121"/>
      <c r="Y10" s="121"/>
      <c r="Z10" s="121"/>
      <c r="AA10" s="121"/>
      <c r="AB10" s="121"/>
      <c r="AC10" s="121"/>
      <c r="AD10" s="121"/>
      <c r="AE10" s="121"/>
    </row>
    <row r="11" spans="1:43" x14ac:dyDescent="0.25">
      <c r="A11" s="121"/>
      <c r="B11" s="528" t="s">
        <v>90</v>
      </c>
      <c r="C11" s="531" t="s">
        <v>219</v>
      </c>
      <c r="D11" s="534" t="s">
        <v>89</v>
      </c>
      <c r="E11" s="541" t="s">
        <v>113</v>
      </c>
      <c r="F11" s="538">
        <f t="shared" si="0"/>
        <v>30712.5</v>
      </c>
      <c r="G11" s="361">
        <f t="shared" si="1"/>
        <v>16079.545454545456</v>
      </c>
      <c r="H11" s="593">
        <f t="shared" si="5"/>
        <v>16080</v>
      </c>
      <c r="I11" s="361">
        <f t="shared" si="2"/>
        <v>0</v>
      </c>
      <c r="J11" s="551">
        <f t="shared" si="3"/>
        <v>14632.954545454544</v>
      </c>
      <c r="K11" s="559">
        <f t="shared" si="6"/>
        <v>0</v>
      </c>
      <c r="L11" s="555">
        <f t="shared" si="4"/>
        <v>0.47644947644947638</v>
      </c>
      <c r="M11" s="121"/>
      <c r="N11" s="121"/>
      <c r="O11" s="121"/>
      <c r="P11" s="121"/>
      <c r="Q11" s="121"/>
      <c r="R11" s="121"/>
      <c r="S11" s="121"/>
      <c r="T11" s="121"/>
      <c r="U11" s="121"/>
      <c r="V11" s="121"/>
      <c r="W11" s="121"/>
      <c r="X11" s="121"/>
      <c r="Y11" s="121"/>
      <c r="Z11" s="121"/>
      <c r="AA11" s="121"/>
      <c r="AB11" s="121"/>
      <c r="AC11" s="121"/>
      <c r="AD11" s="121"/>
      <c r="AE11" s="121"/>
    </row>
    <row r="12" spans="1:43" x14ac:dyDescent="0.25">
      <c r="A12" s="121"/>
      <c r="B12" s="528" t="s">
        <v>95</v>
      </c>
      <c r="C12" s="531" t="s">
        <v>219</v>
      </c>
      <c r="D12" s="534" t="s">
        <v>89</v>
      </c>
      <c r="E12" s="541" t="s">
        <v>165</v>
      </c>
      <c r="F12" s="538">
        <f t="shared" si="0"/>
        <v>73710</v>
      </c>
      <c r="G12" s="361">
        <f t="shared" si="1"/>
        <v>20545.454545454544</v>
      </c>
      <c r="H12" s="593">
        <f t="shared" si="5"/>
        <v>20545</v>
      </c>
      <c r="I12" s="361">
        <f t="shared" si="2"/>
        <v>0</v>
      </c>
      <c r="J12" s="551">
        <f t="shared" si="3"/>
        <v>53164.545454545456</v>
      </c>
      <c r="K12" s="559">
        <f t="shared" si="6"/>
        <v>0</v>
      </c>
      <c r="L12" s="555">
        <f t="shared" si="4"/>
        <v>0.72126638793305464</v>
      </c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</row>
    <row r="13" spans="1:43" ht="15.75" customHeight="1" x14ac:dyDescent="0.25">
      <c r="A13" s="121"/>
      <c r="B13" s="528" t="s">
        <v>77</v>
      </c>
      <c r="C13" s="531" t="s">
        <v>219</v>
      </c>
      <c r="D13" s="534" t="s">
        <v>76</v>
      </c>
      <c r="E13" s="541" t="s">
        <v>115</v>
      </c>
      <c r="F13" s="538">
        <f t="shared" si="0"/>
        <v>23200</v>
      </c>
      <c r="G13" s="361">
        <f t="shared" si="1"/>
        <v>42173.954725829732</v>
      </c>
      <c r="H13" s="593">
        <f t="shared" si="5"/>
        <v>11600</v>
      </c>
      <c r="I13" s="361">
        <f t="shared" si="2"/>
        <v>0</v>
      </c>
      <c r="J13" s="551">
        <f t="shared" si="3"/>
        <v>-18973.954725829732</v>
      </c>
      <c r="K13" s="559">
        <f t="shared" si="6"/>
        <v>0</v>
      </c>
      <c r="L13" s="555">
        <f>IF(F13=0,0,J13/F13)</f>
        <v>-0.81784287611335049</v>
      </c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/>
    </row>
    <row r="14" spans="1:43" x14ac:dyDescent="0.25">
      <c r="A14" s="121"/>
      <c r="B14" s="528" t="s">
        <v>94</v>
      </c>
      <c r="C14" s="531" t="s">
        <v>219</v>
      </c>
      <c r="D14" s="534" t="s">
        <v>93</v>
      </c>
      <c r="E14" s="541" t="s">
        <v>116</v>
      </c>
      <c r="F14" s="538">
        <f t="shared" si="0"/>
        <v>38340</v>
      </c>
      <c r="G14" s="361">
        <f t="shared" si="1"/>
        <v>7573.636363636364</v>
      </c>
      <c r="H14" s="593">
        <f t="shared" si="5"/>
        <v>44730</v>
      </c>
      <c r="I14" s="361">
        <f t="shared" si="2"/>
        <v>0</v>
      </c>
      <c r="J14" s="551">
        <f t="shared" si="3"/>
        <v>30766.363636363636</v>
      </c>
      <c r="K14" s="559">
        <f t="shared" si="6"/>
        <v>0</v>
      </c>
      <c r="L14" s="555">
        <f t="shared" si="4"/>
        <v>0.80246123203869679</v>
      </c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</row>
    <row r="15" spans="1:43" x14ac:dyDescent="0.25">
      <c r="A15" s="121"/>
      <c r="B15" s="528" t="s">
        <v>92</v>
      </c>
      <c r="C15" s="531" t="s">
        <v>217</v>
      </c>
      <c r="D15" s="534" t="s">
        <v>91</v>
      </c>
      <c r="E15" s="541" t="s">
        <v>117</v>
      </c>
      <c r="F15" s="538">
        <f t="shared" si="0"/>
        <v>0</v>
      </c>
      <c r="G15" s="361">
        <f t="shared" si="1"/>
        <v>5341.1773009599101</v>
      </c>
      <c r="H15" s="593">
        <f t="shared" si="5"/>
        <v>4798.32</v>
      </c>
      <c r="I15" s="361">
        <f t="shared" si="2"/>
        <v>0</v>
      </c>
      <c r="J15" s="551">
        <f t="shared" si="3"/>
        <v>-5341.1773009599101</v>
      </c>
      <c r="K15" s="559">
        <f t="shared" si="6"/>
        <v>11675</v>
      </c>
      <c r="L15" s="555">
        <f>IF(F15=0,0,J15/F15)</f>
        <v>0</v>
      </c>
      <c r="M15" s="121"/>
      <c r="N15" s="121"/>
      <c r="O15" s="121"/>
      <c r="P15" s="121"/>
      <c r="Q15" s="121"/>
      <c r="R15" s="121"/>
      <c r="S15" s="121"/>
      <c r="T15" s="121"/>
      <c r="U15" s="121"/>
      <c r="V15" s="121"/>
      <c r="W15" s="121"/>
      <c r="X15" s="121"/>
      <c r="Y15" s="121"/>
      <c r="Z15" s="121"/>
      <c r="AA15" s="121"/>
      <c r="AB15" s="121"/>
      <c r="AC15" s="121"/>
      <c r="AD15" s="121"/>
      <c r="AE15" s="121"/>
    </row>
    <row r="16" spans="1:43" x14ac:dyDescent="0.25">
      <c r="A16" s="121"/>
      <c r="B16" s="528" t="s">
        <v>79</v>
      </c>
      <c r="C16" s="531" t="s">
        <v>219</v>
      </c>
      <c r="D16" s="534" t="s">
        <v>78</v>
      </c>
      <c r="E16" s="541" t="s">
        <v>164</v>
      </c>
      <c r="F16" s="538">
        <f t="shared" si="0"/>
        <v>25423.729644067796</v>
      </c>
      <c r="G16" s="361">
        <f t="shared" si="1"/>
        <v>15094.577876592006</v>
      </c>
      <c r="H16" s="593">
        <f t="shared" si="5"/>
        <v>14275.199999999999</v>
      </c>
      <c r="I16" s="361">
        <f t="shared" si="2"/>
        <v>0</v>
      </c>
      <c r="J16" s="551">
        <f t="shared" si="3"/>
        <v>10329.151767475791</v>
      </c>
      <c r="K16" s="559">
        <f t="shared" si="6"/>
        <v>3.559322030923795E-4</v>
      </c>
      <c r="L16" s="555">
        <f t="shared" si="4"/>
        <v>0.40627995624890251</v>
      </c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</row>
    <row r="17" spans="1:31" x14ac:dyDescent="0.25">
      <c r="A17" s="121"/>
      <c r="B17" s="528" t="s">
        <v>98</v>
      </c>
      <c r="C17" s="531" t="s">
        <v>219</v>
      </c>
      <c r="D17" s="534" t="s">
        <v>78</v>
      </c>
      <c r="E17" s="541" t="s">
        <v>135</v>
      </c>
      <c r="F17" s="538">
        <f t="shared" si="0"/>
        <v>27288.137999999999</v>
      </c>
      <c r="G17" s="361">
        <f t="shared" si="1"/>
        <v>11629.4126984127</v>
      </c>
      <c r="H17" s="593">
        <f t="shared" si="5"/>
        <v>11566.27</v>
      </c>
      <c r="I17" s="361">
        <f t="shared" si="2"/>
        <v>0</v>
      </c>
      <c r="J17" s="551">
        <f t="shared" si="3"/>
        <v>15658.725301587299</v>
      </c>
      <c r="K17" s="559">
        <f t="shared" si="6"/>
        <v>2.0000000004074536E-3</v>
      </c>
      <c r="L17" s="555">
        <f t="shared" si="4"/>
        <v>0.5738290132359819</v>
      </c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</row>
    <row r="18" spans="1:31" x14ac:dyDescent="0.25">
      <c r="A18" s="121"/>
      <c r="B18" s="528" t="s">
        <v>85</v>
      </c>
      <c r="C18" s="531" t="s">
        <v>219</v>
      </c>
      <c r="D18" s="534" t="s">
        <v>84</v>
      </c>
      <c r="E18" s="541" t="s">
        <v>123</v>
      </c>
      <c r="F18" s="538">
        <f t="shared" si="0"/>
        <v>14000</v>
      </c>
      <c r="G18" s="361">
        <f t="shared" si="1"/>
        <v>12787.734487734488</v>
      </c>
      <c r="H18" s="593">
        <f t="shared" si="5"/>
        <v>7000</v>
      </c>
      <c r="I18" s="361">
        <f t="shared" si="2"/>
        <v>0</v>
      </c>
      <c r="J18" s="551">
        <f t="shared" si="3"/>
        <v>1212.2655122655124</v>
      </c>
      <c r="K18" s="559">
        <f t="shared" si="6"/>
        <v>0</v>
      </c>
      <c r="L18" s="555">
        <f t="shared" si="4"/>
        <v>8.6590393733250878E-2</v>
      </c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</row>
    <row r="19" spans="1:31" x14ac:dyDescent="0.25">
      <c r="A19" s="121"/>
      <c r="B19" s="528" t="s">
        <v>47</v>
      </c>
      <c r="C19" s="531" t="s">
        <v>219</v>
      </c>
      <c r="D19" s="534" t="s">
        <v>45</v>
      </c>
      <c r="E19" s="541" t="s">
        <v>877</v>
      </c>
      <c r="F19" s="538">
        <f t="shared" si="0"/>
        <v>16800</v>
      </c>
      <c r="G19" s="361">
        <f t="shared" si="1"/>
        <v>3409.0909090909095</v>
      </c>
      <c r="H19" s="593">
        <f t="shared" si="5"/>
        <v>9450</v>
      </c>
      <c r="I19" s="361">
        <f t="shared" si="2"/>
        <v>0</v>
      </c>
      <c r="J19" s="551">
        <f t="shared" si="3"/>
        <v>13390.90909090909</v>
      </c>
      <c r="K19" s="559">
        <f t="shared" si="6"/>
        <v>0</v>
      </c>
      <c r="L19" s="555">
        <f>IF(F19=0,0,J19/F19)</f>
        <v>0.79707792207792205</v>
      </c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</row>
    <row r="20" spans="1:31" x14ac:dyDescent="0.25">
      <c r="A20" s="121"/>
      <c r="B20" s="528" t="s">
        <v>88</v>
      </c>
      <c r="C20" s="531" t="s">
        <v>219</v>
      </c>
      <c r="D20" s="534" t="s">
        <v>45</v>
      </c>
      <c r="E20" s="541" t="s">
        <v>121</v>
      </c>
      <c r="F20" s="538">
        <f t="shared" si="0"/>
        <v>25473</v>
      </c>
      <c r="G20" s="361">
        <f t="shared" si="1"/>
        <v>13454.999999999998</v>
      </c>
      <c r="H20" s="593">
        <f t="shared" si="5"/>
        <v>17820</v>
      </c>
      <c r="I20" s="361">
        <f t="shared" si="2"/>
        <v>0</v>
      </c>
      <c r="J20" s="551">
        <f t="shared" si="3"/>
        <v>12018.000000000002</v>
      </c>
      <c r="K20" s="559">
        <f t="shared" si="6"/>
        <v>0</v>
      </c>
      <c r="L20" s="555">
        <f t="shared" si="4"/>
        <v>0.4717936638794018</v>
      </c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</row>
    <row r="21" spans="1:31" x14ac:dyDescent="0.25">
      <c r="A21" s="121"/>
      <c r="B21" s="528" t="s">
        <v>51</v>
      </c>
      <c r="C21" s="531" t="s">
        <v>219</v>
      </c>
      <c r="D21" s="534" t="s">
        <v>45</v>
      </c>
      <c r="E21" s="541" t="s">
        <v>122</v>
      </c>
      <c r="F21" s="538">
        <f t="shared" si="0"/>
        <v>42676</v>
      </c>
      <c r="G21" s="361">
        <f t="shared" si="1"/>
        <v>58576.798340548339</v>
      </c>
      <c r="H21" s="593">
        <f t="shared" si="5"/>
        <v>27500</v>
      </c>
      <c r="I21" s="361">
        <f t="shared" si="2"/>
        <v>0</v>
      </c>
      <c r="J21" s="551">
        <f t="shared" si="3"/>
        <v>-15900.798340548339</v>
      </c>
      <c r="K21" s="559">
        <f t="shared" si="6"/>
        <v>0</v>
      </c>
      <c r="L21" s="555">
        <f>IF(F21=0,0,J21/F21)</f>
        <v>-0.37259345628803869</v>
      </c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</row>
    <row r="22" spans="1:31" x14ac:dyDescent="0.25">
      <c r="A22" s="121"/>
      <c r="B22" s="529" t="s">
        <v>204</v>
      </c>
      <c r="C22" s="531" t="s">
        <v>219</v>
      </c>
      <c r="D22" s="182" t="s">
        <v>48</v>
      </c>
      <c r="E22" s="541" t="s">
        <v>435</v>
      </c>
      <c r="F22" s="538">
        <f t="shared" si="0"/>
        <v>15000</v>
      </c>
      <c r="G22" s="361">
        <f t="shared" si="1"/>
        <v>1371.0748792270533</v>
      </c>
      <c r="H22" s="593">
        <f t="shared" si="5"/>
        <v>0</v>
      </c>
      <c r="I22" s="361">
        <f t="shared" si="2"/>
        <v>0</v>
      </c>
      <c r="J22" s="551">
        <f t="shared" si="3"/>
        <v>13628.925120772947</v>
      </c>
      <c r="K22" s="559">
        <f t="shared" si="6"/>
        <v>0</v>
      </c>
      <c r="L22" s="555">
        <f t="shared" si="4"/>
        <v>0.90859500805152982</v>
      </c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</row>
    <row r="23" spans="1:31" x14ac:dyDescent="0.25">
      <c r="A23" s="121"/>
      <c r="B23" s="528" t="s">
        <v>104</v>
      </c>
      <c r="C23" s="531" t="s">
        <v>219</v>
      </c>
      <c r="D23" s="534" t="s">
        <v>103</v>
      </c>
      <c r="E23" s="541" t="s">
        <v>166</v>
      </c>
      <c r="F23" s="538">
        <f t="shared" si="0"/>
        <v>22500</v>
      </c>
      <c r="G23" s="361">
        <f t="shared" si="1"/>
        <v>8103.8961038961043</v>
      </c>
      <c r="H23" s="593">
        <f t="shared" si="5"/>
        <v>7920</v>
      </c>
      <c r="I23" s="361">
        <f t="shared" si="2"/>
        <v>0</v>
      </c>
      <c r="J23" s="551">
        <f t="shared" si="3"/>
        <v>14396.103896103896</v>
      </c>
      <c r="K23" s="559">
        <f t="shared" si="6"/>
        <v>0</v>
      </c>
      <c r="L23" s="555">
        <f t="shared" si="4"/>
        <v>0.63982683982683985</v>
      </c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</row>
    <row r="24" spans="1:31" s="247" customFormat="1" ht="30" x14ac:dyDescent="0.25">
      <c r="A24" s="121"/>
      <c r="B24" s="528" t="s">
        <v>542</v>
      </c>
      <c r="C24" s="532" t="s">
        <v>217</v>
      </c>
      <c r="D24" s="535" t="s">
        <v>91</v>
      </c>
      <c r="E24" s="542" t="s">
        <v>585</v>
      </c>
      <c r="F24" s="539">
        <f t="shared" si="0"/>
        <v>2235</v>
      </c>
      <c r="G24" s="362">
        <f t="shared" si="1"/>
        <v>0</v>
      </c>
      <c r="H24" s="593">
        <f t="shared" si="5"/>
        <v>0</v>
      </c>
      <c r="I24" s="362">
        <f t="shared" si="2"/>
        <v>0</v>
      </c>
      <c r="J24" s="552">
        <f t="shared" si="3"/>
        <v>2235</v>
      </c>
      <c r="K24" s="561">
        <f t="shared" si="6"/>
        <v>1165</v>
      </c>
      <c r="L24" s="556">
        <f t="shared" si="4"/>
        <v>1</v>
      </c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/>
    </row>
    <row r="25" spans="1:31" x14ac:dyDescent="0.25">
      <c r="A25" s="121"/>
      <c r="B25" s="528" t="s">
        <v>433</v>
      </c>
      <c r="C25" s="531" t="s">
        <v>219</v>
      </c>
      <c r="D25" s="534" t="s">
        <v>48</v>
      </c>
      <c r="E25" s="541" t="s">
        <v>434</v>
      </c>
      <c r="F25" s="538">
        <f t="shared" si="0"/>
        <v>20520</v>
      </c>
      <c r="G25" s="361">
        <f t="shared" si="1"/>
        <v>8328.5646645021643</v>
      </c>
      <c r="H25" s="593">
        <f t="shared" si="5"/>
        <v>6332.7999999999993</v>
      </c>
      <c r="I25" s="361">
        <f t="shared" si="2"/>
        <v>0</v>
      </c>
      <c r="J25" s="551">
        <f t="shared" si="3"/>
        <v>12191.435335497836</v>
      </c>
      <c r="K25" s="559">
        <f t="shared" si="6"/>
        <v>0</v>
      </c>
      <c r="L25" s="555">
        <f t="shared" si="4"/>
        <v>0.59412452902036239</v>
      </c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</row>
    <row r="26" spans="1:31" x14ac:dyDescent="0.25">
      <c r="A26" s="121"/>
      <c r="B26" s="528" t="s">
        <v>203</v>
      </c>
      <c r="C26" s="531" t="s">
        <v>219</v>
      </c>
      <c r="D26" s="534" t="s">
        <v>96</v>
      </c>
      <c r="E26" s="541" t="s">
        <v>156</v>
      </c>
      <c r="F26" s="538">
        <f t="shared" si="0"/>
        <v>32000</v>
      </c>
      <c r="G26" s="361">
        <f t="shared" si="1"/>
        <v>38896.133364702939</v>
      </c>
      <c r="H26" s="593">
        <f t="shared" si="5"/>
        <v>44700</v>
      </c>
      <c r="I26" s="361">
        <f t="shared" si="2"/>
        <v>0</v>
      </c>
      <c r="J26" s="551">
        <f t="shared" si="3"/>
        <v>-6896.1333647029387</v>
      </c>
      <c r="K26" s="559">
        <f t="shared" si="6"/>
        <v>0</v>
      </c>
      <c r="L26" s="555">
        <f>IF(F26=0,0,J26/F26)</f>
        <v>-0.21550416764696684</v>
      </c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</row>
    <row r="27" spans="1:31" x14ac:dyDescent="0.25">
      <c r="A27" s="121"/>
      <c r="B27" s="528" t="s">
        <v>228</v>
      </c>
      <c r="C27" s="531" t="s">
        <v>218</v>
      </c>
      <c r="D27" s="534" t="s">
        <v>227</v>
      </c>
      <c r="E27" s="541" t="s">
        <v>229</v>
      </c>
      <c r="F27" s="538">
        <f t="shared" si="0"/>
        <v>39200</v>
      </c>
      <c r="G27" s="361">
        <f t="shared" si="1"/>
        <v>0</v>
      </c>
      <c r="H27" s="593">
        <f t="shared" si="5"/>
        <v>72364.799999999988</v>
      </c>
      <c r="I27" s="361">
        <f t="shared" si="2"/>
        <v>18090</v>
      </c>
      <c r="J27" s="551">
        <f t="shared" si="3"/>
        <v>21110</v>
      </c>
      <c r="K27" s="559">
        <f t="shared" si="6"/>
        <v>78400</v>
      </c>
      <c r="L27" s="555">
        <f t="shared" si="4"/>
        <v>0.5385204081632653</v>
      </c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</row>
    <row r="28" spans="1:31" x14ac:dyDescent="0.25">
      <c r="A28" s="121"/>
      <c r="B28" s="528" t="s">
        <v>196</v>
      </c>
      <c r="C28" s="531" t="s">
        <v>219</v>
      </c>
      <c r="D28" s="534" t="s">
        <v>50</v>
      </c>
      <c r="E28" s="541" t="s">
        <v>127</v>
      </c>
      <c r="F28" s="538">
        <f t="shared" si="0"/>
        <v>35400</v>
      </c>
      <c r="G28" s="361">
        <f t="shared" si="1"/>
        <v>48176.001065389923</v>
      </c>
      <c r="H28" s="593">
        <f t="shared" si="5"/>
        <v>34125</v>
      </c>
      <c r="I28" s="361">
        <f t="shared" si="2"/>
        <v>0</v>
      </c>
      <c r="J28" s="551">
        <f t="shared" si="3"/>
        <v>-12776.001065389923</v>
      </c>
      <c r="K28" s="559">
        <f t="shared" si="6"/>
        <v>-4142</v>
      </c>
      <c r="L28" s="555">
        <f>IF(F28=0,0,J28/F28)</f>
        <v>-0.36090398489802039</v>
      </c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/>
    </row>
    <row r="29" spans="1:31" x14ac:dyDescent="0.25">
      <c r="A29" s="121"/>
      <c r="B29" s="528" t="s">
        <v>198</v>
      </c>
      <c r="C29" s="531" t="s">
        <v>219</v>
      </c>
      <c r="D29" s="534" t="s">
        <v>103</v>
      </c>
      <c r="E29" s="541" t="s">
        <v>199</v>
      </c>
      <c r="F29" s="538">
        <f t="shared" si="0"/>
        <v>22750</v>
      </c>
      <c r="G29" s="361">
        <f t="shared" si="1"/>
        <v>14321.022727272728</v>
      </c>
      <c r="H29" s="593">
        <f t="shared" si="5"/>
        <v>5416</v>
      </c>
      <c r="I29" s="361">
        <f t="shared" si="2"/>
        <v>0</v>
      </c>
      <c r="J29" s="551">
        <f t="shared" si="3"/>
        <v>8428.9772727272721</v>
      </c>
      <c r="K29" s="559">
        <f t="shared" si="6"/>
        <v>0</v>
      </c>
      <c r="L29" s="555">
        <f t="shared" si="4"/>
        <v>0.37050449550449549</v>
      </c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</row>
    <row r="30" spans="1:31" x14ac:dyDescent="0.25">
      <c r="A30" s="121"/>
      <c r="B30" s="528" t="s">
        <v>206</v>
      </c>
      <c r="C30" s="531" t="s">
        <v>218</v>
      </c>
      <c r="D30" s="182" t="s">
        <v>234</v>
      </c>
      <c r="E30" s="541" t="s">
        <v>235</v>
      </c>
      <c r="F30" s="538">
        <f t="shared" si="0"/>
        <v>0</v>
      </c>
      <c r="G30" s="361">
        <f t="shared" si="1"/>
        <v>41461.438906926407</v>
      </c>
      <c r="H30" s="593">
        <f t="shared" si="5"/>
        <v>64800</v>
      </c>
      <c r="I30" s="361">
        <f t="shared" si="2"/>
        <v>0</v>
      </c>
      <c r="J30" s="551">
        <f t="shared" si="3"/>
        <v>-41461.438906926407</v>
      </c>
      <c r="K30" s="559">
        <f t="shared" si="6"/>
        <v>144625</v>
      </c>
      <c r="L30" s="555">
        <f>IF(F30=0,0,J30/F30)</f>
        <v>0</v>
      </c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</row>
    <row r="31" spans="1:31" x14ac:dyDescent="0.25">
      <c r="A31" s="121"/>
      <c r="B31" s="528" t="s">
        <v>221</v>
      </c>
      <c r="C31" s="531" t="s">
        <v>219</v>
      </c>
      <c r="D31" s="534" t="s">
        <v>78</v>
      </c>
      <c r="E31" s="541" t="s">
        <v>222</v>
      </c>
      <c r="F31" s="538">
        <f t="shared" si="0"/>
        <v>9322</v>
      </c>
      <c r="G31" s="361">
        <f t="shared" si="1"/>
        <v>2910.1190476190477</v>
      </c>
      <c r="H31" s="593">
        <f t="shared" si="5"/>
        <v>4375</v>
      </c>
      <c r="I31" s="361">
        <f t="shared" si="2"/>
        <v>0</v>
      </c>
      <c r="J31" s="551">
        <f t="shared" si="3"/>
        <v>6411.8809523809523</v>
      </c>
      <c r="K31" s="559">
        <f t="shared" si="6"/>
        <v>0</v>
      </c>
      <c r="L31" s="555">
        <f>IF(F31=0,0,J31/F31)</f>
        <v>0.68782245788253082</v>
      </c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</row>
    <row r="32" spans="1:31" x14ac:dyDescent="0.25">
      <c r="A32" s="121"/>
      <c r="B32" s="529" t="s">
        <v>306</v>
      </c>
      <c r="C32" s="531" t="s">
        <v>219</v>
      </c>
      <c r="D32" s="182" t="s">
        <v>103</v>
      </c>
      <c r="E32" s="541" t="s">
        <v>437</v>
      </c>
      <c r="F32" s="538">
        <f t="shared" si="0"/>
        <v>39180</v>
      </c>
      <c r="G32" s="361">
        <f t="shared" si="1"/>
        <v>835.22727272727275</v>
      </c>
      <c r="H32" s="593">
        <f t="shared" si="5"/>
        <v>0</v>
      </c>
      <c r="I32" s="361">
        <f t="shared" si="2"/>
        <v>0</v>
      </c>
      <c r="J32" s="551">
        <f t="shared" si="3"/>
        <v>38344.772727272728</v>
      </c>
      <c r="K32" s="559">
        <f t="shared" si="6"/>
        <v>0</v>
      </c>
      <c r="L32" s="555">
        <f t="shared" si="4"/>
        <v>0.97868230544340806</v>
      </c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</row>
    <row r="33" spans="1:31" x14ac:dyDescent="0.25">
      <c r="A33" s="121"/>
      <c r="B33" s="528" t="s">
        <v>305</v>
      </c>
      <c r="C33" s="531" t="s">
        <v>219</v>
      </c>
      <c r="D33" s="182" t="s">
        <v>103</v>
      </c>
      <c r="E33" s="541" t="s">
        <v>436</v>
      </c>
      <c r="F33" s="538">
        <f t="shared" si="0"/>
        <v>17710</v>
      </c>
      <c r="G33" s="361">
        <f t="shared" si="1"/>
        <v>23506.628787878788</v>
      </c>
      <c r="H33" s="593">
        <f t="shared" si="5"/>
        <v>0</v>
      </c>
      <c r="I33" s="361">
        <f t="shared" si="2"/>
        <v>0</v>
      </c>
      <c r="J33" s="551">
        <f t="shared" si="3"/>
        <v>-5796.628787878788</v>
      </c>
      <c r="K33" s="559">
        <f t="shared" si="6"/>
        <v>0</v>
      </c>
      <c r="L33" s="555">
        <f>IF(F33=0,0,J33/F33)</f>
        <v>-0.32730823195250075</v>
      </c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</row>
    <row r="34" spans="1:31" x14ac:dyDescent="0.25">
      <c r="A34" s="121"/>
      <c r="B34" s="529" t="s">
        <v>361</v>
      </c>
      <c r="C34" s="531" t="s">
        <v>218</v>
      </c>
      <c r="D34" s="182" t="s">
        <v>103</v>
      </c>
      <c r="E34" s="541" t="s">
        <v>362</v>
      </c>
      <c r="F34" s="538">
        <f t="shared" si="0"/>
        <v>87457.5</v>
      </c>
      <c r="G34" s="361">
        <f t="shared" si="1"/>
        <v>43099.182900432905</v>
      </c>
      <c r="H34" s="593">
        <f t="shared" si="5"/>
        <v>139748</v>
      </c>
      <c r="I34" s="361">
        <f t="shared" si="2"/>
        <v>0</v>
      </c>
      <c r="J34" s="551">
        <f t="shared" si="3"/>
        <v>44358.317099567095</v>
      </c>
      <c r="K34" s="559">
        <f t="shared" si="6"/>
        <v>203080.8</v>
      </c>
      <c r="L34" s="555">
        <f t="shared" si="4"/>
        <v>0.50719854900456907</v>
      </c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</row>
    <row r="35" spans="1:31" s="247" customFormat="1" ht="27" customHeight="1" x14ac:dyDescent="0.25">
      <c r="A35" s="121"/>
      <c r="B35" s="529" t="s">
        <v>549</v>
      </c>
      <c r="C35" s="532" t="s">
        <v>219</v>
      </c>
      <c r="D35" s="536" t="s">
        <v>227</v>
      </c>
      <c r="E35" s="543" t="s">
        <v>608</v>
      </c>
      <c r="F35" s="539">
        <f t="shared" si="0"/>
        <v>9800</v>
      </c>
      <c r="G35" s="362">
        <f t="shared" si="1"/>
        <v>0</v>
      </c>
      <c r="H35" s="593">
        <f t="shared" si="5"/>
        <v>6500</v>
      </c>
      <c r="I35" s="362">
        <f t="shared" si="2"/>
        <v>6000</v>
      </c>
      <c r="J35" s="552">
        <f t="shared" si="3"/>
        <v>3800</v>
      </c>
      <c r="K35" s="559">
        <f t="shared" si="6"/>
        <v>0</v>
      </c>
      <c r="L35" s="556">
        <f t="shared" si="4"/>
        <v>0.38775510204081631</v>
      </c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</row>
    <row r="36" spans="1:31" x14ac:dyDescent="0.25">
      <c r="A36" s="121"/>
      <c r="B36" s="529" t="s">
        <v>411</v>
      </c>
      <c r="C36" s="531" t="s">
        <v>219</v>
      </c>
      <c r="D36" s="534" t="s">
        <v>50</v>
      </c>
      <c r="E36" s="541" t="s">
        <v>410</v>
      </c>
      <c r="F36" s="538">
        <f t="shared" si="0"/>
        <v>6000</v>
      </c>
      <c r="G36" s="361">
        <f t="shared" si="1"/>
        <v>7538.04347826087</v>
      </c>
      <c r="H36" s="593">
        <f t="shared" si="5"/>
        <v>0</v>
      </c>
      <c r="I36" s="361">
        <f t="shared" si="2"/>
        <v>0</v>
      </c>
      <c r="J36" s="551">
        <f t="shared" si="3"/>
        <v>-1538.04347826087</v>
      </c>
      <c r="K36" s="559">
        <f t="shared" si="6"/>
        <v>0</v>
      </c>
      <c r="L36" s="555">
        <f t="shared" ref="L36:L42" si="7">IF(F36=0,0,J36/F36)</f>
        <v>-0.25634057971014501</v>
      </c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</row>
    <row r="37" spans="1:31" x14ac:dyDescent="0.25">
      <c r="A37" s="121"/>
      <c r="B37" s="529" t="s">
        <v>415</v>
      </c>
      <c r="C37" s="531" t="s">
        <v>219</v>
      </c>
      <c r="D37" s="182" t="s">
        <v>45</v>
      </c>
      <c r="E37" s="541" t="s">
        <v>416</v>
      </c>
      <c r="F37" s="538">
        <f t="shared" si="0"/>
        <v>12000</v>
      </c>
      <c r="G37" s="361">
        <f t="shared" si="1"/>
        <v>6115.909090909091</v>
      </c>
      <c r="H37" s="593">
        <f t="shared" si="5"/>
        <v>0</v>
      </c>
      <c r="I37" s="361">
        <f t="shared" si="2"/>
        <v>0</v>
      </c>
      <c r="J37" s="551">
        <f t="shared" si="3"/>
        <v>5884.090909090909</v>
      </c>
      <c r="K37" s="559">
        <f t="shared" si="6"/>
        <v>0</v>
      </c>
      <c r="L37" s="555">
        <f t="shared" si="7"/>
        <v>0.49034090909090911</v>
      </c>
      <c r="M37" s="121"/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</row>
    <row r="38" spans="1:31" x14ac:dyDescent="0.25">
      <c r="A38" s="121"/>
      <c r="B38" s="529" t="s">
        <v>562</v>
      </c>
      <c r="C38" s="531" t="s">
        <v>218</v>
      </c>
      <c r="D38" s="182" t="s">
        <v>103</v>
      </c>
      <c r="E38" s="541" t="s">
        <v>563</v>
      </c>
      <c r="F38" s="538">
        <f t="shared" si="0"/>
        <v>16476.080000000002</v>
      </c>
      <c r="G38" s="361">
        <f t="shared" si="1"/>
        <v>26990.170319264067</v>
      </c>
      <c r="H38" s="593">
        <f t="shared" si="5"/>
        <v>36689</v>
      </c>
      <c r="I38" s="361">
        <f t="shared" si="2"/>
        <v>0</v>
      </c>
      <c r="J38" s="551">
        <f t="shared" si="3"/>
        <v>-10514.090319264065</v>
      </c>
      <c r="K38" s="559">
        <f t="shared" si="6"/>
        <v>50894.92</v>
      </c>
      <c r="L38" s="555">
        <f t="shared" si="7"/>
        <v>-0.63814270865788858</v>
      </c>
      <c r="M38" s="121"/>
      <c r="N38" s="121"/>
      <c r="O38" s="121"/>
      <c r="P38" s="121"/>
      <c r="Q38" s="121"/>
      <c r="R38" s="121"/>
      <c r="S38" s="121"/>
      <c r="T38" s="121"/>
      <c r="U38" s="121"/>
      <c r="V38" s="121"/>
      <c r="W38" s="121"/>
      <c r="X38" s="121"/>
      <c r="Y38" s="121"/>
      <c r="Z38" s="121"/>
      <c r="AA38" s="121"/>
      <c r="AB38" s="121"/>
      <c r="AC38" s="121"/>
      <c r="AD38" s="121"/>
      <c r="AE38" s="121"/>
    </row>
    <row r="39" spans="1:31" s="247" customFormat="1" x14ac:dyDescent="0.25">
      <c r="A39" s="121"/>
      <c r="B39" s="529" t="s">
        <v>639</v>
      </c>
      <c r="C39" s="531" t="s">
        <v>219</v>
      </c>
      <c r="D39" s="182" t="s">
        <v>50</v>
      </c>
      <c r="E39" s="541" t="s">
        <v>640</v>
      </c>
      <c r="F39" s="538">
        <f t="shared" si="0"/>
        <v>15000</v>
      </c>
      <c r="G39" s="361">
        <f t="shared" si="1"/>
        <v>8168.6471861471864</v>
      </c>
      <c r="H39" s="593">
        <f t="shared" si="5"/>
        <v>10192.32</v>
      </c>
      <c r="I39" s="361">
        <f t="shared" si="2"/>
        <v>0</v>
      </c>
      <c r="J39" s="551">
        <f t="shared" si="3"/>
        <v>6831.3528138528136</v>
      </c>
      <c r="K39" s="559">
        <f t="shared" si="6"/>
        <v>0</v>
      </c>
      <c r="L39" s="555">
        <f t="shared" si="7"/>
        <v>0.4554235209235209</v>
      </c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</row>
    <row r="40" spans="1:31" s="247" customFormat="1" ht="15.75" thickBot="1" x14ac:dyDescent="0.3">
      <c r="A40" s="121"/>
      <c r="B40" s="530" t="s">
        <v>913</v>
      </c>
      <c r="C40" s="533" t="s">
        <v>218</v>
      </c>
      <c r="D40" s="537" t="s">
        <v>103</v>
      </c>
      <c r="E40" s="544" t="s">
        <v>916</v>
      </c>
      <c r="F40" s="540">
        <f t="shared" si="0"/>
        <v>90888.6</v>
      </c>
      <c r="G40" s="474">
        <f t="shared" si="1"/>
        <v>6805.3497023809523</v>
      </c>
      <c r="H40" s="593">
        <f t="shared" si="5"/>
        <v>91028</v>
      </c>
      <c r="I40" s="474">
        <f t="shared" si="2"/>
        <v>0</v>
      </c>
      <c r="J40" s="553">
        <f t="shared" si="3"/>
        <v>84083.250297619059</v>
      </c>
      <c r="K40" s="560">
        <f t="shared" si="6"/>
        <v>213577.4</v>
      </c>
      <c r="L40" s="557">
        <f t="shared" si="7"/>
        <v>0.92512427628568439</v>
      </c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</row>
    <row r="41" spans="1:31" ht="15.75" thickBot="1" x14ac:dyDescent="0.3">
      <c r="A41" s="121"/>
      <c r="B41" s="121"/>
      <c r="C41" s="121"/>
      <c r="D41" s="121"/>
      <c r="E41" s="121"/>
      <c r="F41" s="471">
        <f t="shared" ref="F41:K41" si="8">SUM(F4:F40)</f>
        <v>3652160.1652711863</v>
      </c>
      <c r="G41" s="471">
        <f t="shared" si="8"/>
        <v>2033642.4939695876</v>
      </c>
      <c r="H41" s="471">
        <f t="shared" si="8"/>
        <v>771841.70999999985</v>
      </c>
      <c r="I41" s="471">
        <f t="shared" si="8"/>
        <v>211240</v>
      </c>
      <c r="J41" s="471">
        <f t="shared" si="8"/>
        <v>1407277.6713015991</v>
      </c>
      <c r="K41" s="471">
        <f t="shared" si="8"/>
        <v>718276.12235593214</v>
      </c>
      <c r="L41" s="472">
        <f t="shared" si="7"/>
        <v>0.38532747952391722</v>
      </c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</row>
    <row r="42" spans="1:31" ht="15.75" thickBot="1" x14ac:dyDescent="0.3">
      <c r="A42" s="121"/>
      <c r="B42" s="121"/>
      <c r="C42" s="121"/>
      <c r="D42" s="121"/>
      <c r="E42" s="121"/>
      <c r="F42" s="526">
        <f t="shared" ref="F42:K42" si="9">SUBTOTAL(9,F4:F40)</f>
        <v>3652160.1652711863</v>
      </c>
      <c r="G42" s="527">
        <f t="shared" si="9"/>
        <v>2033642.4939695876</v>
      </c>
      <c r="H42" s="527">
        <f t="shared" si="9"/>
        <v>771841.70999999985</v>
      </c>
      <c r="I42" s="527">
        <f t="shared" si="9"/>
        <v>211240</v>
      </c>
      <c r="J42" s="527">
        <f t="shared" si="9"/>
        <v>1407277.6713015991</v>
      </c>
      <c r="K42" s="527">
        <f t="shared" si="9"/>
        <v>718276.12235593214</v>
      </c>
      <c r="L42" s="473">
        <f t="shared" si="7"/>
        <v>0.38532747952391722</v>
      </c>
      <c r="M42" s="121"/>
      <c r="N42" s="121"/>
      <c r="O42" s="121"/>
      <c r="P42" s="121"/>
      <c r="Q42" s="121"/>
      <c r="R42" s="121"/>
      <c r="S42" s="121"/>
      <c r="T42" s="121"/>
      <c r="U42" s="121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</row>
    <row r="43" spans="1:31" x14ac:dyDescent="0.25">
      <c r="A43" s="121"/>
      <c r="B43" s="121"/>
      <c r="C43" s="121"/>
      <c r="D43" s="121"/>
      <c r="E43" s="121"/>
      <c r="F43" s="121"/>
      <c r="G43" s="121"/>
      <c r="H43" s="121"/>
      <c r="I43" s="121"/>
      <c r="J43" s="355"/>
      <c r="K43" s="355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</row>
    <row r="44" spans="1:31" x14ac:dyDescent="0.25">
      <c r="A44" s="121"/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</row>
    <row r="45" spans="1:31" x14ac:dyDescent="0.25">
      <c r="A45" s="121"/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</row>
    <row r="46" spans="1:31" x14ac:dyDescent="0.25">
      <c r="A46" s="121"/>
      <c r="B46" s="121"/>
      <c r="C46" s="121"/>
      <c r="D46" s="121"/>
      <c r="E46" s="121"/>
      <c r="F46" s="121"/>
      <c r="G46" s="121"/>
      <c r="H46" s="121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  <c r="Y46" s="121"/>
      <c r="Z46" s="121"/>
      <c r="AA46" s="121"/>
      <c r="AB46" s="121"/>
      <c r="AC46" s="121"/>
      <c r="AD46" s="121"/>
      <c r="AE46" s="121"/>
    </row>
    <row r="47" spans="1:31" x14ac:dyDescent="0.25">
      <c r="A47" s="121"/>
      <c r="B47" s="121"/>
      <c r="C47" s="121"/>
      <c r="D47" s="121"/>
      <c r="E47" s="121"/>
      <c r="F47" s="121"/>
      <c r="G47" s="121"/>
      <c r="H47" s="121"/>
      <c r="I47" s="121"/>
      <c r="J47" s="121"/>
      <c r="K47" s="121"/>
      <c r="L47" s="121"/>
      <c r="M47" s="121"/>
      <c r="N47" s="121"/>
      <c r="O47" s="121"/>
      <c r="P47" s="121"/>
      <c r="Q47" s="121"/>
      <c r="R47" s="121"/>
      <c r="S47" s="121"/>
      <c r="T47" s="121"/>
      <c r="U47" s="121"/>
      <c r="V47" s="121"/>
      <c r="W47" s="121"/>
      <c r="X47" s="121"/>
      <c r="Y47" s="121"/>
      <c r="Z47" s="121"/>
      <c r="AA47" s="121"/>
      <c r="AB47" s="121"/>
      <c r="AC47" s="121"/>
      <c r="AD47" s="121"/>
      <c r="AE47" s="121"/>
    </row>
    <row r="48" spans="1:31" x14ac:dyDescent="0.25">
      <c r="A48" s="121"/>
      <c r="B48" s="121"/>
      <c r="C48" s="121"/>
      <c r="D48" s="121"/>
      <c r="E48" s="121"/>
      <c r="F48" s="121"/>
      <c r="G48" s="121"/>
      <c r="H48" s="121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T48" s="121"/>
      <c r="U48" s="121"/>
      <c r="V48" s="121"/>
      <c r="W48" s="121"/>
      <c r="X48" s="121"/>
      <c r="Y48" s="121"/>
      <c r="Z48" s="121"/>
      <c r="AA48" s="121"/>
      <c r="AB48" s="121"/>
      <c r="AC48" s="121"/>
      <c r="AD48" s="121"/>
      <c r="AE48" s="121"/>
    </row>
    <row r="49" spans="1:31" x14ac:dyDescent="0.25">
      <c r="A49" s="121"/>
      <c r="B49" s="121"/>
      <c r="C49" s="121"/>
      <c r="D49" s="121"/>
      <c r="E49" s="121"/>
      <c r="F49" s="121"/>
      <c r="G49" s="121"/>
      <c r="H49" s="121"/>
      <c r="I49" s="121"/>
      <c r="J49" s="121"/>
      <c r="K49" s="121"/>
      <c r="L49" s="121"/>
      <c r="M49" s="121"/>
      <c r="N49" s="121"/>
      <c r="O49" s="121"/>
      <c r="P49" s="121"/>
      <c r="Q49" s="121"/>
      <c r="R49" s="121"/>
      <c r="S49" s="121"/>
      <c r="T49" s="121"/>
      <c r="U49" s="121"/>
      <c r="V49" s="121"/>
      <c r="W49" s="121"/>
      <c r="X49" s="121"/>
      <c r="Y49" s="121"/>
      <c r="Z49" s="121"/>
      <c r="AA49" s="121"/>
      <c r="AB49" s="121"/>
      <c r="AC49" s="121"/>
      <c r="AD49" s="121"/>
      <c r="AE49" s="121"/>
    </row>
    <row r="50" spans="1:31" x14ac:dyDescent="0.25">
      <c r="A50" s="121"/>
      <c r="B50" s="121"/>
      <c r="C50" s="121"/>
      <c r="D50" s="121"/>
      <c r="E50" s="121"/>
      <c r="F50" s="121"/>
      <c r="G50" s="121"/>
      <c r="H50" s="121"/>
      <c r="I50" s="121"/>
      <c r="J50" s="121"/>
      <c r="K50" s="121"/>
      <c r="L50" s="121"/>
      <c r="M50" s="121"/>
      <c r="N50" s="121"/>
      <c r="O50" s="121"/>
      <c r="P50" s="121"/>
      <c r="Q50" s="121"/>
      <c r="R50" s="121"/>
      <c r="S50" s="121"/>
      <c r="T50" s="121"/>
      <c r="U50" s="121"/>
      <c r="V50" s="121"/>
      <c r="W50" s="121"/>
      <c r="X50" s="121"/>
      <c r="Y50" s="121"/>
      <c r="Z50" s="121"/>
      <c r="AA50" s="121"/>
      <c r="AB50" s="121"/>
      <c r="AC50" s="121"/>
      <c r="AD50" s="121"/>
      <c r="AE50" s="121"/>
    </row>
    <row r="51" spans="1:31" x14ac:dyDescent="0.25">
      <c r="A51" s="121"/>
      <c r="B51" s="121"/>
      <c r="C51" s="121"/>
      <c r="D51" s="121"/>
      <c r="E51" s="121"/>
      <c r="F51" s="121"/>
      <c r="G51" s="121"/>
      <c r="H51" s="121"/>
      <c r="I51" s="121"/>
      <c r="J51" s="121"/>
      <c r="K51" s="121"/>
      <c r="L51" s="121"/>
      <c r="M51" s="121"/>
      <c r="N51" s="121"/>
      <c r="O51" s="121"/>
      <c r="P51" s="121"/>
      <c r="Q51" s="121"/>
      <c r="R51" s="121"/>
      <c r="S51" s="121"/>
      <c r="T51" s="121"/>
      <c r="U51" s="121"/>
      <c r="V51" s="121"/>
      <c r="W51" s="121"/>
      <c r="X51" s="121"/>
      <c r="Y51" s="121"/>
      <c r="Z51" s="121"/>
      <c r="AA51" s="121"/>
      <c r="AB51" s="121"/>
      <c r="AC51" s="121"/>
      <c r="AD51" s="121"/>
      <c r="AE51" s="121"/>
    </row>
    <row r="52" spans="1:31" x14ac:dyDescent="0.25">
      <c r="A52" s="121"/>
      <c r="B52" s="121"/>
      <c r="C52" s="121"/>
      <c r="D52" s="121"/>
      <c r="E52" s="121"/>
      <c r="F52" s="121"/>
      <c r="G52" s="121"/>
      <c r="H52" s="121"/>
      <c r="I52" s="121"/>
      <c r="J52" s="121"/>
      <c r="K52" s="121"/>
      <c r="L52" s="121"/>
      <c r="M52" s="121"/>
      <c r="N52" s="121"/>
      <c r="O52" s="121"/>
      <c r="P52" s="121"/>
      <c r="Q52" s="121"/>
      <c r="R52" s="121"/>
      <c r="S52" s="121"/>
      <c r="T52" s="121"/>
      <c r="U52" s="121"/>
      <c r="V52" s="121"/>
      <c r="W52" s="121"/>
      <c r="X52" s="121"/>
      <c r="Y52" s="121"/>
      <c r="Z52" s="121"/>
      <c r="AA52" s="121"/>
      <c r="AB52" s="121"/>
      <c r="AC52" s="121"/>
      <c r="AD52" s="121"/>
      <c r="AE52" s="121"/>
    </row>
    <row r="53" spans="1:31" x14ac:dyDescent="0.25">
      <c r="A53" s="121"/>
      <c r="B53" s="121"/>
      <c r="C53" s="121"/>
      <c r="D53" s="121"/>
      <c r="E53" s="121"/>
      <c r="F53" s="121"/>
      <c r="G53" s="121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T53" s="121"/>
      <c r="U53" s="121"/>
      <c r="V53" s="121"/>
      <c r="W53" s="121"/>
      <c r="X53" s="121"/>
      <c r="Y53" s="121"/>
      <c r="Z53" s="121"/>
      <c r="AA53" s="121"/>
      <c r="AB53" s="121"/>
      <c r="AC53" s="121"/>
      <c r="AD53" s="121"/>
      <c r="AE53" s="121"/>
    </row>
    <row r="54" spans="1:31" x14ac:dyDescent="0.25">
      <c r="A54" s="121"/>
      <c r="B54" s="121"/>
      <c r="C54" s="121"/>
      <c r="D54" s="121"/>
      <c r="E54" s="121"/>
      <c r="F54" s="121"/>
      <c r="G54" s="121"/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  <c r="AA54" s="121"/>
      <c r="AB54" s="121"/>
      <c r="AC54" s="121"/>
      <c r="AD54" s="121"/>
      <c r="AE54" s="121"/>
    </row>
    <row r="55" spans="1:31" x14ac:dyDescent="0.25">
      <c r="A55" s="121"/>
      <c r="B55" s="121"/>
      <c r="C55" s="121"/>
      <c r="D55" s="121"/>
      <c r="E55" s="121"/>
      <c r="F55" s="121"/>
      <c r="G55" s="121"/>
      <c r="H55" s="121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  <c r="Z55" s="121"/>
      <c r="AA55" s="121"/>
      <c r="AB55" s="121"/>
      <c r="AC55" s="121"/>
      <c r="AD55" s="121"/>
      <c r="AE55" s="121"/>
    </row>
    <row r="56" spans="1:31" x14ac:dyDescent="0.25">
      <c r="A56" s="121"/>
      <c r="B56" s="121"/>
      <c r="C56" s="121"/>
      <c r="D56" s="121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</row>
    <row r="57" spans="1:31" x14ac:dyDescent="0.25">
      <c r="A57" s="121"/>
      <c r="B57" s="121"/>
      <c r="C57" s="121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</row>
    <row r="58" spans="1:31" x14ac:dyDescent="0.25">
      <c r="A58" s="121"/>
      <c r="B58" s="121"/>
      <c r="C58" s="121"/>
      <c r="D58" s="121"/>
      <c r="E58" s="121"/>
      <c r="F58" s="121"/>
      <c r="G58" s="121"/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  <c r="AA58" s="121"/>
      <c r="AB58" s="121"/>
      <c r="AC58" s="121"/>
      <c r="AD58" s="121"/>
      <c r="AE58" s="121"/>
    </row>
    <row r="59" spans="1:31" x14ac:dyDescent="0.25">
      <c r="A59" s="121"/>
      <c r="B59" s="121"/>
      <c r="C59" s="121"/>
      <c r="D59" s="121"/>
      <c r="E59" s="121"/>
      <c r="F59" s="121"/>
      <c r="G59" s="121"/>
      <c r="H59" s="121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1"/>
    </row>
    <row r="60" spans="1:31" x14ac:dyDescent="0.25">
      <c r="A60" s="121"/>
      <c r="B60" s="121"/>
      <c r="C60" s="121"/>
      <c r="D60" s="121"/>
      <c r="E60" s="121"/>
      <c r="F60" s="121"/>
      <c r="G60" s="121"/>
      <c r="H60" s="121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1"/>
    </row>
    <row r="61" spans="1:31" x14ac:dyDescent="0.25">
      <c r="A61" s="121"/>
      <c r="B61" s="121"/>
      <c r="C61" s="121"/>
      <c r="D61" s="121"/>
      <c r="E61" s="121"/>
      <c r="F61" s="121"/>
      <c r="G61" s="121"/>
      <c r="H61" s="121"/>
      <c r="I61" s="121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</row>
    <row r="62" spans="1:31" x14ac:dyDescent="0.25">
      <c r="A62" s="121"/>
      <c r="B62" s="121"/>
      <c r="C62" s="121"/>
      <c r="D62" s="121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1"/>
      <c r="U62" s="121"/>
      <c r="V62" s="121"/>
      <c r="W62" s="121"/>
      <c r="X62" s="121"/>
      <c r="Y62" s="121"/>
      <c r="Z62" s="121"/>
      <c r="AA62" s="121"/>
      <c r="AB62" s="121"/>
      <c r="AC62" s="121"/>
      <c r="AD62" s="121"/>
      <c r="AE62" s="121"/>
    </row>
    <row r="63" spans="1:31" x14ac:dyDescent="0.25">
      <c r="A63" s="121"/>
      <c r="B63" s="121"/>
      <c r="C63" s="121"/>
      <c r="D63" s="121"/>
      <c r="E63" s="121"/>
      <c r="F63" s="121"/>
      <c r="G63" s="121"/>
      <c r="H63" s="121"/>
      <c r="I63" s="121"/>
      <c r="J63" s="121"/>
      <c r="K63" s="121"/>
      <c r="L63" s="121"/>
      <c r="M63" s="121"/>
      <c r="N63" s="121"/>
      <c r="O63" s="121"/>
      <c r="P63" s="121"/>
      <c r="Q63" s="121"/>
      <c r="R63" s="121"/>
      <c r="S63" s="121"/>
      <c r="T63" s="121"/>
      <c r="U63" s="121"/>
      <c r="V63" s="121"/>
      <c r="W63" s="121"/>
      <c r="X63" s="121"/>
      <c r="Y63" s="121"/>
      <c r="Z63" s="121"/>
      <c r="AA63" s="121"/>
      <c r="AB63" s="121"/>
      <c r="AC63" s="121"/>
      <c r="AD63" s="121"/>
      <c r="AE63" s="121"/>
    </row>
    <row r="64" spans="1:31" x14ac:dyDescent="0.25">
      <c r="A64" s="121"/>
      <c r="B64" s="121"/>
      <c r="C64" s="121"/>
      <c r="D64" s="121"/>
      <c r="E64" s="121"/>
      <c r="F64" s="121"/>
      <c r="G64" s="121"/>
      <c r="H64" s="121"/>
      <c r="I64" s="121"/>
      <c r="J64" s="121"/>
      <c r="K64" s="121"/>
      <c r="L64" s="121"/>
      <c r="M64" s="121"/>
      <c r="N64" s="121"/>
      <c r="O64" s="121"/>
      <c r="P64" s="121"/>
      <c r="Q64" s="121"/>
      <c r="R64" s="121"/>
      <c r="S64" s="121"/>
      <c r="T64" s="121"/>
      <c r="U64" s="121"/>
      <c r="V64" s="121"/>
      <c r="W64" s="121"/>
      <c r="X64" s="121"/>
      <c r="Y64" s="121"/>
      <c r="Z64" s="121"/>
      <c r="AA64" s="121"/>
      <c r="AB64" s="121"/>
      <c r="AC64" s="121"/>
      <c r="AD64" s="121"/>
      <c r="AE64" s="121"/>
    </row>
    <row r="65" spans="1:31" x14ac:dyDescent="0.25">
      <c r="A65" s="121"/>
      <c r="B65" s="121"/>
      <c r="C65" s="121"/>
      <c r="D65" s="121"/>
      <c r="E65" s="121"/>
      <c r="F65" s="121"/>
      <c r="G65" s="121"/>
      <c r="H65" s="121"/>
      <c r="I65" s="121"/>
      <c r="J65" s="121"/>
      <c r="K65" s="121"/>
      <c r="L65" s="121"/>
      <c r="M65" s="121"/>
      <c r="N65" s="121"/>
      <c r="O65" s="121"/>
      <c r="P65" s="121"/>
      <c r="Q65" s="121"/>
      <c r="R65" s="121"/>
      <c r="S65" s="121"/>
      <c r="T65" s="121"/>
      <c r="U65" s="121"/>
      <c r="V65" s="121"/>
      <c r="W65" s="121"/>
      <c r="X65" s="121"/>
      <c r="Y65" s="121"/>
      <c r="Z65" s="121"/>
      <c r="AA65" s="121"/>
      <c r="AB65" s="121"/>
      <c r="AC65" s="121"/>
      <c r="AD65" s="121"/>
      <c r="AE65" s="121"/>
    </row>
    <row r="66" spans="1:31" x14ac:dyDescent="0.25">
      <c r="A66" s="121"/>
      <c r="B66" s="121"/>
      <c r="C66" s="121"/>
      <c r="D66" s="121"/>
      <c r="E66" s="121"/>
      <c r="F66" s="121"/>
      <c r="G66" s="121"/>
      <c r="H66" s="121"/>
      <c r="I66" s="121"/>
      <c r="J66" s="121"/>
      <c r="K66" s="121"/>
      <c r="L66" s="121"/>
      <c r="M66" s="121"/>
      <c r="N66" s="121"/>
      <c r="O66" s="121"/>
      <c r="P66" s="121"/>
      <c r="Q66" s="121"/>
      <c r="R66" s="121"/>
      <c r="S66" s="121"/>
      <c r="T66" s="121"/>
      <c r="U66" s="121"/>
      <c r="V66" s="121"/>
      <c r="W66" s="121"/>
      <c r="X66" s="121"/>
      <c r="Y66" s="121"/>
      <c r="Z66" s="121"/>
      <c r="AA66" s="121"/>
      <c r="AB66" s="121"/>
      <c r="AC66" s="121"/>
      <c r="AD66" s="121"/>
      <c r="AE66" s="121"/>
    </row>
    <row r="67" spans="1:31" x14ac:dyDescent="0.25">
      <c r="A67" s="121"/>
      <c r="B67" s="121"/>
      <c r="C67" s="121"/>
      <c r="D67" s="121"/>
      <c r="E67" s="121"/>
      <c r="F67" s="121"/>
      <c r="G67" s="121"/>
      <c r="H67" s="121"/>
      <c r="I67" s="121"/>
      <c r="J67" s="121"/>
      <c r="K67" s="121"/>
      <c r="L67" s="121"/>
      <c r="M67" s="121"/>
      <c r="N67" s="121"/>
      <c r="O67" s="121"/>
      <c r="P67" s="121"/>
      <c r="Q67" s="121"/>
      <c r="R67" s="121"/>
      <c r="S67" s="121"/>
      <c r="T67" s="121"/>
      <c r="U67" s="121"/>
      <c r="V67" s="121"/>
      <c r="W67" s="121"/>
      <c r="X67" s="121"/>
      <c r="Y67" s="121"/>
      <c r="Z67" s="121"/>
      <c r="AA67" s="121"/>
      <c r="AB67" s="121"/>
      <c r="AC67" s="121"/>
      <c r="AD67" s="121"/>
      <c r="AE67" s="121"/>
    </row>
    <row r="68" spans="1:31" x14ac:dyDescent="0.25">
      <c r="A68" s="121"/>
      <c r="B68" s="121"/>
      <c r="C68" s="121"/>
      <c r="D68" s="121"/>
      <c r="E68" s="121"/>
      <c r="F68" s="121"/>
      <c r="G68" s="121"/>
      <c r="H68" s="121"/>
      <c r="I68" s="121"/>
      <c r="J68" s="121"/>
      <c r="K68" s="121"/>
      <c r="L68" s="121"/>
      <c r="M68" s="121"/>
      <c r="N68" s="121"/>
      <c r="O68" s="121"/>
      <c r="P68" s="121"/>
      <c r="Q68" s="121"/>
      <c r="R68" s="121"/>
      <c r="S68" s="121"/>
      <c r="T68" s="121"/>
      <c r="U68" s="121"/>
      <c r="V68" s="121"/>
      <c r="W68" s="121"/>
      <c r="X68" s="121"/>
      <c r="Y68" s="121"/>
      <c r="Z68" s="121"/>
      <c r="AA68" s="121"/>
      <c r="AB68" s="121"/>
      <c r="AC68" s="121"/>
      <c r="AD68" s="121"/>
      <c r="AE68" s="121"/>
    </row>
    <row r="69" spans="1:31" x14ac:dyDescent="0.25">
      <c r="A69" s="121"/>
      <c r="B69" s="121"/>
      <c r="C69" s="121"/>
      <c r="D69" s="121"/>
      <c r="E69" s="121"/>
      <c r="F69" s="121"/>
      <c r="G69" s="121"/>
      <c r="H69" s="121"/>
      <c r="I69" s="121"/>
      <c r="J69" s="121"/>
      <c r="K69" s="121"/>
      <c r="L69" s="121"/>
      <c r="M69" s="121"/>
      <c r="N69" s="121"/>
      <c r="O69" s="121"/>
      <c r="P69" s="121"/>
      <c r="Q69" s="121"/>
      <c r="R69" s="121"/>
      <c r="S69" s="121"/>
      <c r="T69" s="121"/>
      <c r="U69" s="121"/>
      <c r="V69" s="121"/>
      <c r="W69" s="121"/>
      <c r="X69" s="121"/>
      <c r="Y69" s="121"/>
      <c r="Z69" s="121"/>
      <c r="AA69" s="121"/>
      <c r="AB69" s="121"/>
      <c r="AC69" s="121"/>
      <c r="AD69" s="121"/>
      <c r="AE69" s="121"/>
    </row>
    <row r="70" spans="1:31" x14ac:dyDescent="0.25">
      <c r="A70" s="121"/>
      <c r="B70" s="121"/>
      <c r="C70" s="121"/>
      <c r="D70" s="121"/>
      <c r="E70" s="121"/>
      <c r="F70" s="121"/>
      <c r="G70" s="121"/>
      <c r="H70" s="121"/>
      <c r="I70" s="121"/>
      <c r="J70" s="121"/>
      <c r="K70" s="121"/>
      <c r="L70" s="121"/>
      <c r="M70" s="121"/>
      <c r="N70" s="121"/>
      <c r="O70" s="121"/>
      <c r="P70" s="121"/>
      <c r="Q70" s="121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  <c r="AE70" s="121"/>
    </row>
    <row r="71" spans="1:31" x14ac:dyDescent="0.25">
      <c r="A71" s="121"/>
      <c r="B71" s="121"/>
      <c r="C71" s="121"/>
      <c r="D71" s="121"/>
      <c r="E71" s="121"/>
      <c r="F71" s="121"/>
      <c r="G71" s="121"/>
      <c r="H71" s="121"/>
      <c r="I71" s="121"/>
      <c r="J71" s="121"/>
      <c r="K71" s="121"/>
      <c r="L71" s="121"/>
      <c r="M71" s="121"/>
      <c r="N71" s="121"/>
      <c r="O71" s="121"/>
      <c r="P71" s="121"/>
      <c r="Q71" s="121"/>
      <c r="R71" s="121"/>
      <c r="S71" s="121"/>
      <c r="T71" s="121"/>
      <c r="U71" s="121"/>
      <c r="V71" s="121"/>
      <c r="W71" s="121"/>
      <c r="X71" s="121"/>
      <c r="Y71" s="121"/>
      <c r="Z71" s="121"/>
      <c r="AA71" s="121"/>
      <c r="AB71" s="121"/>
      <c r="AC71" s="121"/>
      <c r="AD71" s="121"/>
      <c r="AE71" s="121"/>
    </row>
    <row r="72" spans="1:31" x14ac:dyDescent="0.25">
      <c r="A72" s="121"/>
      <c r="B72" s="121"/>
      <c r="C72" s="121"/>
      <c r="D72" s="121"/>
      <c r="E72" s="121"/>
      <c r="F72" s="121"/>
      <c r="G72" s="121"/>
      <c r="H72" s="121"/>
      <c r="I72" s="121"/>
      <c r="J72" s="121"/>
      <c r="K72" s="121"/>
      <c r="L72" s="121"/>
      <c r="M72" s="121"/>
      <c r="N72" s="121"/>
      <c r="O72" s="121"/>
      <c r="P72" s="121"/>
      <c r="Q72" s="121"/>
      <c r="R72" s="121"/>
      <c r="S72" s="121"/>
      <c r="T72" s="121"/>
      <c r="U72" s="121"/>
      <c r="V72" s="121"/>
      <c r="W72" s="121"/>
      <c r="X72" s="121"/>
      <c r="Y72" s="121"/>
      <c r="Z72" s="121"/>
      <c r="AA72" s="121"/>
      <c r="AB72" s="121"/>
      <c r="AC72" s="121"/>
      <c r="AD72" s="121"/>
      <c r="AE72" s="121"/>
    </row>
    <row r="73" spans="1:31" x14ac:dyDescent="0.25">
      <c r="A73" s="121"/>
      <c r="B73" s="121"/>
      <c r="C73" s="121"/>
      <c r="D73" s="121"/>
      <c r="E73" s="121"/>
      <c r="F73" s="121"/>
      <c r="G73" s="121"/>
      <c r="H73" s="121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1"/>
      <c r="V73" s="121"/>
      <c r="W73" s="121"/>
      <c r="X73" s="121"/>
      <c r="Y73" s="121"/>
      <c r="Z73" s="121"/>
      <c r="AA73" s="121"/>
      <c r="AB73" s="121"/>
      <c r="AC73" s="121"/>
      <c r="AD73" s="121"/>
      <c r="AE73" s="121"/>
    </row>
    <row r="74" spans="1:31" x14ac:dyDescent="0.25">
      <c r="A74" s="121"/>
      <c r="B74" s="121"/>
      <c r="C74" s="121"/>
      <c r="D74" s="121"/>
      <c r="E74" s="121"/>
      <c r="F74" s="121"/>
      <c r="G74" s="121"/>
      <c r="H74" s="121"/>
      <c r="I74" s="121"/>
      <c r="J74" s="121"/>
      <c r="K74" s="121"/>
      <c r="L74" s="121"/>
      <c r="M74" s="121"/>
      <c r="N74" s="121"/>
      <c r="O74" s="121"/>
      <c r="P74" s="121"/>
      <c r="Q74" s="121"/>
      <c r="R74" s="121"/>
      <c r="S74" s="121"/>
      <c r="T74" s="121"/>
      <c r="U74" s="121"/>
      <c r="V74" s="121"/>
      <c r="W74" s="121"/>
      <c r="X74" s="121"/>
      <c r="Y74" s="121"/>
      <c r="Z74" s="121"/>
      <c r="AA74" s="121"/>
      <c r="AB74" s="121"/>
      <c r="AC74" s="121"/>
      <c r="AD74" s="121"/>
      <c r="AE74" s="121"/>
    </row>
    <row r="75" spans="1:31" x14ac:dyDescent="0.25">
      <c r="A75" s="121"/>
      <c r="B75" s="121"/>
      <c r="C75" s="121"/>
      <c r="D75" s="121"/>
      <c r="E75" s="121"/>
      <c r="F75" s="121"/>
      <c r="G75" s="121"/>
      <c r="H75" s="121"/>
      <c r="I75" s="121"/>
      <c r="J75" s="121"/>
      <c r="K75" s="121"/>
      <c r="L75" s="121"/>
      <c r="M75" s="121"/>
      <c r="N75" s="121"/>
      <c r="O75" s="121"/>
      <c r="P75" s="121"/>
      <c r="Q75" s="121"/>
      <c r="R75" s="121"/>
      <c r="S75" s="121"/>
      <c r="T75" s="121"/>
      <c r="U75" s="121"/>
      <c r="V75" s="121"/>
      <c r="W75" s="121"/>
      <c r="X75" s="121"/>
      <c r="Y75" s="121"/>
      <c r="Z75" s="121"/>
      <c r="AA75" s="121"/>
      <c r="AB75" s="121"/>
      <c r="AC75" s="121"/>
      <c r="AD75" s="121"/>
      <c r="AE75" s="121"/>
    </row>
    <row r="76" spans="1:31" x14ac:dyDescent="0.25">
      <c r="A76" s="121"/>
      <c r="B76" s="121"/>
      <c r="C76" s="121"/>
      <c r="D76" s="121"/>
      <c r="E76" s="121"/>
      <c r="F76" s="121"/>
      <c r="G76" s="121"/>
      <c r="H76" s="121"/>
      <c r="I76" s="121"/>
      <c r="J76" s="121"/>
      <c r="K76" s="121"/>
      <c r="L76" s="121"/>
      <c r="M76" s="121"/>
      <c r="N76" s="121"/>
      <c r="O76" s="121"/>
      <c r="P76" s="121"/>
      <c r="Q76" s="121"/>
      <c r="R76" s="121"/>
      <c r="S76" s="121"/>
      <c r="T76" s="121"/>
      <c r="U76" s="121"/>
      <c r="V76" s="121"/>
      <c r="W76" s="121"/>
      <c r="X76" s="121"/>
      <c r="Y76" s="121"/>
      <c r="Z76" s="121"/>
      <c r="AA76" s="121"/>
      <c r="AB76" s="121"/>
      <c r="AC76" s="121"/>
      <c r="AD76" s="121"/>
      <c r="AE76" s="121"/>
    </row>
    <row r="77" spans="1:31" x14ac:dyDescent="0.25">
      <c r="A77" s="121"/>
      <c r="B77" s="121"/>
      <c r="C77" s="121"/>
      <c r="D77" s="121"/>
      <c r="E77" s="121"/>
      <c r="F77" s="121"/>
      <c r="G77" s="121"/>
      <c r="H77" s="121"/>
      <c r="I77" s="121"/>
      <c r="J77" s="121"/>
      <c r="K77" s="121"/>
      <c r="L77" s="121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1"/>
      <c r="AA77" s="121"/>
      <c r="AB77" s="121"/>
      <c r="AC77" s="121"/>
      <c r="AD77" s="121"/>
      <c r="AE77" s="121"/>
    </row>
    <row r="78" spans="1:31" x14ac:dyDescent="0.25">
      <c r="A78" s="121"/>
      <c r="B78" s="121"/>
      <c r="C78" s="121"/>
      <c r="D78" s="121"/>
      <c r="E78" s="121"/>
      <c r="F78" s="121"/>
      <c r="G78" s="121"/>
      <c r="H78" s="121"/>
      <c r="I78" s="121"/>
      <c r="J78" s="121"/>
      <c r="K78" s="121"/>
      <c r="L78" s="121"/>
      <c r="M78" s="121"/>
      <c r="N78" s="121"/>
      <c r="O78" s="121"/>
      <c r="P78" s="121"/>
      <c r="Q78" s="121"/>
      <c r="R78" s="121"/>
      <c r="S78" s="121"/>
      <c r="T78" s="121"/>
      <c r="U78" s="121"/>
      <c r="V78" s="121"/>
      <c r="W78" s="121"/>
      <c r="X78" s="121"/>
      <c r="Y78" s="121"/>
      <c r="Z78" s="121"/>
      <c r="AA78" s="121"/>
      <c r="AB78" s="121"/>
      <c r="AC78" s="121"/>
      <c r="AD78" s="121"/>
      <c r="AE78" s="121"/>
    </row>
    <row r="79" spans="1:31" x14ac:dyDescent="0.25">
      <c r="A79" s="121"/>
      <c r="B79" s="121"/>
      <c r="C79" s="121"/>
      <c r="D79" s="121"/>
      <c r="E79" s="121"/>
      <c r="F79" s="121"/>
      <c r="G79" s="121"/>
      <c r="H79" s="121"/>
      <c r="I79" s="121"/>
      <c r="J79" s="121"/>
      <c r="K79" s="121"/>
      <c r="L79" s="121"/>
      <c r="M79" s="121"/>
      <c r="N79" s="121"/>
      <c r="O79" s="121"/>
      <c r="P79" s="121"/>
      <c r="Q79" s="121"/>
      <c r="R79" s="121"/>
      <c r="S79" s="121"/>
      <c r="T79" s="121"/>
      <c r="U79" s="121"/>
      <c r="V79" s="121"/>
      <c r="W79" s="121"/>
      <c r="X79" s="121"/>
      <c r="Y79" s="121"/>
      <c r="Z79" s="121"/>
      <c r="AA79" s="121"/>
      <c r="AB79" s="121"/>
      <c r="AC79" s="121"/>
      <c r="AD79" s="121"/>
      <c r="AE79" s="121"/>
    </row>
    <row r="80" spans="1:31" x14ac:dyDescent="0.25">
      <c r="A80" s="121"/>
      <c r="B80" s="121"/>
      <c r="C80" s="121"/>
      <c r="D80" s="121"/>
      <c r="E80" s="121"/>
      <c r="F80" s="121"/>
      <c r="G80" s="121"/>
      <c r="H80" s="121"/>
      <c r="I80" s="121"/>
      <c r="J80" s="121"/>
      <c r="K80" s="121"/>
      <c r="L80" s="121"/>
      <c r="M80" s="121"/>
      <c r="N80" s="121"/>
      <c r="O80" s="121"/>
      <c r="P80" s="121"/>
      <c r="Q80" s="121"/>
      <c r="R80" s="121"/>
      <c r="S80" s="121"/>
      <c r="T80" s="121"/>
      <c r="U80" s="121"/>
      <c r="V80" s="121"/>
      <c r="W80" s="121"/>
      <c r="X80" s="121"/>
      <c r="Y80" s="121"/>
      <c r="Z80" s="121"/>
      <c r="AA80" s="121"/>
      <c r="AB80" s="121"/>
      <c r="AC80" s="121"/>
      <c r="AD80" s="121"/>
      <c r="AE80" s="121"/>
    </row>
    <row r="81" spans="1:31" x14ac:dyDescent="0.25">
      <c r="A81" s="121"/>
      <c r="B81" s="121"/>
      <c r="C81" s="121"/>
      <c r="D81" s="121"/>
      <c r="E81" s="121"/>
      <c r="F81" s="121"/>
      <c r="G81" s="121"/>
      <c r="H81" s="121"/>
      <c r="I81" s="121"/>
      <c r="J81" s="121"/>
      <c r="K81" s="121"/>
      <c r="L81" s="121"/>
      <c r="M81" s="121"/>
      <c r="N81" s="121"/>
      <c r="O81" s="121"/>
      <c r="P81" s="121"/>
      <c r="Q81" s="121"/>
      <c r="R81" s="121"/>
      <c r="S81" s="121"/>
      <c r="T81" s="121"/>
      <c r="U81" s="121"/>
      <c r="V81" s="121"/>
      <c r="W81" s="121"/>
      <c r="X81" s="121"/>
      <c r="Y81" s="121"/>
      <c r="Z81" s="121"/>
      <c r="AA81" s="121"/>
      <c r="AB81" s="121"/>
      <c r="AC81" s="121"/>
      <c r="AD81" s="121"/>
      <c r="AE81" s="121"/>
    </row>
    <row r="82" spans="1:31" x14ac:dyDescent="0.25">
      <c r="A82" s="121"/>
      <c r="B82" s="121"/>
      <c r="C82" s="121"/>
      <c r="D82" s="121"/>
      <c r="E82" s="121"/>
      <c r="F82" s="121"/>
      <c r="G82" s="121"/>
      <c r="H82" s="121"/>
      <c r="I82" s="121"/>
      <c r="J82" s="121"/>
      <c r="K82" s="121"/>
      <c r="L82" s="121"/>
      <c r="M82" s="121"/>
      <c r="N82" s="121"/>
      <c r="O82" s="121"/>
      <c r="P82" s="121"/>
      <c r="Q82" s="121"/>
      <c r="R82" s="121"/>
      <c r="S82" s="121"/>
      <c r="T82" s="121"/>
      <c r="U82" s="121"/>
      <c r="V82" s="121"/>
      <c r="W82" s="121"/>
      <c r="X82" s="121"/>
      <c r="Y82" s="121"/>
      <c r="Z82" s="121"/>
      <c r="AA82" s="121"/>
      <c r="AB82" s="121"/>
      <c r="AC82" s="121"/>
      <c r="AD82" s="121"/>
      <c r="AE82" s="121"/>
    </row>
    <row r="83" spans="1:31" x14ac:dyDescent="0.25">
      <c r="A83" s="121"/>
      <c r="B83" s="121"/>
      <c r="C83" s="121"/>
      <c r="D83" s="121"/>
      <c r="E83" s="121"/>
      <c r="F83" s="121"/>
      <c r="G83" s="121"/>
      <c r="H83" s="121"/>
      <c r="I83" s="121"/>
      <c r="J83" s="121"/>
      <c r="K83" s="121"/>
      <c r="L83" s="121"/>
      <c r="M83" s="121"/>
      <c r="N83" s="121"/>
      <c r="O83" s="121"/>
      <c r="P83" s="121"/>
      <c r="Q83" s="121"/>
      <c r="R83" s="121"/>
      <c r="S83" s="121"/>
      <c r="T83" s="121"/>
      <c r="U83" s="121"/>
      <c r="V83" s="121"/>
      <c r="W83" s="121"/>
      <c r="X83" s="121"/>
      <c r="Y83" s="121"/>
      <c r="Z83" s="121"/>
      <c r="AA83" s="121"/>
      <c r="AB83" s="121"/>
      <c r="AC83" s="121"/>
      <c r="AD83" s="121"/>
      <c r="AE83" s="121"/>
    </row>
    <row r="84" spans="1:31" x14ac:dyDescent="0.25">
      <c r="A84" s="121"/>
      <c r="B84" s="121"/>
      <c r="C84" s="121"/>
      <c r="D84" s="121"/>
      <c r="E84" s="121"/>
      <c r="F84" s="121"/>
      <c r="G84" s="121"/>
      <c r="H84" s="121"/>
      <c r="I84" s="121"/>
      <c r="J84" s="121"/>
      <c r="K84" s="121"/>
      <c r="L84" s="121"/>
      <c r="M84" s="121"/>
      <c r="N84" s="121"/>
      <c r="O84" s="121"/>
      <c r="P84" s="121"/>
      <c r="Q84" s="121"/>
      <c r="R84" s="121"/>
      <c r="S84" s="121"/>
      <c r="T84" s="121"/>
      <c r="U84" s="121"/>
      <c r="V84" s="121"/>
      <c r="W84" s="121"/>
      <c r="X84" s="121"/>
      <c r="Y84" s="121"/>
      <c r="Z84" s="121"/>
      <c r="AA84" s="121"/>
      <c r="AB84" s="121"/>
      <c r="AC84" s="121"/>
      <c r="AD84" s="121"/>
      <c r="AE84" s="121"/>
    </row>
    <row r="85" spans="1:31" x14ac:dyDescent="0.25">
      <c r="A85" s="121"/>
      <c r="B85" s="121"/>
      <c r="C85" s="121"/>
      <c r="D85" s="121"/>
      <c r="E85" s="121"/>
      <c r="F85" s="121"/>
      <c r="G85" s="121"/>
      <c r="H85" s="121"/>
      <c r="I85" s="121"/>
      <c r="J85" s="121"/>
      <c r="K85" s="121"/>
      <c r="L85" s="121"/>
      <c r="M85" s="121"/>
      <c r="N85" s="121"/>
      <c r="O85" s="121"/>
      <c r="P85" s="121"/>
      <c r="Q85" s="121"/>
      <c r="R85" s="121"/>
      <c r="S85" s="121"/>
      <c r="T85" s="121"/>
      <c r="U85" s="121"/>
      <c r="V85" s="121"/>
      <c r="W85" s="121"/>
      <c r="X85" s="121"/>
      <c r="Y85" s="121"/>
      <c r="Z85" s="121"/>
      <c r="AA85" s="121"/>
      <c r="AB85" s="121"/>
      <c r="AC85" s="121"/>
      <c r="AD85" s="121"/>
      <c r="AE85" s="121"/>
    </row>
    <row r="86" spans="1:31" x14ac:dyDescent="0.25">
      <c r="A86" s="121"/>
      <c r="B86" s="121"/>
      <c r="C86" s="121"/>
      <c r="D86" s="121"/>
      <c r="E86" s="121"/>
      <c r="F86" s="121"/>
      <c r="G86" s="121"/>
      <c r="H86" s="121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 s="121"/>
      <c r="Y86" s="121"/>
      <c r="Z86" s="121"/>
      <c r="AA86" s="121"/>
      <c r="AB86" s="121"/>
      <c r="AC86" s="121"/>
      <c r="AD86" s="121"/>
      <c r="AE86" s="121"/>
    </row>
    <row r="87" spans="1:31" x14ac:dyDescent="0.25">
      <c r="A87" s="121"/>
      <c r="B87" s="121"/>
      <c r="C87" s="121"/>
      <c r="D87" s="121"/>
      <c r="E87" s="121"/>
      <c r="F87" s="121"/>
      <c r="G87" s="121"/>
      <c r="H87" s="121"/>
      <c r="I87" s="121"/>
      <c r="J87" s="121"/>
      <c r="K87" s="121"/>
      <c r="L87" s="121"/>
      <c r="M87" s="121"/>
      <c r="N87" s="121"/>
      <c r="O87" s="121"/>
      <c r="P87" s="121"/>
      <c r="Q87" s="121"/>
      <c r="R87" s="121"/>
      <c r="S87" s="121"/>
      <c r="T87" s="121"/>
      <c r="U87" s="121"/>
      <c r="V87" s="121"/>
      <c r="W87" s="121"/>
      <c r="X87" s="121"/>
      <c r="Y87" s="121"/>
      <c r="Z87" s="121"/>
      <c r="AA87" s="121"/>
      <c r="AB87" s="121"/>
      <c r="AC87" s="121"/>
      <c r="AD87" s="121"/>
      <c r="AE87" s="121"/>
    </row>
    <row r="88" spans="1:31" x14ac:dyDescent="0.25">
      <c r="A88" s="121"/>
      <c r="B88" s="121"/>
      <c r="C88" s="121"/>
      <c r="D88" s="121"/>
      <c r="E88" s="121"/>
      <c r="F88" s="121"/>
      <c r="G88" s="121"/>
      <c r="H88" s="121"/>
      <c r="I88" s="121"/>
      <c r="J88" s="121"/>
      <c r="K88" s="121"/>
      <c r="L88" s="121"/>
      <c r="M88" s="121"/>
      <c r="N88" s="121"/>
      <c r="O88" s="121"/>
      <c r="P88" s="121"/>
      <c r="Q88" s="121"/>
      <c r="R88" s="121"/>
      <c r="S88" s="121"/>
      <c r="T88" s="121"/>
      <c r="U88" s="121"/>
      <c r="V88" s="121"/>
      <c r="W88" s="121"/>
      <c r="X88" s="121"/>
      <c r="Y88" s="121"/>
      <c r="Z88" s="121"/>
      <c r="AA88" s="121"/>
      <c r="AB88" s="121"/>
      <c r="AC88" s="121"/>
      <c r="AD88" s="121"/>
      <c r="AE88" s="121"/>
    </row>
    <row r="89" spans="1:31" x14ac:dyDescent="0.25">
      <c r="A89" s="121"/>
      <c r="B89" s="121"/>
      <c r="C89" s="121"/>
      <c r="D89" s="121"/>
      <c r="E89" s="121"/>
      <c r="F89" s="121"/>
      <c r="G89" s="121"/>
      <c r="H89" s="121"/>
      <c r="I89" s="121"/>
      <c r="J89" s="121"/>
      <c r="K89" s="121"/>
      <c r="L89" s="121"/>
      <c r="M89" s="121"/>
      <c r="N89" s="121"/>
      <c r="O89" s="121"/>
      <c r="P89" s="121"/>
      <c r="Q89" s="121"/>
      <c r="R89" s="121"/>
      <c r="S89" s="121"/>
      <c r="T89" s="121"/>
      <c r="U89" s="121"/>
      <c r="V89" s="121"/>
      <c r="W89" s="121"/>
      <c r="X89" s="121"/>
      <c r="Y89" s="121"/>
      <c r="Z89" s="121"/>
      <c r="AA89" s="121"/>
      <c r="AB89" s="121"/>
      <c r="AC89" s="121"/>
      <c r="AD89" s="121"/>
      <c r="AE89" s="121"/>
    </row>
    <row r="90" spans="1:31" x14ac:dyDescent="0.25">
      <c r="A90" s="121"/>
      <c r="B90" s="121"/>
      <c r="C90" s="121"/>
      <c r="D90" s="121"/>
      <c r="E90" s="121"/>
      <c r="F90" s="121"/>
      <c r="G90" s="121"/>
      <c r="H90" s="121"/>
      <c r="I90" s="121"/>
      <c r="J90" s="121"/>
      <c r="K90" s="121"/>
      <c r="L90" s="121"/>
      <c r="M90" s="121"/>
      <c r="N90" s="121"/>
      <c r="O90" s="121"/>
      <c r="P90" s="121"/>
      <c r="Q90" s="121"/>
      <c r="R90" s="121"/>
      <c r="S90" s="121"/>
      <c r="T90" s="121"/>
      <c r="U90" s="121"/>
      <c r="V90" s="121"/>
      <c r="W90" s="121"/>
      <c r="X90" s="121"/>
      <c r="Y90" s="121"/>
      <c r="Z90" s="121"/>
      <c r="AA90" s="121"/>
      <c r="AB90" s="121"/>
      <c r="AC90" s="121"/>
      <c r="AD90" s="121"/>
      <c r="AE90" s="121"/>
    </row>
    <row r="91" spans="1:31" x14ac:dyDescent="0.25">
      <c r="A91" s="121"/>
      <c r="B91" s="121"/>
      <c r="C91" s="121"/>
      <c r="D91" s="121"/>
      <c r="E91" s="121"/>
      <c r="F91" s="121"/>
      <c r="G91" s="121"/>
      <c r="H91" s="121"/>
      <c r="I91" s="121"/>
      <c r="J91" s="121"/>
      <c r="K91" s="121"/>
      <c r="L91" s="121"/>
      <c r="M91" s="121"/>
      <c r="N91" s="121"/>
      <c r="O91" s="121"/>
      <c r="P91" s="121"/>
      <c r="Q91" s="121"/>
      <c r="R91" s="121"/>
      <c r="S91" s="121"/>
      <c r="T91" s="121"/>
      <c r="U91" s="121"/>
      <c r="V91" s="121"/>
      <c r="W91" s="121"/>
      <c r="X91" s="121"/>
      <c r="Y91" s="121"/>
      <c r="Z91" s="121"/>
      <c r="AA91" s="121"/>
      <c r="AB91" s="121"/>
      <c r="AC91" s="121"/>
      <c r="AD91" s="121"/>
      <c r="AE91" s="121"/>
    </row>
    <row r="92" spans="1:31" x14ac:dyDescent="0.25">
      <c r="A92" s="121"/>
      <c r="B92" s="121"/>
      <c r="C92" s="121"/>
      <c r="D92" s="121"/>
      <c r="E92" s="121"/>
      <c r="F92" s="121"/>
      <c r="G92" s="121"/>
      <c r="H92" s="121"/>
      <c r="I92" s="121"/>
      <c r="J92" s="121"/>
      <c r="K92" s="121"/>
      <c r="L92" s="121"/>
      <c r="M92" s="121"/>
      <c r="N92" s="121"/>
      <c r="O92" s="121"/>
      <c r="P92" s="121"/>
      <c r="Q92" s="121"/>
      <c r="R92" s="121"/>
      <c r="S92" s="121"/>
      <c r="T92" s="121"/>
      <c r="U92" s="121"/>
      <c r="V92" s="121"/>
      <c r="W92" s="121"/>
      <c r="X92" s="121"/>
      <c r="Y92" s="121"/>
      <c r="Z92" s="121"/>
      <c r="AA92" s="121"/>
      <c r="AB92" s="121"/>
      <c r="AC92" s="121"/>
      <c r="AD92" s="121"/>
      <c r="AE92" s="121"/>
    </row>
    <row r="93" spans="1:31" x14ac:dyDescent="0.25">
      <c r="A93" s="121"/>
      <c r="B93" s="121"/>
      <c r="C93" s="121"/>
      <c r="D93" s="121"/>
      <c r="E93" s="121"/>
      <c r="F93" s="121"/>
      <c r="G93" s="121"/>
      <c r="H93" s="121"/>
      <c r="I93" s="121"/>
      <c r="J93" s="121"/>
      <c r="K93" s="121"/>
      <c r="L93" s="121"/>
      <c r="M93" s="121"/>
      <c r="N93" s="121"/>
      <c r="O93" s="121"/>
      <c r="P93" s="121"/>
      <c r="Q93" s="121"/>
      <c r="R93" s="121"/>
      <c r="S93" s="121"/>
      <c r="T93" s="121"/>
      <c r="U93" s="121"/>
      <c r="V93" s="121"/>
      <c r="W93" s="121"/>
      <c r="X93" s="121"/>
      <c r="Y93" s="121"/>
      <c r="Z93" s="121"/>
      <c r="AA93" s="121"/>
      <c r="AB93" s="121"/>
      <c r="AC93" s="121"/>
      <c r="AD93" s="121"/>
      <c r="AE93" s="121"/>
    </row>
    <row r="94" spans="1:31" x14ac:dyDescent="0.25">
      <c r="A94" s="121"/>
      <c r="B94" s="121"/>
      <c r="C94" s="121"/>
      <c r="D94" s="121"/>
      <c r="E94" s="121"/>
      <c r="F94" s="121"/>
      <c r="G94" s="121"/>
      <c r="H94" s="121"/>
      <c r="I94" s="121"/>
      <c r="J94" s="121"/>
      <c r="K94" s="121"/>
      <c r="L94" s="121"/>
      <c r="M94" s="121"/>
      <c r="N94" s="121"/>
      <c r="O94" s="121"/>
      <c r="P94" s="121"/>
      <c r="Q94" s="121"/>
      <c r="R94" s="121"/>
      <c r="S94" s="121"/>
      <c r="T94" s="121"/>
      <c r="U94" s="121"/>
      <c r="V94" s="121"/>
      <c r="W94" s="121"/>
      <c r="X94" s="121"/>
      <c r="Y94" s="121"/>
      <c r="Z94" s="121"/>
      <c r="AA94" s="121"/>
      <c r="AB94" s="121"/>
      <c r="AC94" s="121"/>
      <c r="AD94" s="121"/>
      <c r="AE94" s="121"/>
    </row>
    <row r="95" spans="1:31" x14ac:dyDescent="0.25">
      <c r="A95" s="121"/>
      <c r="B95" s="121"/>
      <c r="C95" s="121"/>
      <c r="D95" s="121"/>
      <c r="E95" s="121"/>
      <c r="F95" s="121"/>
      <c r="G95" s="121"/>
      <c r="H95" s="121"/>
      <c r="I95" s="121"/>
      <c r="J95" s="121"/>
      <c r="K95" s="121"/>
      <c r="L95" s="121"/>
      <c r="M95" s="121"/>
      <c r="N95" s="121"/>
      <c r="O95" s="121"/>
      <c r="P95" s="121"/>
      <c r="Q95" s="121"/>
      <c r="R95" s="121"/>
      <c r="S95" s="121"/>
      <c r="T95" s="121"/>
      <c r="U95" s="121"/>
      <c r="V95" s="121"/>
      <c r="W95" s="121"/>
      <c r="X95" s="121"/>
      <c r="Y95" s="121"/>
      <c r="Z95" s="121"/>
      <c r="AA95" s="121"/>
      <c r="AB95" s="121"/>
      <c r="AC95" s="121"/>
      <c r="AD95" s="121"/>
      <c r="AE95" s="121"/>
    </row>
    <row r="96" spans="1:31" x14ac:dyDescent="0.25">
      <c r="A96" s="121"/>
      <c r="B96" s="121"/>
      <c r="C96" s="121"/>
      <c r="D96" s="121"/>
      <c r="E96" s="121"/>
      <c r="F96" s="121"/>
      <c r="G96" s="121"/>
      <c r="H96" s="121"/>
      <c r="I96" s="121"/>
      <c r="J96" s="121"/>
      <c r="K96" s="121"/>
      <c r="L96" s="121"/>
      <c r="M96" s="121"/>
      <c r="N96" s="121"/>
      <c r="O96" s="121"/>
      <c r="P96" s="121"/>
      <c r="Q96" s="121"/>
      <c r="R96" s="121"/>
      <c r="S96" s="121"/>
      <c r="T96" s="121"/>
      <c r="U96" s="121"/>
      <c r="V96" s="121"/>
      <c r="W96" s="121"/>
      <c r="X96" s="121"/>
      <c r="Y96" s="121"/>
      <c r="Z96" s="121"/>
      <c r="AA96" s="121"/>
      <c r="AB96" s="121"/>
      <c r="AC96" s="121"/>
      <c r="AD96" s="121"/>
      <c r="AE96" s="121"/>
    </row>
    <row r="97" spans="1:31" x14ac:dyDescent="0.25">
      <c r="A97" s="121"/>
      <c r="B97" s="121"/>
      <c r="C97" s="121"/>
      <c r="D97" s="121"/>
      <c r="E97" s="121"/>
      <c r="F97" s="121"/>
      <c r="G97" s="121"/>
      <c r="H97" s="121"/>
      <c r="I97" s="121"/>
      <c r="J97" s="121"/>
      <c r="K97" s="121"/>
      <c r="L97" s="121"/>
      <c r="M97" s="121"/>
      <c r="N97" s="121"/>
      <c r="O97" s="121"/>
      <c r="P97" s="121"/>
      <c r="Q97" s="121"/>
      <c r="R97" s="121"/>
      <c r="S97" s="121"/>
      <c r="T97" s="121"/>
      <c r="U97" s="121"/>
      <c r="V97" s="121"/>
      <c r="W97" s="121"/>
      <c r="X97" s="121"/>
      <c r="Y97" s="121"/>
      <c r="Z97" s="121"/>
      <c r="AA97" s="121"/>
      <c r="AB97" s="121"/>
      <c r="AC97" s="121"/>
      <c r="AD97" s="121"/>
      <c r="AE97" s="121"/>
    </row>
    <row r="98" spans="1:31" x14ac:dyDescent="0.25">
      <c r="A98" s="121"/>
      <c r="B98" s="121"/>
      <c r="C98" s="121"/>
      <c r="D98" s="121"/>
      <c r="E98" s="121"/>
      <c r="F98" s="121"/>
      <c r="G98" s="121"/>
      <c r="H98" s="121"/>
      <c r="I98" s="121"/>
      <c r="J98" s="121"/>
      <c r="K98" s="121"/>
      <c r="L98" s="121"/>
      <c r="M98" s="121"/>
      <c r="N98" s="121"/>
      <c r="O98" s="121"/>
      <c r="P98" s="121"/>
      <c r="Q98" s="121"/>
      <c r="R98" s="121"/>
      <c r="S98" s="121"/>
      <c r="T98" s="121"/>
      <c r="U98" s="121"/>
      <c r="V98" s="121"/>
      <c r="W98" s="121"/>
      <c r="X98" s="121"/>
      <c r="Y98" s="121"/>
      <c r="Z98" s="121"/>
      <c r="AA98" s="121"/>
      <c r="AB98" s="121"/>
      <c r="AC98" s="121"/>
      <c r="AD98" s="121"/>
      <c r="AE98" s="121"/>
    </row>
    <row r="99" spans="1:31" x14ac:dyDescent="0.25">
      <c r="A99" s="121"/>
      <c r="B99" s="121"/>
      <c r="C99" s="121"/>
      <c r="D99" s="121"/>
      <c r="E99" s="121"/>
      <c r="F99" s="121"/>
      <c r="G99" s="121"/>
      <c r="H99" s="121"/>
      <c r="I99" s="121"/>
      <c r="J99" s="121"/>
      <c r="K99" s="121"/>
      <c r="L99" s="121"/>
      <c r="M99" s="121"/>
      <c r="N99" s="121"/>
      <c r="O99" s="121"/>
      <c r="P99" s="121"/>
      <c r="Q99" s="121"/>
      <c r="R99" s="121"/>
      <c r="S99" s="121"/>
      <c r="T99" s="121"/>
      <c r="U99" s="121"/>
      <c r="V99" s="121"/>
      <c r="W99" s="121"/>
      <c r="X99" s="121"/>
      <c r="Y99" s="121"/>
      <c r="Z99" s="121"/>
      <c r="AA99" s="121"/>
      <c r="AB99" s="121"/>
      <c r="AC99" s="121"/>
      <c r="AD99" s="121"/>
      <c r="AE99" s="121"/>
    </row>
    <row r="100" spans="1:31" x14ac:dyDescent="0.25">
      <c r="A100" s="121"/>
      <c r="B100" s="121"/>
      <c r="C100" s="121"/>
      <c r="D100" s="121"/>
      <c r="E100" s="121"/>
      <c r="F100" s="121"/>
      <c r="G100" s="121"/>
      <c r="H100" s="121"/>
      <c r="I100" s="121"/>
      <c r="J100" s="121"/>
      <c r="K100" s="121"/>
      <c r="L100" s="121"/>
      <c r="M100" s="121"/>
      <c r="N100" s="121"/>
      <c r="O100" s="121"/>
      <c r="P100" s="121"/>
      <c r="Q100" s="121"/>
      <c r="R100" s="121"/>
      <c r="S100" s="121"/>
      <c r="T100" s="121"/>
      <c r="U100" s="121"/>
      <c r="V100" s="121"/>
      <c r="W100" s="121"/>
      <c r="X100" s="121"/>
      <c r="Y100" s="121"/>
      <c r="Z100" s="121"/>
      <c r="AA100" s="121"/>
      <c r="AB100" s="121"/>
      <c r="AC100" s="121"/>
      <c r="AD100" s="121"/>
      <c r="AE100" s="121"/>
    </row>
    <row r="101" spans="1:31" x14ac:dyDescent="0.25">
      <c r="A101" s="121"/>
      <c r="B101" s="121"/>
      <c r="C101" s="121"/>
      <c r="D101" s="121"/>
      <c r="E101" s="121"/>
      <c r="F101" s="121"/>
      <c r="G101" s="121"/>
      <c r="H101" s="121"/>
      <c r="I101" s="121"/>
      <c r="J101" s="121"/>
      <c r="K101" s="121"/>
      <c r="L101" s="121"/>
      <c r="M101" s="121"/>
      <c r="N101" s="121"/>
      <c r="O101" s="121"/>
      <c r="P101" s="121"/>
      <c r="Q101" s="121"/>
      <c r="R101" s="121"/>
      <c r="S101" s="121"/>
      <c r="T101" s="121"/>
      <c r="U101" s="121"/>
      <c r="V101" s="121"/>
      <c r="W101" s="121"/>
      <c r="X101" s="121"/>
      <c r="Y101" s="121"/>
      <c r="Z101" s="121"/>
      <c r="AA101" s="121"/>
      <c r="AB101" s="121"/>
      <c r="AC101" s="121"/>
      <c r="AD101" s="121"/>
      <c r="AE101" s="121"/>
    </row>
    <row r="102" spans="1:31" x14ac:dyDescent="0.25">
      <c r="A102" s="121"/>
      <c r="B102" s="121"/>
      <c r="C102" s="121"/>
      <c r="D102" s="121"/>
      <c r="E102" s="121"/>
      <c r="F102" s="121"/>
      <c r="G102" s="121"/>
      <c r="H102" s="121"/>
      <c r="I102" s="121"/>
      <c r="J102" s="121"/>
      <c r="K102" s="121"/>
      <c r="L102" s="121"/>
      <c r="M102" s="121"/>
      <c r="N102" s="121"/>
      <c r="O102" s="121"/>
      <c r="P102" s="121"/>
      <c r="Q102" s="121"/>
      <c r="R102" s="121"/>
      <c r="S102" s="121"/>
      <c r="T102" s="121"/>
      <c r="U102" s="121"/>
      <c r="V102" s="121"/>
      <c r="W102" s="121"/>
      <c r="X102" s="121"/>
      <c r="Y102" s="121"/>
      <c r="Z102" s="121"/>
      <c r="AA102" s="121"/>
      <c r="AB102" s="121"/>
      <c r="AC102" s="121"/>
      <c r="AD102" s="121"/>
      <c r="AE102" s="121"/>
    </row>
    <row r="103" spans="1:31" x14ac:dyDescent="0.25">
      <c r="A103" s="121"/>
      <c r="B103" s="121"/>
      <c r="C103" s="121"/>
      <c r="D103" s="121"/>
      <c r="E103" s="121"/>
      <c r="F103" s="121"/>
      <c r="G103" s="121"/>
      <c r="H103" s="121"/>
      <c r="I103" s="121"/>
      <c r="J103" s="121"/>
      <c r="K103" s="121"/>
      <c r="L103" s="121"/>
      <c r="M103" s="121"/>
      <c r="N103" s="121"/>
      <c r="O103" s="121"/>
      <c r="P103" s="121"/>
      <c r="Q103" s="121"/>
      <c r="R103" s="121"/>
      <c r="S103" s="121"/>
      <c r="T103" s="121"/>
      <c r="U103" s="121"/>
      <c r="V103" s="121"/>
      <c r="W103" s="121"/>
      <c r="X103" s="121"/>
      <c r="Y103" s="121"/>
      <c r="Z103" s="121"/>
      <c r="AA103" s="121"/>
      <c r="AB103" s="121"/>
      <c r="AC103" s="121"/>
      <c r="AD103" s="121"/>
      <c r="AE103" s="121"/>
    </row>
    <row r="104" spans="1:31" x14ac:dyDescent="0.25">
      <c r="A104" s="121"/>
      <c r="B104" s="121"/>
      <c r="C104" s="121"/>
      <c r="D104" s="121"/>
      <c r="E104" s="121"/>
      <c r="F104" s="121"/>
      <c r="G104" s="121"/>
      <c r="H104" s="121"/>
      <c r="I104" s="121"/>
      <c r="J104" s="121"/>
      <c r="K104" s="121"/>
      <c r="L104" s="121"/>
      <c r="M104" s="121"/>
      <c r="N104" s="121"/>
      <c r="O104" s="121"/>
      <c r="P104" s="121"/>
      <c r="Q104" s="121"/>
      <c r="R104" s="121"/>
      <c r="S104" s="121"/>
      <c r="T104" s="121"/>
      <c r="U104" s="121"/>
      <c r="V104" s="121"/>
      <c r="W104" s="121"/>
      <c r="X104" s="121"/>
      <c r="Y104" s="121"/>
      <c r="Z104" s="121"/>
      <c r="AA104" s="121"/>
      <c r="AB104" s="121"/>
      <c r="AC104" s="121"/>
      <c r="AD104" s="121"/>
      <c r="AE104" s="121"/>
    </row>
    <row r="105" spans="1:31" x14ac:dyDescent="0.25">
      <c r="A105" s="121"/>
      <c r="B105" s="121"/>
      <c r="C105" s="121"/>
      <c r="D105" s="121"/>
      <c r="E105" s="121"/>
      <c r="F105" s="121"/>
      <c r="G105" s="121"/>
      <c r="H105" s="121"/>
      <c r="I105" s="121"/>
      <c r="J105" s="121"/>
      <c r="K105" s="121"/>
      <c r="L105" s="121"/>
      <c r="M105" s="121"/>
      <c r="N105" s="121"/>
      <c r="O105" s="121"/>
      <c r="P105" s="121"/>
      <c r="Q105" s="121"/>
      <c r="R105" s="121"/>
      <c r="S105" s="121"/>
      <c r="T105" s="121"/>
      <c r="U105" s="121"/>
      <c r="V105" s="121"/>
      <c r="W105" s="121"/>
      <c r="X105" s="121"/>
      <c r="Y105" s="121"/>
      <c r="Z105" s="121"/>
      <c r="AA105" s="121"/>
      <c r="AB105" s="121"/>
      <c r="AC105" s="121"/>
      <c r="AD105" s="121"/>
      <c r="AE105" s="121"/>
    </row>
    <row r="106" spans="1:31" x14ac:dyDescent="0.25">
      <c r="A106" s="121"/>
      <c r="B106" s="121"/>
      <c r="C106" s="121"/>
      <c r="D106" s="121"/>
      <c r="E106" s="121"/>
      <c r="F106" s="121"/>
      <c r="G106" s="121"/>
      <c r="H106" s="121"/>
      <c r="I106" s="121"/>
      <c r="J106" s="121"/>
      <c r="K106" s="121"/>
      <c r="L106" s="121"/>
      <c r="M106" s="121"/>
      <c r="N106" s="121"/>
      <c r="O106" s="121"/>
      <c r="P106" s="121"/>
      <c r="Q106" s="121"/>
      <c r="R106" s="121"/>
      <c r="S106" s="121"/>
      <c r="T106" s="121"/>
      <c r="U106" s="121"/>
      <c r="V106" s="121"/>
      <c r="W106" s="121"/>
      <c r="X106" s="121"/>
      <c r="Y106" s="121"/>
      <c r="Z106" s="121"/>
      <c r="AA106" s="121"/>
      <c r="AB106" s="121"/>
      <c r="AC106" s="121"/>
      <c r="AD106" s="121"/>
      <c r="AE106" s="121"/>
    </row>
    <row r="107" spans="1:31" x14ac:dyDescent="0.25">
      <c r="A107" s="121"/>
      <c r="B107" s="121"/>
      <c r="C107" s="121"/>
      <c r="D107" s="121"/>
      <c r="E107" s="121"/>
      <c r="F107" s="121"/>
      <c r="G107" s="121"/>
      <c r="H107" s="121"/>
      <c r="I107" s="121"/>
      <c r="J107" s="121"/>
      <c r="K107" s="121"/>
      <c r="L107" s="121"/>
      <c r="M107" s="121"/>
      <c r="N107" s="121"/>
      <c r="O107" s="121"/>
      <c r="P107" s="121"/>
      <c r="Q107" s="121"/>
      <c r="R107" s="121"/>
      <c r="S107" s="121"/>
      <c r="T107" s="121"/>
      <c r="U107" s="121"/>
      <c r="V107" s="121"/>
      <c r="W107" s="121"/>
      <c r="X107" s="121"/>
      <c r="Y107" s="121"/>
      <c r="Z107" s="121"/>
      <c r="AA107" s="121"/>
      <c r="AB107" s="121"/>
      <c r="AC107" s="121"/>
      <c r="AD107" s="121"/>
      <c r="AE107" s="121"/>
    </row>
    <row r="108" spans="1:31" x14ac:dyDescent="0.25">
      <c r="A108" s="121"/>
      <c r="B108" s="121"/>
      <c r="C108" s="121"/>
      <c r="D108" s="121"/>
      <c r="E108" s="121"/>
      <c r="F108" s="121"/>
      <c r="G108" s="121"/>
      <c r="H108" s="121"/>
      <c r="I108" s="121"/>
      <c r="J108" s="121"/>
      <c r="K108" s="121"/>
      <c r="L108" s="121"/>
      <c r="M108" s="121"/>
      <c r="N108" s="121"/>
      <c r="O108" s="121"/>
      <c r="P108" s="121"/>
      <c r="Q108" s="121"/>
      <c r="R108" s="121"/>
      <c r="S108" s="121"/>
      <c r="T108" s="121"/>
      <c r="U108" s="121"/>
      <c r="V108" s="121"/>
      <c r="W108" s="121"/>
      <c r="X108" s="121"/>
      <c r="Y108" s="121"/>
      <c r="Z108" s="121"/>
      <c r="AA108" s="121"/>
      <c r="AB108" s="121"/>
      <c r="AC108" s="121"/>
      <c r="AD108" s="121"/>
      <c r="AE108" s="121"/>
    </row>
    <row r="109" spans="1:31" x14ac:dyDescent="0.25">
      <c r="A109" s="121"/>
      <c r="B109" s="121"/>
      <c r="C109" s="121"/>
      <c r="D109" s="121"/>
      <c r="E109" s="121"/>
      <c r="F109" s="121"/>
      <c r="G109" s="121"/>
      <c r="H109" s="121"/>
      <c r="I109" s="121"/>
      <c r="J109" s="121"/>
      <c r="K109" s="121"/>
      <c r="L109" s="121"/>
      <c r="M109" s="121"/>
      <c r="N109" s="121"/>
      <c r="O109" s="121"/>
      <c r="P109" s="121"/>
      <c r="Q109" s="121"/>
      <c r="R109" s="121"/>
      <c r="S109" s="121"/>
      <c r="T109" s="121"/>
      <c r="U109" s="121"/>
      <c r="V109" s="121"/>
      <c r="W109" s="121"/>
      <c r="X109" s="121"/>
      <c r="Y109" s="121"/>
      <c r="Z109" s="121"/>
      <c r="AA109" s="121"/>
      <c r="AB109" s="121"/>
      <c r="AC109" s="121"/>
      <c r="AD109" s="121"/>
      <c r="AE109" s="121"/>
    </row>
    <row r="110" spans="1:31" x14ac:dyDescent="0.25">
      <c r="A110" s="121"/>
      <c r="B110" s="121"/>
      <c r="C110" s="121"/>
      <c r="D110" s="121"/>
      <c r="E110" s="121"/>
      <c r="F110" s="121"/>
      <c r="G110" s="121"/>
      <c r="H110" s="121"/>
      <c r="I110" s="121"/>
      <c r="J110" s="121"/>
      <c r="K110" s="121"/>
      <c r="L110" s="121"/>
      <c r="M110" s="121"/>
      <c r="N110" s="121"/>
      <c r="O110" s="121"/>
      <c r="P110" s="121"/>
      <c r="Q110" s="121"/>
      <c r="R110" s="121"/>
      <c r="S110" s="121"/>
      <c r="T110" s="121"/>
      <c r="U110" s="121"/>
      <c r="V110" s="121"/>
      <c r="W110" s="121"/>
      <c r="X110" s="121"/>
      <c r="Y110" s="121"/>
      <c r="Z110" s="121"/>
      <c r="AA110" s="121"/>
      <c r="AB110" s="121"/>
      <c r="AC110" s="121"/>
      <c r="AD110" s="121"/>
      <c r="AE110" s="121"/>
    </row>
    <row r="111" spans="1:31" x14ac:dyDescent="0.25">
      <c r="A111" s="121"/>
      <c r="B111" s="121"/>
      <c r="C111" s="121"/>
      <c r="D111" s="121"/>
      <c r="E111" s="121"/>
      <c r="F111" s="121"/>
      <c r="G111" s="121"/>
      <c r="H111" s="121"/>
      <c r="I111" s="121"/>
      <c r="J111" s="121"/>
      <c r="K111" s="121"/>
      <c r="L111" s="121"/>
      <c r="M111" s="121"/>
      <c r="N111" s="121"/>
      <c r="O111" s="121"/>
      <c r="P111" s="121"/>
      <c r="Q111" s="121"/>
      <c r="R111" s="121"/>
      <c r="S111" s="121"/>
      <c r="T111" s="121"/>
      <c r="U111" s="121"/>
      <c r="V111" s="121"/>
      <c r="W111" s="121"/>
      <c r="X111" s="121"/>
      <c r="Y111" s="121"/>
      <c r="Z111" s="121"/>
      <c r="AA111" s="121"/>
      <c r="AB111" s="121"/>
      <c r="AC111" s="121"/>
      <c r="AD111" s="121"/>
      <c r="AE111" s="121"/>
    </row>
    <row r="112" spans="1:31" x14ac:dyDescent="0.25">
      <c r="A112" s="121"/>
      <c r="B112" s="121"/>
      <c r="C112" s="121"/>
      <c r="D112" s="121"/>
      <c r="E112" s="121"/>
      <c r="F112" s="121"/>
      <c r="G112" s="121"/>
      <c r="H112" s="121"/>
      <c r="I112" s="121"/>
      <c r="J112" s="121"/>
      <c r="K112" s="121"/>
      <c r="L112" s="121"/>
      <c r="M112" s="121"/>
      <c r="N112" s="121"/>
      <c r="O112" s="121"/>
      <c r="P112" s="121"/>
      <c r="Q112" s="121"/>
      <c r="R112" s="121"/>
      <c r="S112" s="121"/>
      <c r="T112" s="121"/>
      <c r="U112" s="121"/>
      <c r="V112" s="121"/>
      <c r="W112" s="121"/>
      <c r="X112" s="121"/>
      <c r="Y112" s="121"/>
      <c r="Z112" s="121"/>
      <c r="AA112" s="121"/>
      <c r="AB112" s="121"/>
      <c r="AC112" s="121"/>
      <c r="AD112" s="121"/>
      <c r="AE112" s="121"/>
    </row>
    <row r="113" spans="1:31" x14ac:dyDescent="0.25">
      <c r="A113" s="121"/>
      <c r="B113" s="121"/>
      <c r="C113" s="121"/>
      <c r="D113" s="121"/>
      <c r="E113" s="121"/>
      <c r="F113" s="121"/>
      <c r="G113" s="121"/>
      <c r="H113" s="121"/>
      <c r="I113" s="121"/>
      <c r="J113" s="121"/>
      <c r="K113" s="121"/>
      <c r="L113" s="121"/>
      <c r="M113" s="121"/>
      <c r="N113" s="121"/>
      <c r="O113" s="121"/>
      <c r="P113" s="121"/>
      <c r="Q113" s="121"/>
      <c r="R113" s="121"/>
      <c r="S113" s="121"/>
      <c r="T113" s="121"/>
      <c r="U113" s="121"/>
      <c r="V113" s="121"/>
      <c r="W113" s="121"/>
      <c r="X113" s="121"/>
      <c r="Y113" s="121"/>
      <c r="Z113" s="121"/>
      <c r="AA113" s="121"/>
      <c r="AB113" s="121"/>
      <c r="AC113" s="121"/>
      <c r="AD113" s="121"/>
      <c r="AE113" s="121"/>
    </row>
    <row r="114" spans="1:31" x14ac:dyDescent="0.25">
      <c r="A114" s="121"/>
      <c r="B114" s="121"/>
      <c r="C114" s="121"/>
      <c r="D114" s="121"/>
      <c r="E114" s="121"/>
      <c r="F114" s="121"/>
      <c r="G114" s="121"/>
      <c r="H114" s="121"/>
      <c r="I114" s="121"/>
      <c r="J114" s="121"/>
      <c r="K114" s="121"/>
      <c r="L114" s="121"/>
      <c r="M114" s="121"/>
      <c r="N114" s="121"/>
      <c r="O114" s="121"/>
      <c r="P114" s="121"/>
      <c r="Q114" s="121"/>
      <c r="R114" s="121"/>
      <c r="S114" s="121"/>
      <c r="T114" s="121"/>
      <c r="U114" s="121"/>
      <c r="V114" s="121"/>
      <c r="W114" s="121"/>
      <c r="X114" s="121"/>
      <c r="Y114" s="121"/>
      <c r="Z114" s="121"/>
      <c r="AA114" s="121"/>
      <c r="AB114" s="121"/>
      <c r="AC114" s="121"/>
      <c r="AD114" s="121"/>
      <c r="AE114" s="121"/>
    </row>
    <row r="115" spans="1:31" x14ac:dyDescent="0.25">
      <c r="A115" s="121"/>
      <c r="B115" s="121"/>
      <c r="C115" s="121"/>
      <c r="D115" s="121"/>
      <c r="E115" s="121"/>
      <c r="F115" s="121"/>
      <c r="G115" s="121"/>
      <c r="H115" s="121"/>
      <c r="I115" s="121"/>
      <c r="J115" s="121"/>
      <c r="K115" s="121"/>
      <c r="L115" s="121"/>
      <c r="M115" s="121"/>
      <c r="N115" s="121"/>
      <c r="O115" s="121"/>
      <c r="P115" s="121"/>
      <c r="Q115" s="121"/>
      <c r="R115" s="121"/>
      <c r="S115" s="121"/>
      <c r="T115" s="121"/>
      <c r="U115" s="121"/>
      <c r="V115" s="121"/>
      <c r="W115" s="121"/>
      <c r="X115" s="121"/>
      <c r="Y115" s="121"/>
      <c r="Z115" s="121"/>
      <c r="AA115" s="121"/>
      <c r="AB115" s="121"/>
      <c r="AC115" s="121"/>
      <c r="AD115" s="121"/>
      <c r="AE115" s="121"/>
    </row>
    <row r="116" spans="1:31" x14ac:dyDescent="0.25">
      <c r="A116" s="121"/>
      <c r="B116" s="121"/>
      <c r="C116" s="121"/>
      <c r="D116" s="121"/>
      <c r="E116" s="121"/>
      <c r="F116" s="121"/>
      <c r="G116" s="121"/>
      <c r="H116" s="121"/>
      <c r="I116" s="121"/>
      <c r="J116" s="121"/>
      <c r="K116" s="121"/>
      <c r="L116" s="121"/>
      <c r="M116" s="121"/>
      <c r="N116" s="121"/>
      <c r="O116" s="121"/>
      <c r="P116" s="121"/>
      <c r="Q116" s="121"/>
      <c r="R116" s="121"/>
      <c r="S116" s="121"/>
      <c r="T116" s="121"/>
      <c r="U116" s="121"/>
      <c r="V116" s="121"/>
      <c r="W116" s="121"/>
      <c r="X116" s="121"/>
      <c r="Y116" s="121"/>
      <c r="Z116" s="121"/>
      <c r="AA116" s="121"/>
      <c r="AB116" s="121"/>
      <c r="AC116" s="121"/>
      <c r="AD116" s="121"/>
      <c r="AE116" s="121"/>
    </row>
    <row r="117" spans="1:31" x14ac:dyDescent="0.25">
      <c r="A117" s="121"/>
      <c r="B117" s="121"/>
      <c r="C117" s="121"/>
      <c r="D117" s="121"/>
      <c r="E117" s="121"/>
      <c r="F117" s="121"/>
      <c r="G117" s="121"/>
      <c r="H117" s="121"/>
      <c r="I117" s="121"/>
      <c r="J117" s="121"/>
      <c r="K117" s="121"/>
      <c r="L117" s="121"/>
      <c r="M117" s="121"/>
      <c r="N117" s="121"/>
      <c r="O117" s="121"/>
      <c r="P117" s="121"/>
      <c r="Q117" s="121"/>
      <c r="R117" s="121"/>
      <c r="S117" s="121"/>
      <c r="T117" s="121"/>
      <c r="U117" s="121"/>
      <c r="V117" s="121"/>
      <c r="W117" s="121"/>
      <c r="X117" s="121"/>
      <c r="Y117" s="121"/>
      <c r="Z117" s="121"/>
      <c r="AA117" s="121"/>
      <c r="AB117" s="121"/>
      <c r="AC117" s="121"/>
      <c r="AD117" s="121"/>
      <c r="AE117" s="121"/>
    </row>
    <row r="118" spans="1:31" x14ac:dyDescent="0.25">
      <c r="A118" s="121"/>
      <c r="B118" s="121"/>
      <c r="C118" s="121"/>
      <c r="D118" s="121"/>
      <c r="E118" s="121"/>
      <c r="F118" s="121"/>
      <c r="G118" s="121"/>
      <c r="H118" s="121"/>
      <c r="I118" s="121"/>
      <c r="J118" s="121"/>
      <c r="K118" s="121"/>
      <c r="L118" s="121"/>
      <c r="M118" s="121"/>
      <c r="N118" s="121"/>
      <c r="O118" s="121"/>
      <c r="P118" s="121"/>
      <c r="Q118" s="121"/>
      <c r="R118" s="121"/>
      <c r="S118" s="121"/>
      <c r="T118" s="121"/>
      <c r="U118" s="121"/>
      <c r="V118" s="121"/>
      <c r="W118" s="121"/>
      <c r="X118" s="121"/>
      <c r="Y118" s="121"/>
      <c r="Z118" s="121"/>
      <c r="AA118" s="121"/>
      <c r="AB118" s="121"/>
      <c r="AC118" s="121"/>
      <c r="AD118" s="121"/>
      <c r="AE118" s="121"/>
    </row>
    <row r="119" spans="1:31" x14ac:dyDescent="0.25">
      <c r="A119" s="121"/>
      <c r="B119" s="121"/>
      <c r="C119" s="121"/>
      <c r="D119" s="121"/>
      <c r="E119" s="121"/>
      <c r="F119" s="121"/>
      <c r="G119" s="121"/>
      <c r="H119" s="121"/>
      <c r="I119" s="121"/>
      <c r="J119" s="121"/>
      <c r="K119" s="121"/>
      <c r="L119" s="121"/>
      <c r="M119" s="121"/>
      <c r="N119" s="121"/>
      <c r="O119" s="121"/>
      <c r="P119" s="121"/>
      <c r="Q119" s="121"/>
      <c r="R119" s="121"/>
      <c r="S119" s="121"/>
      <c r="T119" s="121"/>
      <c r="U119" s="121"/>
      <c r="V119" s="121"/>
      <c r="W119" s="121"/>
      <c r="X119" s="121"/>
      <c r="Y119" s="121"/>
      <c r="Z119" s="121"/>
      <c r="AA119" s="121"/>
      <c r="AB119" s="121"/>
      <c r="AC119" s="121"/>
      <c r="AD119" s="121"/>
      <c r="AE119" s="121"/>
    </row>
    <row r="120" spans="1:31" x14ac:dyDescent="0.25">
      <c r="A120" s="121"/>
      <c r="B120" s="121"/>
      <c r="C120" s="121"/>
      <c r="D120" s="121"/>
      <c r="E120" s="121"/>
      <c r="F120" s="121"/>
      <c r="G120" s="121"/>
      <c r="H120" s="121"/>
      <c r="I120" s="121"/>
      <c r="J120" s="121"/>
      <c r="K120" s="121"/>
      <c r="L120" s="121"/>
      <c r="M120" s="121"/>
      <c r="N120" s="121"/>
      <c r="O120" s="121"/>
      <c r="P120" s="121"/>
      <c r="Q120" s="121"/>
      <c r="R120" s="121"/>
      <c r="S120" s="121"/>
      <c r="T120" s="121"/>
      <c r="U120" s="121"/>
      <c r="V120" s="121"/>
      <c r="W120" s="121"/>
      <c r="X120" s="121"/>
      <c r="Y120" s="121"/>
      <c r="Z120" s="121"/>
      <c r="AA120" s="121"/>
      <c r="AB120" s="121"/>
      <c r="AC120" s="121"/>
      <c r="AD120" s="121"/>
      <c r="AE120" s="121"/>
    </row>
    <row r="121" spans="1:31" x14ac:dyDescent="0.25">
      <c r="A121" s="121"/>
      <c r="B121" s="121"/>
      <c r="C121" s="121"/>
      <c r="D121" s="121"/>
      <c r="E121" s="121"/>
      <c r="F121" s="121"/>
      <c r="G121" s="121"/>
      <c r="H121" s="121"/>
      <c r="I121" s="121"/>
      <c r="J121" s="121"/>
      <c r="K121" s="121"/>
      <c r="L121" s="121"/>
      <c r="M121" s="121"/>
      <c r="N121" s="121"/>
      <c r="O121" s="121"/>
      <c r="P121" s="121"/>
      <c r="Q121" s="121"/>
      <c r="R121" s="121"/>
      <c r="S121" s="121"/>
      <c r="T121" s="121"/>
      <c r="U121" s="121"/>
      <c r="V121" s="121"/>
      <c r="W121" s="121"/>
      <c r="X121" s="121"/>
      <c r="Y121" s="121"/>
      <c r="Z121" s="121"/>
      <c r="AA121" s="121"/>
      <c r="AB121" s="121"/>
      <c r="AC121" s="121"/>
      <c r="AD121" s="121"/>
      <c r="AE121" s="121"/>
    </row>
    <row r="122" spans="1:31" x14ac:dyDescent="0.25">
      <c r="A122" s="121"/>
      <c r="B122" s="121"/>
      <c r="C122" s="121"/>
      <c r="D122" s="121"/>
      <c r="E122" s="121"/>
      <c r="F122" s="121"/>
      <c r="G122" s="121"/>
      <c r="H122" s="121"/>
      <c r="I122" s="121"/>
      <c r="J122" s="121"/>
      <c r="K122" s="121"/>
      <c r="L122" s="121"/>
      <c r="M122" s="121"/>
      <c r="N122" s="121"/>
      <c r="O122" s="121"/>
      <c r="P122" s="121"/>
      <c r="Q122" s="121"/>
      <c r="R122" s="121"/>
      <c r="S122" s="121"/>
      <c r="T122" s="121"/>
      <c r="U122" s="121"/>
      <c r="V122" s="121"/>
      <c r="W122" s="121"/>
      <c r="X122" s="121"/>
      <c r="Y122" s="121"/>
      <c r="Z122" s="121"/>
      <c r="AA122" s="121"/>
      <c r="AB122" s="121"/>
      <c r="AC122" s="121"/>
      <c r="AD122" s="121"/>
      <c r="AE122" s="121"/>
    </row>
    <row r="123" spans="1:31" x14ac:dyDescent="0.25">
      <c r="A123" s="121"/>
      <c r="B123" s="121"/>
      <c r="C123" s="121"/>
      <c r="D123" s="121"/>
      <c r="E123" s="121"/>
      <c r="F123" s="121"/>
      <c r="G123" s="121"/>
      <c r="H123" s="121"/>
      <c r="I123" s="121"/>
      <c r="J123" s="121"/>
      <c r="K123" s="121"/>
      <c r="L123" s="121"/>
      <c r="M123" s="121"/>
      <c r="N123" s="121"/>
      <c r="O123" s="121"/>
      <c r="P123" s="121"/>
      <c r="Q123" s="121"/>
      <c r="R123" s="121"/>
      <c r="S123" s="121"/>
      <c r="T123" s="121"/>
      <c r="U123" s="121"/>
      <c r="V123" s="121"/>
      <c r="W123" s="121"/>
      <c r="X123" s="121"/>
      <c r="Y123" s="121"/>
      <c r="Z123" s="121"/>
      <c r="AA123" s="121"/>
      <c r="AB123" s="121"/>
      <c r="AC123" s="121"/>
      <c r="AD123" s="121"/>
      <c r="AE123" s="121"/>
    </row>
    <row r="124" spans="1:31" x14ac:dyDescent="0.25">
      <c r="A124" s="121"/>
      <c r="B124" s="121"/>
      <c r="C124" s="121"/>
      <c r="D124" s="121"/>
      <c r="E124" s="121"/>
      <c r="F124" s="121"/>
      <c r="G124" s="121"/>
      <c r="H124" s="121"/>
      <c r="I124" s="121"/>
      <c r="J124" s="121"/>
      <c r="K124" s="121"/>
      <c r="L124" s="121"/>
      <c r="M124" s="121"/>
    </row>
    <row r="125" spans="1:31" x14ac:dyDescent="0.25">
      <c r="A125" s="121"/>
      <c r="B125" s="121"/>
      <c r="C125" s="121"/>
      <c r="D125" s="121"/>
      <c r="E125" s="121"/>
      <c r="F125" s="121"/>
      <c r="G125" s="121"/>
      <c r="H125" s="121"/>
      <c r="I125" s="121"/>
      <c r="J125" s="121"/>
      <c r="K125" s="121"/>
      <c r="L125" s="121"/>
      <c r="M125" s="121"/>
    </row>
    <row r="126" spans="1:31" x14ac:dyDescent="0.25">
      <c r="A126" s="121"/>
      <c r="B126" s="121"/>
      <c r="C126" s="121"/>
      <c r="D126" s="121"/>
      <c r="E126" s="121"/>
      <c r="F126" s="121"/>
      <c r="G126" s="121"/>
      <c r="H126" s="121"/>
      <c r="I126" s="121"/>
      <c r="J126" s="121"/>
      <c r="K126" s="121"/>
      <c r="L126" s="121"/>
      <c r="M126" s="121"/>
    </row>
    <row r="127" spans="1:31" x14ac:dyDescent="0.25">
      <c r="A127" s="121"/>
      <c r="B127" s="121"/>
      <c r="C127" s="121"/>
      <c r="D127" s="121"/>
      <c r="E127" s="121"/>
      <c r="F127" s="121"/>
      <c r="G127" s="121"/>
      <c r="H127" s="121"/>
      <c r="I127" s="121"/>
      <c r="J127" s="121"/>
      <c r="K127" s="121"/>
      <c r="L127" s="121"/>
      <c r="M127" s="121"/>
    </row>
    <row r="128" spans="1:31" x14ac:dyDescent="0.25">
      <c r="A128" s="121"/>
      <c r="B128" s="121"/>
      <c r="C128" s="121"/>
      <c r="D128" s="121"/>
      <c r="E128" s="121"/>
      <c r="F128" s="121"/>
      <c r="G128" s="121"/>
      <c r="H128" s="121"/>
      <c r="I128" s="121"/>
      <c r="J128" s="121"/>
      <c r="K128" s="121"/>
      <c r="L128" s="121"/>
      <c r="M128" s="121"/>
    </row>
    <row r="129" spans="1:13" x14ac:dyDescent="0.25">
      <c r="A129" s="121"/>
      <c r="B129" s="121"/>
      <c r="C129" s="121"/>
      <c r="D129" s="121"/>
      <c r="E129" s="121"/>
      <c r="F129" s="121"/>
      <c r="G129" s="121"/>
      <c r="H129" s="121"/>
      <c r="I129" s="121"/>
      <c r="J129" s="121"/>
      <c r="K129" s="121"/>
      <c r="L129" s="121"/>
      <c r="M129" s="121"/>
    </row>
    <row r="130" spans="1:13" x14ac:dyDescent="0.25">
      <c r="A130" s="121"/>
      <c r="B130" s="121"/>
      <c r="C130" s="121"/>
      <c r="D130" s="121"/>
      <c r="E130" s="121"/>
      <c r="F130" s="121"/>
      <c r="G130" s="121"/>
      <c r="H130" s="121"/>
      <c r="I130" s="121"/>
      <c r="J130" s="121"/>
      <c r="K130" s="121"/>
      <c r="L130" s="121"/>
      <c r="M130" s="121"/>
    </row>
    <row r="131" spans="1:13" x14ac:dyDescent="0.25">
      <c r="A131" s="121"/>
      <c r="B131" s="121"/>
      <c r="C131" s="121"/>
      <c r="D131" s="121"/>
      <c r="E131" s="121"/>
      <c r="F131" s="121"/>
      <c r="G131" s="121"/>
      <c r="H131" s="121"/>
      <c r="I131" s="121"/>
      <c r="J131" s="121"/>
      <c r="K131" s="121"/>
      <c r="L131" s="121"/>
      <c r="M131" s="121"/>
    </row>
    <row r="132" spans="1:13" x14ac:dyDescent="0.25">
      <c r="B132" s="121"/>
      <c r="C132" s="121"/>
      <c r="D132" s="121"/>
      <c r="E132" s="121"/>
      <c r="F132" s="121"/>
      <c r="G132" s="121"/>
      <c r="H132" s="121"/>
      <c r="I132" s="121"/>
      <c r="J132" s="121"/>
      <c r="K132" s="121"/>
      <c r="L132" s="121"/>
      <c r="M132" s="121"/>
    </row>
  </sheetData>
  <autoFilter ref="B3:L41"/>
  <sortState ref="B4:J38">
    <sortCondition ref="B4:B38"/>
  </sortState>
  <mergeCells count="1">
    <mergeCell ref="A1:B1"/>
  </mergeCells>
  <conditionalFormatting sqref="L4:L7 L10:L39">
    <cfRule type="cellIs" dxfId="2194" priority="11" operator="lessThan">
      <formula>0</formula>
    </cfRule>
    <cfRule type="cellIs" dxfId="2193" priority="12" operator="greaterThan">
      <formula>0</formula>
    </cfRule>
  </conditionalFormatting>
  <conditionalFormatting sqref="L40">
    <cfRule type="cellIs" dxfId="2192" priority="5" operator="lessThan">
      <formula>0</formula>
    </cfRule>
    <cfRule type="cellIs" dxfId="2191" priority="6" operator="greaterThan">
      <formula>0</formula>
    </cfRule>
  </conditionalFormatting>
  <conditionalFormatting sqref="L8">
    <cfRule type="cellIs" dxfId="2190" priority="3" operator="lessThan">
      <formula>0</formula>
    </cfRule>
    <cfRule type="cellIs" dxfId="2189" priority="4" operator="greaterThan">
      <formula>0</formula>
    </cfRule>
  </conditionalFormatting>
  <conditionalFormatting sqref="L9">
    <cfRule type="cellIs" dxfId="2188" priority="1" operator="lessThan">
      <formula>0</formula>
    </cfRule>
    <cfRule type="cellIs" dxfId="2187" priority="2" operator="greaterThan">
      <formula>0</formula>
    </cfRule>
  </conditionalFormatting>
  <hyperlinks>
    <hyperlink ref="A1:B1" location="'Rentabilidad x Proy'!A1" display="Regresar a Rentabilidad x Proyecto"/>
    <hyperlink ref="E1" location="'Cuadro Rentabilidades'!A1" display="Ver Cuadro de margen utilidad x Proyecto"/>
  </hyperlinks>
  <pageMargins left="0.7" right="0.7" top="0.75" bottom="0.75" header="0.3" footer="0.3"/>
  <pageSetup orientation="portrait" r:id="rId1"/>
  <ignoredErrors>
    <ignoredError sqref="L13:L14 L15 L19:L20 L21 L26:L29 L3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>
    <tabColor rgb="FFFFC000"/>
  </sheetPr>
  <dimension ref="A1:BG91"/>
  <sheetViews>
    <sheetView zoomScale="80" zoomScaleNormal="80" workbookViewId="0">
      <selection activeCell="O36" sqref="O36"/>
    </sheetView>
  </sheetViews>
  <sheetFormatPr baseColWidth="10" defaultRowHeight="15" x14ac:dyDescent="0.25"/>
  <cols>
    <col min="5" max="5" width="11.42578125" customWidth="1"/>
    <col min="6" max="6" width="17.5703125" hidden="1" customWidth="1"/>
    <col min="7" max="7" width="14" hidden="1" customWidth="1"/>
    <col min="8" max="8" width="12" customWidth="1"/>
    <col min="9" max="16" width="13.28515625" customWidth="1"/>
    <col min="17" max="17" width="13.28515625" bestFit="1" customWidth="1"/>
    <col min="18" max="20" width="13.28515625" customWidth="1"/>
    <col min="21" max="22" width="14" customWidth="1"/>
    <col min="23" max="23" width="13.28515625" bestFit="1" customWidth="1"/>
    <col min="24" max="24" width="13.28515625" customWidth="1"/>
    <col min="25" max="25" width="8.7109375" customWidth="1"/>
    <col min="26" max="26" width="11.42578125" customWidth="1"/>
    <col min="27" max="32" width="13.28515625" customWidth="1"/>
    <col min="33" max="34" width="14" customWidth="1"/>
    <col min="35" max="36" width="13.28515625" customWidth="1"/>
    <col min="37" max="38" width="14" customWidth="1"/>
    <col min="39" max="39" width="13.28515625" bestFit="1" customWidth="1"/>
    <col min="40" max="40" width="13.28515625" customWidth="1"/>
    <col min="41" max="42" width="12.140625" customWidth="1"/>
    <col min="43" max="43" width="8.7109375" customWidth="1"/>
    <col min="44" max="44" width="11.42578125" customWidth="1"/>
    <col min="45" max="46" width="13.28515625" customWidth="1"/>
    <col min="47" max="48" width="14" customWidth="1"/>
    <col min="49" max="49" width="13.28515625" customWidth="1"/>
    <col min="50" max="50" width="13.28515625" bestFit="1" customWidth="1"/>
    <col min="51" max="52" width="12.85546875" customWidth="1"/>
    <col min="53" max="54" width="12.140625" customWidth="1"/>
    <col min="55" max="55" width="9.42578125" customWidth="1"/>
    <col min="56" max="56" width="11.42578125" customWidth="1"/>
    <col min="57" max="57" width="9.28515625" customWidth="1"/>
    <col min="58" max="58" width="11.42578125" customWidth="1"/>
    <col min="59" max="59" width="10.140625" customWidth="1"/>
    <col min="60" max="60" width="11.42578125" customWidth="1"/>
    <col min="61" max="61" width="10.140625" customWidth="1"/>
    <col min="63" max="64" width="13.28515625" bestFit="1" customWidth="1"/>
    <col min="65" max="65" width="8.42578125" customWidth="1"/>
    <col min="67" max="68" width="12.140625" bestFit="1" customWidth="1"/>
    <col min="69" max="70" width="12.85546875" bestFit="1" customWidth="1"/>
    <col min="71" max="72" width="13.28515625" bestFit="1" customWidth="1"/>
    <col min="73" max="73" width="8.42578125" customWidth="1"/>
    <col min="75" max="75" width="10.140625" customWidth="1"/>
    <col min="77" max="77" width="8.42578125" customWidth="1"/>
    <col min="79" max="79" width="13.28515625" bestFit="1" customWidth="1"/>
  </cols>
  <sheetData>
    <row r="1" spans="1:49" x14ac:dyDescent="0.25">
      <c r="A1" s="121"/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  <c r="AD1" s="121"/>
      <c r="AE1" s="121"/>
      <c r="AF1" s="121"/>
      <c r="AG1" s="121"/>
      <c r="AH1" s="121"/>
      <c r="AI1" s="121"/>
      <c r="AJ1" s="121"/>
      <c r="AK1" s="121"/>
      <c r="AL1" s="121"/>
      <c r="AM1" s="121"/>
      <c r="AN1" s="121"/>
      <c r="AO1" s="121"/>
      <c r="AP1" s="121"/>
      <c r="AQ1" s="121"/>
      <c r="AR1" s="121"/>
      <c r="AS1" s="121"/>
      <c r="AT1" s="121"/>
      <c r="AU1" s="121"/>
      <c r="AV1" s="121"/>
      <c r="AW1" s="121"/>
    </row>
    <row r="2" spans="1:49" x14ac:dyDescent="0.25">
      <c r="A2" s="121"/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  <c r="AK2" s="121"/>
      <c r="AL2" s="121"/>
      <c r="AM2" s="121"/>
      <c r="AN2" s="121"/>
      <c r="AO2" s="121"/>
      <c r="AP2" s="121"/>
      <c r="AQ2" s="121"/>
      <c r="AR2" s="121"/>
      <c r="AS2" s="121"/>
      <c r="AT2" s="121"/>
      <c r="AU2" s="121"/>
      <c r="AV2" s="121"/>
      <c r="AW2" s="121"/>
    </row>
    <row r="3" spans="1:49" x14ac:dyDescent="0.25">
      <c r="A3" s="121"/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1"/>
      <c r="AQ3" s="121"/>
      <c r="AR3" s="121"/>
      <c r="AS3" s="121"/>
      <c r="AT3" s="121"/>
      <c r="AU3" s="121"/>
      <c r="AV3" s="121"/>
      <c r="AW3" s="121"/>
    </row>
    <row r="4" spans="1:49" x14ac:dyDescent="0.25">
      <c r="A4" s="121"/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  <c r="R4" s="121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1"/>
      <c r="AM4" s="121"/>
      <c r="AN4" s="121"/>
      <c r="AO4" s="121"/>
      <c r="AP4" s="121"/>
      <c r="AQ4" s="121"/>
      <c r="AR4" s="121"/>
      <c r="AS4" s="121"/>
      <c r="AT4" s="121"/>
    </row>
    <row r="5" spans="1:49" x14ac:dyDescent="0.25">
      <c r="A5" s="121"/>
      <c r="B5" s="121"/>
      <c r="C5" s="121"/>
      <c r="D5" s="121"/>
      <c r="E5" s="121"/>
      <c r="F5" s="121"/>
      <c r="G5" s="121"/>
      <c r="H5" s="121"/>
      <c r="I5" s="121"/>
      <c r="J5" s="121"/>
      <c r="K5" s="121"/>
      <c r="L5" s="121"/>
      <c r="M5" s="121"/>
      <c r="N5" s="121"/>
      <c r="O5" s="121"/>
      <c r="P5" s="121"/>
      <c r="Q5" s="121"/>
      <c r="R5" s="121"/>
      <c r="S5" s="121"/>
      <c r="T5" s="121"/>
      <c r="U5" s="121"/>
      <c r="V5" s="121"/>
      <c r="W5" s="121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  <c r="AI5" s="121"/>
      <c r="AJ5" s="121"/>
      <c r="AK5" s="121"/>
      <c r="AL5" s="121"/>
      <c r="AM5" s="121"/>
      <c r="AN5" s="121"/>
      <c r="AO5" s="121"/>
      <c r="AP5" s="121"/>
      <c r="AQ5" s="121"/>
      <c r="AR5" s="121"/>
      <c r="AS5" s="121"/>
      <c r="AT5" s="121"/>
    </row>
    <row r="6" spans="1:49" x14ac:dyDescent="0.25">
      <c r="A6" s="121"/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  <c r="AS6" s="121"/>
      <c r="AT6" s="121"/>
    </row>
    <row r="7" spans="1:49" x14ac:dyDescent="0.25">
      <c r="A7" s="121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</row>
    <row r="8" spans="1:49" x14ac:dyDescent="0.25">
      <c r="A8" s="121"/>
      <c r="B8" s="121"/>
      <c r="C8" s="121"/>
      <c r="D8" s="121"/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/>
      <c r="Y8" s="121"/>
      <c r="Z8" s="121"/>
      <c r="AA8" s="121"/>
      <c r="AB8" s="121"/>
      <c r="AC8" s="121"/>
      <c r="AD8" s="121"/>
      <c r="AE8" s="121"/>
      <c r="AF8" s="121"/>
      <c r="AG8" s="121"/>
      <c r="AH8" s="121"/>
      <c r="AI8" s="121"/>
      <c r="AJ8" s="121"/>
      <c r="AK8" s="121"/>
      <c r="AL8" s="121"/>
      <c r="AM8" s="121"/>
      <c r="AN8" s="121"/>
      <c r="AO8" s="121"/>
      <c r="AP8" s="121"/>
      <c r="AQ8" s="121"/>
      <c r="AR8" s="121"/>
      <c r="AS8" s="121"/>
      <c r="AT8" s="121"/>
    </row>
    <row r="9" spans="1:49" x14ac:dyDescent="0.25">
      <c r="A9" s="121"/>
      <c r="B9" s="121"/>
      <c r="C9" s="121"/>
      <c r="D9" s="121"/>
      <c r="E9" s="121"/>
      <c r="F9" s="325"/>
      <c r="G9" s="357"/>
      <c r="H9" s="121"/>
      <c r="I9" s="121"/>
      <c r="J9" s="121"/>
      <c r="K9" s="121"/>
      <c r="L9" s="121"/>
      <c r="M9" s="121"/>
      <c r="N9" s="121"/>
      <c r="O9" s="121"/>
      <c r="P9" s="121"/>
      <c r="Q9" s="121"/>
      <c r="R9" s="121"/>
      <c r="S9" s="121"/>
      <c r="T9" s="121"/>
      <c r="U9" s="121"/>
      <c r="V9" s="121"/>
      <c r="W9" s="121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21"/>
      <c r="AL9" s="121"/>
      <c r="AM9" s="121"/>
      <c r="AN9" s="121"/>
      <c r="AO9" s="121"/>
      <c r="AP9" s="121"/>
      <c r="AQ9" s="121"/>
      <c r="AR9" s="121"/>
      <c r="AS9" s="121"/>
      <c r="AT9" s="121"/>
    </row>
    <row r="10" spans="1:49" x14ac:dyDescent="0.25">
      <c r="A10" s="121"/>
      <c r="B10" s="121"/>
      <c r="C10" s="121"/>
      <c r="D10" s="121"/>
      <c r="E10" s="121"/>
      <c r="F10" s="358"/>
      <c r="G10" s="357"/>
      <c r="H10" s="121"/>
      <c r="I10" s="121"/>
      <c r="J10" s="121"/>
      <c r="K10" s="121"/>
      <c r="L10" s="121"/>
      <c r="M10" s="121"/>
      <c r="N10" s="121"/>
      <c r="O10" s="121"/>
      <c r="P10" s="121"/>
      <c r="Q10" s="121"/>
      <c r="R10" s="121"/>
      <c r="S10" s="121"/>
      <c r="T10" s="121"/>
      <c r="U10" s="121"/>
      <c r="V10" s="121"/>
      <c r="W10" s="121"/>
      <c r="X10" s="121"/>
      <c r="Y10" s="121"/>
      <c r="Z10" s="121"/>
      <c r="AA10" s="121"/>
      <c r="AB10" s="121"/>
      <c r="AC10" s="121"/>
      <c r="AD10" s="121"/>
      <c r="AE10" s="121"/>
      <c r="AF10" s="121"/>
      <c r="AG10" s="121"/>
      <c r="AH10" s="121"/>
      <c r="AI10" s="121"/>
      <c r="AJ10" s="121"/>
      <c r="AK10" s="121"/>
      <c r="AL10" s="121"/>
      <c r="AM10" s="121"/>
      <c r="AN10" s="121"/>
      <c r="AO10" s="121"/>
      <c r="AP10" s="121"/>
      <c r="AQ10" s="121"/>
      <c r="AR10" s="121"/>
      <c r="AS10" s="121"/>
      <c r="AT10" s="121"/>
    </row>
    <row r="11" spans="1:49" x14ac:dyDescent="0.25">
      <c r="A11" s="121"/>
      <c r="B11" s="121"/>
      <c r="C11" s="121"/>
      <c r="D11" s="121"/>
      <c r="E11" s="121"/>
      <c r="F11" s="325"/>
      <c r="G11" s="357"/>
      <c r="H11" s="121"/>
      <c r="I11" s="121"/>
      <c r="J11" s="121"/>
      <c r="K11" s="121"/>
      <c r="L11" s="121"/>
      <c r="M11" s="121"/>
      <c r="N11" s="121"/>
      <c r="O11" s="121"/>
      <c r="P11" s="121"/>
      <c r="Q11" s="121"/>
      <c r="R11" s="121"/>
      <c r="S11" s="121"/>
      <c r="T11" s="121"/>
      <c r="U11" s="121"/>
      <c r="V11" s="121"/>
      <c r="W11" s="121"/>
      <c r="X11" s="121"/>
      <c r="Y11" s="121"/>
      <c r="Z11" s="121"/>
      <c r="AA11" s="121"/>
      <c r="AB11" s="121"/>
      <c r="AC11" s="121"/>
      <c r="AD11" s="121"/>
      <c r="AE11" s="121"/>
      <c r="AF11" s="121"/>
      <c r="AG11" s="121"/>
      <c r="AH11" s="121"/>
      <c r="AI11" s="121"/>
      <c r="AJ11" s="121"/>
      <c r="AK11" s="121"/>
      <c r="AL11" s="121"/>
      <c r="AM11" s="121"/>
      <c r="AN11" s="121"/>
      <c r="AO11" s="121"/>
      <c r="AP11" s="121"/>
      <c r="AQ11" s="121"/>
      <c r="AR11" s="121"/>
      <c r="AS11" s="121"/>
      <c r="AT11" s="121"/>
    </row>
    <row r="12" spans="1:49" x14ac:dyDescent="0.25">
      <c r="A12" s="121"/>
      <c r="B12" s="121"/>
      <c r="C12" s="121"/>
      <c r="D12" s="121"/>
      <c r="E12" s="121"/>
      <c r="F12" s="358"/>
      <c r="G12" s="357"/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</row>
    <row r="13" spans="1:49" x14ac:dyDescent="0.25">
      <c r="A13" s="121"/>
      <c r="B13" s="121"/>
      <c r="C13" s="121"/>
      <c r="D13" s="121"/>
      <c r="E13" s="121"/>
      <c r="F13" s="325"/>
      <c r="G13" s="357"/>
      <c r="H13" s="121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1"/>
      <c r="AM13" s="121"/>
      <c r="AN13" s="121"/>
      <c r="AO13" s="121"/>
      <c r="AP13" s="121"/>
      <c r="AQ13" s="121"/>
      <c r="AR13" s="121"/>
      <c r="AS13" s="121"/>
      <c r="AT13" s="121"/>
    </row>
    <row r="14" spans="1:49" x14ac:dyDescent="0.25">
      <c r="A14" s="121"/>
      <c r="B14" s="121"/>
      <c r="C14" s="121"/>
      <c r="D14" s="121"/>
      <c r="E14" s="121"/>
      <c r="F14" s="358"/>
      <c r="G14" s="357"/>
      <c r="H14" s="121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1"/>
      <c r="AM14" s="121"/>
      <c r="AN14" s="121"/>
      <c r="AO14" s="121"/>
      <c r="AP14" s="121"/>
      <c r="AQ14" s="121"/>
      <c r="AR14" s="121"/>
      <c r="AS14" s="121"/>
      <c r="AT14" s="121"/>
    </row>
    <row r="15" spans="1:49" x14ac:dyDescent="0.25">
      <c r="A15" s="121"/>
      <c r="B15" s="121"/>
      <c r="C15" s="121"/>
      <c r="D15" s="121"/>
      <c r="E15" s="121"/>
      <c r="F15" s="325"/>
      <c r="G15" s="357"/>
      <c r="H15" s="121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21"/>
      <c r="W15" s="121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1"/>
      <c r="AM15" s="121"/>
      <c r="AN15" s="121"/>
      <c r="AO15" s="121"/>
      <c r="AP15" s="121"/>
      <c r="AQ15" s="121"/>
      <c r="AR15" s="121"/>
      <c r="AS15" s="121"/>
      <c r="AT15" s="121"/>
    </row>
    <row r="16" spans="1:49" x14ac:dyDescent="0.25">
      <c r="A16" s="121"/>
      <c r="B16" s="121"/>
      <c r="C16" s="121"/>
      <c r="D16" s="121"/>
      <c r="E16" s="121"/>
      <c r="F16" s="358"/>
      <c r="G16" s="357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1"/>
      <c r="AR16" s="121"/>
      <c r="AS16" s="121"/>
      <c r="AT16" s="121"/>
    </row>
    <row r="17" spans="1:46" x14ac:dyDescent="0.25">
      <c r="A17" s="121"/>
      <c r="B17" s="121"/>
      <c r="C17" s="121"/>
      <c r="D17" s="121"/>
      <c r="E17" s="121"/>
      <c r="F17" s="325"/>
      <c r="G17" s="357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  <c r="AN17" s="121"/>
      <c r="AO17" s="121"/>
      <c r="AP17" s="121"/>
      <c r="AQ17" s="121"/>
      <c r="AR17" s="121"/>
      <c r="AS17" s="121"/>
      <c r="AT17" s="121"/>
    </row>
    <row r="18" spans="1:46" x14ac:dyDescent="0.25">
      <c r="A18" s="121"/>
      <c r="B18" s="121"/>
      <c r="C18" s="121"/>
      <c r="D18" s="121"/>
      <c r="E18" s="121"/>
      <c r="F18" s="162" t="s">
        <v>364</v>
      </c>
      <c r="G18" t="s">
        <v>878</v>
      </c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1"/>
      <c r="AM18" s="121"/>
      <c r="AN18" s="121"/>
      <c r="AO18" s="121"/>
      <c r="AP18" s="121"/>
      <c r="AQ18" s="121"/>
      <c r="AR18" s="121"/>
      <c r="AS18" s="121"/>
      <c r="AT18" s="121"/>
    </row>
    <row r="19" spans="1:46" x14ac:dyDescent="0.25">
      <c r="A19" s="121"/>
      <c r="B19" s="121"/>
      <c r="C19" s="121"/>
      <c r="D19" s="121"/>
      <c r="E19" s="121"/>
      <c r="F19" s="253" t="s">
        <v>43</v>
      </c>
      <c r="G19" s="359">
        <v>0.6485989351557534</v>
      </c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O19" s="121"/>
      <c r="AP19" s="121"/>
      <c r="AQ19" s="121"/>
      <c r="AR19" s="121"/>
      <c r="AS19" s="121"/>
      <c r="AT19" s="121"/>
    </row>
    <row r="20" spans="1:46" x14ac:dyDescent="0.25">
      <c r="A20" s="121"/>
      <c r="B20" s="121"/>
      <c r="C20" s="121"/>
      <c r="D20" s="121"/>
      <c r="E20" s="121"/>
      <c r="F20" s="356" t="s">
        <v>48</v>
      </c>
      <c r="G20" s="359">
        <v>0.6485989351557534</v>
      </c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1"/>
      <c r="AM20" s="121"/>
      <c r="AN20" s="121"/>
      <c r="AO20" s="121"/>
      <c r="AP20" s="121"/>
      <c r="AQ20" s="121"/>
      <c r="AR20" s="121"/>
      <c r="AS20" s="121"/>
      <c r="AT20" s="121"/>
    </row>
    <row r="21" spans="1:46" x14ac:dyDescent="0.25">
      <c r="A21" s="121"/>
      <c r="B21" s="121"/>
      <c r="C21" s="121"/>
      <c r="D21" s="121"/>
      <c r="E21" s="121"/>
      <c r="F21" s="253" t="s">
        <v>90</v>
      </c>
      <c r="G21" s="359">
        <v>0.47644947644947638</v>
      </c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1"/>
      <c r="AR21" s="121"/>
      <c r="AS21" s="121"/>
      <c r="AT21" s="121"/>
    </row>
    <row r="22" spans="1:46" x14ac:dyDescent="0.25">
      <c r="A22" s="121"/>
      <c r="B22" s="121"/>
      <c r="C22" s="121"/>
      <c r="D22" s="121"/>
      <c r="E22" s="121"/>
      <c r="F22" s="356" t="s">
        <v>89</v>
      </c>
      <c r="G22" s="359">
        <v>0.47644947644947638</v>
      </c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</row>
    <row r="23" spans="1:46" x14ac:dyDescent="0.25">
      <c r="A23" s="121"/>
      <c r="B23" s="121"/>
      <c r="C23" s="121"/>
      <c r="D23" s="121"/>
      <c r="E23" s="121"/>
      <c r="F23" s="253" t="s">
        <v>95</v>
      </c>
      <c r="G23" s="359">
        <v>0.72126638793305464</v>
      </c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  <c r="AN23" s="121"/>
      <c r="AO23" s="121"/>
      <c r="AP23" s="121"/>
      <c r="AQ23" s="121"/>
      <c r="AR23" s="121"/>
      <c r="AS23" s="121"/>
      <c r="AT23" s="121"/>
    </row>
    <row r="24" spans="1:46" x14ac:dyDescent="0.25">
      <c r="A24" s="121"/>
      <c r="B24" s="121"/>
      <c r="C24" s="121"/>
      <c r="D24" s="121"/>
      <c r="E24" s="121"/>
      <c r="F24" s="356" t="s">
        <v>89</v>
      </c>
      <c r="G24" s="359">
        <v>0.72126638793305464</v>
      </c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1"/>
      <c r="AM24" s="121"/>
      <c r="AN24" s="121"/>
      <c r="AO24" s="121"/>
      <c r="AP24" s="121"/>
      <c r="AQ24" s="121"/>
      <c r="AR24" s="121"/>
      <c r="AS24" s="121"/>
      <c r="AT24" s="121"/>
    </row>
    <row r="25" spans="1:46" x14ac:dyDescent="0.25">
      <c r="A25" s="121"/>
      <c r="B25" s="121"/>
      <c r="C25" s="121"/>
      <c r="D25" s="121"/>
      <c r="E25" s="121"/>
      <c r="F25" s="253" t="s">
        <v>77</v>
      </c>
      <c r="G25" s="359">
        <v>-0.81784287611335049</v>
      </c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</row>
    <row r="26" spans="1:46" x14ac:dyDescent="0.25">
      <c r="A26" s="121"/>
      <c r="B26" s="121"/>
      <c r="C26" s="121"/>
      <c r="D26" s="121"/>
      <c r="E26" s="121"/>
      <c r="F26" s="356" t="s">
        <v>76</v>
      </c>
      <c r="G26" s="360">
        <v>-0.81784287611335049</v>
      </c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</row>
    <row r="27" spans="1:46" x14ac:dyDescent="0.25">
      <c r="A27" s="121"/>
      <c r="B27" s="121"/>
      <c r="C27" s="121"/>
      <c r="D27" s="121"/>
      <c r="E27" s="121"/>
      <c r="F27" s="325" t="s">
        <v>94</v>
      </c>
      <c r="G27" s="360">
        <v>0.80246123203869679</v>
      </c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</row>
    <row r="28" spans="1:46" x14ac:dyDescent="0.25">
      <c r="A28" s="121"/>
      <c r="B28" s="121"/>
      <c r="C28" s="121"/>
      <c r="D28" s="121"/>
      <c r="E28" s="121"/>
      <c r="F28" s="356" t="s">
        <v>93</v>
      </c>
      <c r="G28" s="360">
        <v>0.80246123203869679</v>
      </c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1"/>
      <c r="AM28" s="121"/>
      <c r="AN28" s="121"/>
      <c r="AO28" s="121"/>
      <c r="AP28" s="121"/>
      <c r="AQ28" s="121"/>
      <c r="AR28" s="121"/>
      <c r="AS28" s="121"/>
      <c r="AT28" s="121"/>
    </row>
    <row r="29" spans="1:46" x14ac:dyDescent="0.25">
      <c r="A29" s="121"/>
      <c r="B29" s="121"/>
      <c r="C29" s="121"/>
      <c r="D29" s="121"/>
      <c r="E29" s="121"/>
      <c r="F29" s="325" t="s">
        <v>79</v>
      </c>
      <c r="G29" s="360">
        <v>0.40627995624890251</v>
      </c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1"/>
      <c r="AM29" s="121"/>
      <c r="AN29" s="121"/>
      <c r="AO29" s="121"/>
      <c r="AP29" s="121"/>
      <c r="AQ29" s="121"/>
      <c r="AR29" s="121"/>
      <c r="AS29" s="121"/>
      <c r="AT29" s="121"/>
    </row>
    <row r="30" spans="1:46" x14ac:dyDescent="0.25">
      <c r="A30" s="121"/>
      <c r="B30" s="121"/>
      <c r="C30" s="121"/>
      <c r="D30" s="121"/>
      <c r="E30" s="121"/>
      <c r="F30" s="356" t="s">
        <v>78</v>
      </c>
      <c r="G30" s="360">
        <v>0.40627995624890251</v>
      </c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1"/>
      <c r="AM30" s="121"/>
      <c r="AN30" s="121"/>
      <c r="AO30" s="121"/>
      <c r="AP30" s="121"/>
      <c r="AQ30" s="121"/>
      <c r="AR30" s="121"/>
      <c r="AS30" s="121"/>
      <c r="AT30" s="121"/>
    </row>
    <row r="31" spans="1:46" x14ac:dyDescent="0.25">
      <c r="A31" s="121"/>
      <c r="B31" s="121"/>
      <c r="C31" s="121"/>
      <c r="D31" s="121"/>
      <c r="E31" s="121"/>
      <c r="F31" s="325" t="s">
        <v>98</v>
      </c>
      <c r="G31" s="360">
        <v>0.5738290132359819</v>
      </c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  <c r="AN31" s="121"/>
      <c r="AO31" s="121"/>
      <c r="AP31" s="121"/>
      <c r="AQ31" s="121"/>
      <c r="AR31" s="121"/>
      <c r="AS31" s="121"/>
      <c r="AT31" s="121"/>
    </row>
    <row r="32" spans="1:46" x14ac:dyDescent="0.25">
      <c r="A32" s="121"/>
      <c r="B32" s="121"/>
      <c r="C32" s="121"/>
      <c r="D32" s="121"/>
      <c r="E32" s="121"/>
      <c r="F32" s="356" t="s">
        <v>78</v>
      </c>
      <c r="G32" s="360">
        <v>0.5738290132359819</v>
      </c>
      <c r="Z32" s="121"/>
      <c r="AA32" s="121"/>
      <c r="AB32" s="121"/>
      <c r="AC32" s="121"/>
      <c r="AD32" s="121"/>
      <c r="AE32" s="121"/>
      <c r="AF32" s="121"/>
      <c r="AG32" s="121"/>
      <c r="AH32" s="121"/>
      <c r="AI32" s="121"/>
      <c r="AJ32" s="121"/>
      <c r="AK32" s="121"/>
      <c r="AL32" s="121"/>
      <c r="AM32" s="121"/>
      <c r="AN32" s="121"/>
      <c r="AO32" s="121"/>
      <c r="AP32" s="121"/>
      <c r="AQ32" s="121"/>
      <c r="AR32" s="121"/>
      <c r="AS32" s="121"/>
      <c r="AT32" s="121"/>
    </row>
    <row r="33" spans="1:59" x14ac:dyDescent="0.25">
      <c r="A33" s="121"/>
      <c r="B33" s="121"/>
      <c r="C33" s="121"/>
      <c r="D33" s="121"/>
      <c r="E33" s="121"/>
      <c r="F33" s="325" t="s">
        <v>85</v>
      </c>
      <c r="G33" s="360">
        <v>8.6590393733250878E-2</v>
      </c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  <c r="AN33" s="121"/>
      <c r="AO33" s="121"/>
      <c r="AP33" s="121"/>
      <c r="AQ33" s="121"/>
      <c r="AR33" s="121"/>
      <c r="AS33" s="121"/>
      <c r="AT33" s="121"/>
    </row>
    <row r="34" spans="1:59" x14ac:dyDescent="0.25">
      <c r="A34" s="121"/>
      <c r="B34" s="121"/>
      <c r="C34" s="121"/>
      <c r="D34" s="121"/>
      <c r="E34" s="121"/>
      <c r="F34" s="356" t="s">
        <v>84</v>
      </c>
      <c r="G34" s="360">
        <v>8.6590393733250878E-2</v>
      </c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O34" s="121"/>
      <c r="AP34" s="121"/>
      <c r="AQ34" s="121"/>
      <c r="AR34" s="121"/>
      <c r="AS34" s="121"/>
      <c r="AT34" s="121"/>
      <c r="AU34" s="121"/>
      <c r="AV34" s="121"/>
      <c r="AW34" s="121"/>
      <c r="AX34" s="121"/>
      <c r="AY34" s="121"/>
      <c r="AZ34" s="121"/>
      <c r="BA34" s="121"/>
      <c r="BB34" s="121"/>
      <c r="BC34" s="121"/>
      <c r="BD34" s="121"/>
      <c r="BE34" s="121"/>
      <c r="BF34" s="121"/>
      <c r="BG34" s="121"/>
    </row>
    <row r="35" spans="1:59" x14ac:dyDescent="0.25">
      <c r="A35" s="121"/>
      <c r="B35" s="121"/>
      <c r="C35" s="121"/>
      <c r="D35" s="121"/>
      <c r="E35" s="121"/>
      <c r="F35" s="325" t="s">
        <v>47</v>
      </c>
      <c r="G35" s="360">
        <v>0.79707792207792205</v>
      </c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</row>
    <row r="36" spans="1:59" x14ac:dyDescent="0.25">
      <c r="A36" s="121"/>
      <c r="B36" s="121"/>
      <c r="C36" s="121"/>
      <c r="D36" s="121"/>
      <c r="E36" s="121"/>
      <c r="F36" s="356" t="s">
        <v>45</v>
      </c>
      <c r="G36" s="360">
        <v>0.79707792207792205</v>
      </c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  <c r="AN36" s="121"/>
      <c r="AO36" s="121"/>
      <c r="AP36" s="121"/>
      <c r="AQ36" s="121"/>
      <c r="AR36" s="121"/>
      <c r="AS36" s="121"/>
      <c r="AT36" s="121"/>
      <c r="AU36" s="121"/>
      <c r="AV36" s="121"/>
      <c r="AW36" s="121"/>
      <c r="AX36" s="121"/>
      <c r="AY36" s="121"/>
      <c r="AZ36" s="121"/>
      <c r="BA36" s="121"/>
      <c r="BB36" s="121"/>
      <c r="BC36" s="121"/>
      <c r="BD36" s="121"/>
      <c r="BE36" s="121"/>
      <c r="BF36" s="121"/>
      <c r="BG36" s="121"/>
    </row>
    <row r="37" spans="1:59" x14ac:dyDescent="0.25">
      <c r="A37" s="121"/>
      <c r="B37" s="121"/>
      <c r="C37" s="121"/>
      <c r="D37" s="121"/>
      <c r="E37" s="121"/>
      <c r="F37" s="325" t="s">
        <v>88</v>
      </c>
      <c r="G37" s="360">
        <v>0.4717936638794018</v>
      </c>
      <c r="H37" s="121"/>
      <c r="I37" s="121"/>
      <c r="J37" s="121"/>
      <c r="K37" s="121"/>
      <c r="L37" s="121"/>
      <c r="M37" s="121"/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21"/>
      <c r="AH37" s="121"/>
      <c r="AI37" s="121"/>
      <c r="AJ37" s="121"/>
      <c r="AK37" s="121"/>
      <c r="AL37" s="121"/>
      <c r="AM37" s="121"/>
      <c r="AN37" s="121"/>
      <c r="AO37" s="121"/>
      <c r="AP37" s="121"/>
      <c r="AQ37" s="121"/>
      <c r="AR37" s="121"/>
      <c r="AS37" s="121"/>
      <c r="AT37" s="121"/>
      <c r="AU37" s="121"/>
      <c r="AV37" s="121"/>
      <c r="AW37" s="121"/>
      <c r="AX37" s="121"/>
      <c r="AY37" s="121"/>
      <c r="AZ37" s="121"/>
      <c r="BA37" s="121"/>
      <c r="BB37" s="121"/>
      <c r="BC37" s="121"/>
      <c r="BD37" s="121"/>
      <c r="BE37" s="121"/>
      <c r="BF37" s="121"/>
      <c r="BG37" s="121"/>
    </row>
    <row r="38" spans="1:59" x14ac:dyDescent="0.25">
      <c r="A38" s="121"/>
      <c r="B38" s="121"/>
      <c r="C38" s="121"/>
      <c r="D38" s="121"/>
      <c r="E38" s="121"/>
      <c r="F38" s="356" t="s">
        <v>45</v>
      </c>
      <c r="G38" s="360">
        <v>0.4717936638794018</v>
      </c>
      <c r="H38" s="121"/>
      <c r="I38" s="121"/>
      <c r="J38" s="121"/>
      <c r="K38" s="121"/>
      <c r="L38" s="121"/>
      <c r="M38" s="121"/>
      <c r="N38" s="121"/>
      <c r="O38" s="121"/>
      <c r="P38" s="121"/>
      <c r="Q38" s="121"/>
      <c r="R38" s="121"/>
      <c r="S38" s="121"/>
      <c r="T38" s="121"/>
      <c r="U38" s="121"/>
      <c r="V38" s="121"/>
      <c r="W38" s="121"/>
      <c r="X38" s="121"/>
      <c r="Y38" s="121"/>
      <c r="Z38" s="121"/>
      <c r="AA38" s="121"/>
      <c r="AB38" s="121"/>
      <c r="AC38" s="121"/>
      <c r="AD38" s="121"/>
      <c r="AE38" s="121"/>
      <c r="AF38" s="121"/>
      <c r="AG38" s="121"/>
      <c r="AH38" s="121"/>
      <c r="AI38" s="121"/>
      <c r="AJ38" s="121"/>
      <c r="AK38" s="121"/>
      <c r="AL38" s="121"/>
      <c r="AM38" s="121"/>
      <c r="AN38" s="121"/>
      <c r="AO38" s="121"/>
      <c r="AP38" s="121"/>
      <c r="AQ38" s="121"/>
      <c r="AR38" s="121"/>
      <c r="AS38" s="121"/>
      <c r="AT38" s="121"/>
      <c r="AU38" s="121"/>
      <c r="AV38" s="121"/>
      <c r="AW38" s="121"/>
      <c r="AX38" s="121"/>
      <c r="AY38" s="121"/>
      <c r="AZ38" s="121"/>
      <c r="BA38" s="121"/>
      <c r="BB38" s="121"/>
      <c r="BC38" s="121"/>
      <c r="BD38" s="121"/>
      <c r="BE38" s="121"/>
      <c r="BF38" s="121"/>
      <c r="BG38" s="121"/>
    </row>
    <row r="39" spans="1:59" x14ac:dyDescent="0.25">
      <c r="A39" s="121"/>
      <c r="B39" s="121"/>
      <c r="C39" s="121"/>
      <c r="D39" s="121"/>
      <c r="E39" s="121"/>
      <c r="F39" s="325" t="s">
        <v>51</v>
      </c>
      <c r="G39" s="360">
        <v>-0.37259345628803869</v>
      </c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1"/>
      <c r="AI39" s="121"/>
      <c r="AJ39" s="121"/>
      <c r="AK39" s="121"/>
      <c r="AL39" s="121"/>
      <c r="AM39" s="121"/>
      <c r="AN39" s="121"/>
      <c r="AO39" s="121"/>
      <c r="AP39" s="121"/>
      <c r="AQ39" s="121"/>
      <c r="AR39" s="121"/>
      <c r="AS39" s="121"/>
      <c r="AT39" s="121"/>
      <c r="AU39" s="121"/>
      <c r="AV39" s="121"/>
      <c r="AW39" s="121"/>
      <c r="AX39" s="121"/>
      <c r="AY39" s="121"/>
      <c r="AZ39" s="121"/>
      <c r="BA39" s="121"/>
      <c r="BB39" s="121"/>
      <c r="BC39" s="121"/>
      <c r="BD39" s="121"/>
      <c r="BE39" s="121"/>
      <c r="BF39" s="121"/>
      <c r="BG39" s="121"/>
    </row>
    <row r="40" spans="1:59" x14ac:dyDescent="0.25">
      <c r="A40" s="121"/>
      <c r="B40" s="121"/>
      <c r="C40" s="121"/>
      <c r="D40" s="121"/>
      <c r="E40" s="121"/>
      <c r="F40" s="356" t="s">
        <v>45</v>
      </c>
      <c r="G40" s="360">
        <v>-0.37259345628803869</v>
      </c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1"/>
      <c r="AI40" s="121"/>
      <c r="AJ40" s="121"/>
      <c r="AK40" s="121"/>
      <c r="AL40" s="121"/>
      <c r="AM40" s="121"/>
      <c r="AN40" s="121"/>
      <c r="AO40" s="121"/>
      <c r="AP40" s="121"/>
      <c r="AQ40" s="121"/>
      <c r="AR40" s="121"/>
      <c r="AS40" s="121"/>
      <c r="AT40" s="121"/>
      <c r="AU40" s="121"/>
      <c r="AV40" s="121"/>
      <c r="AW40" s="121"/>
      <c r="AX40" s="121"/>
      <c r="AY40" s="121"/>
      <c r="AZ40" s="121"/>
      <c r="BA40" s="121"/>
      <c r="BB40" s="121"/>
      <c r="BC40" s="121"/>
      <c r="BD40" s="121"/>
      <c r="BE40" s="121"/>
      <c r="BF40" s="121"/>
      <c r="BG40" s="121"/>
    </row>
    <row r="41" spans="1:59" x14ac:dyDescent="0.25">
      <c r="A41" s="121"/>
      <c r="B41" s="121"/>
      <c r="C41" s="121"/>
      <c r="D41" s="121"/>
      <c r="E41" s="121"/>
      <c r="F41" s="325" t="s">
        <v>204</v>
      </c>
      <c r="G41" s="360">
        <v>0.90859500805152982</v>
      </c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21"/>
      <c r="AM41" s="121"/>
      <c r="AN41" s="121"/>
      <c r="AO41" s="121"/>
      <c r="AP41" s="121"/>
      <c r="AQ41" s="121"/>
      <c r="AR41" s="121"/>
      <c r="AS41" s="121"/>
      <c r="AT41" s="121"/>
      <c r="AU41" s="121"/>
      <c r="AV41" s="121"/>
      <c r="AW41" s="121"/>
      <c r="AX41" s="121"/>
      <c r="AY41" s="121"/>
      <c r="AZ41" s="121"/>
      <c r="BA41" s="121"/>
      <c r="BB41" s="121"/>
      <c r="BC41" s="121"/>
      <c r="BD41" s="121"/>
      <c r="BE41" s="121"/>
      <c r="BF41" s="121"/>
      <c r="BG41" s="121"/>
    </row>
    <row r="42" spans="1:59" x14ac:dyDescent="0.25">
      <c r="A42" s="121"/>
      <c r="B42" s="121"/>
      <c r="C42" s="121"/>
      <c r="D42" s="121"/>
      <c r="E42" s="121"/>
      <c r="F42" s="356" t="s">
        <v>48</v>
      </c>
      <c r="G42" s="360">
        <v>0.90859500805152982</v>
      </c>
      <c r="H42" s="121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21"/>
      <c r="T42" s="121"/>
      <c r="U42" s="121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/>
      <c r="AH42" s="121"/>
      <c r="AI42" s="121"/>
      <c r="AJ42" s="121"/>
      <c r="AK42" s="121"/>
      <c r="AL42" s="121"/>
      <c r="AM42" s="121"/>
      <c r="AN42" s="121"/>
      <c r="AO42" s="121"/>
      <c r="AP42" s="121"/>
      <c r="AQ42" s="121"/>
      <c r="AR42" s="121"/>
      <c r="AS42" s="121"/>
      <c r="AT42" s="121"/>
      <c r="AU42" s="121"/>
      <c r="AV42" s="121"/>
      <c r="AW42" s="121"/>
      <c r="AX42" s="121"/>
      <c r="AY42" s="121"/>
      <c r="AZ42" s="121"/>
      <c r="BA42" s="121"/>
      <c r="BB42" s="121"/>
      <c r="BC42" s="121"/>
      <c r="BD42" s="121"/>
      <c r="BE42" s="121"/>
      <c r="BF42" s="121"/>
      <c r="BG42" s="121"/>
    </row>
    <row r="43" spans="1:59" x14ac:dyDescent="0.25">
      <c r="A43" s="121"/>
      <c r="B43" s="121"/>
      <c r="C43" s="121"/>
      <c r="D43" s="121"/>
      <c r="E43" s="121"/>
      <c r="F43" s="325" t="s">
        <v>104</v>
      </c>
      <c r="G43" s="360">
        <v>0.63982683982683985</v>
      </c>
      <c r="H43" s="121"/>
      <c r="I43" s="121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</row>
    <row r="44" spans="1:59" x14ac:dyDescent="0.25">
      <c r="A44" s="121"/>
      <c r="B44" s="121"/>
      <c r="C44" s="121"/>
      <c r="D44" s="121"/>
      <c r="E44" s="121"/>
      <c r="F44" s="356" t="s">
        <v>103</v>
      </c>
      <c r="G44" s="360">
        <v>0.63982683982683985</v>
      </c>
      <c r="H44" s="121"/>
      <c r="I44" s="121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</row>
    <row r="45" spans="1:59" x14ac:dyDescent="0.25">
      <c r="A45" s="121"/>
      <c r="B45" s="121"/>
      <c r="C45" s="121"/>
      <c r="D45" s="121"/>
      <c r="E45" s="121"/>
      <c r="F45" s="325" t="s">
        <v>433</v>
      </c>
      <c r="G45" s="360">
        <v>0.59412452902036239</v>
      </c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21"/>
      <c r="AH45" s="121"/>
      <c r="AI45" s="121"/>
      <c r="AJ45" s="121"/>
      <c r="AK45" s="121"/>
      <c r="AL45" s="121"/>
      <c r="AM45" s="121"/>
      <c r="AN45" s="121"/>
      <c r="AO45" s="121"/>
      <c r="AP45" s="121"/>
      <c r="AQ45" s="121"/>
      <c r="AR45" s="121"/>
      <c r="AS45" s="121"/>
      <c r="AT45" s="121"/>
      <c r="AU45" s="121"/>
      <c r="AV45" s="121"/>
      <c r="AW45" s="121"/>
      <c r="AX45" s="121"/>
      <c r="AY45" s="121"/>
      <c r="AZ45" s="121"/>
      <c r="BA45" s="121"/>
      <c r="BB45" s="121"/>
      <c r="BC45" s="121"/>
      <c r="BD45" s="121"/>
      <c r="BE45" s="121"/>
      <c r="BF45" s="121"/>
      <c r="BG45" s="121"/>
    </row>
    <row r="46" spans="1:59" x14ac:dyDescent="0.25">
      <c r="A46" s="121"/>
      <c r="B46" s="121"/>
      <c r="C46" s="121"/>
      <c r="D46" s="121"/>
      <c r="E46" s="121"/>
      <c r="F46" s="356" t="s">
        <v>48</v>
      </c>
      <c r="G46" s="360">
        <v>0.59412452902036239</v>
      </c>
      <c r="H46" s="121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  <c r="Y46" s="121"/>
      <c r="Z46" s="121"/>
      <c r="AA46" s="121"/>
      <c r="AB46" s="121"/>
      <c r="AC46" s="121"/>
      <c r="AD46" s="121"/>
      <c r="AE46" s="121"/>
      <c r="AF46" s="121"/>
      <c r="AG46" s="121"/>
      <c r="AH46" s="121"/>
      <c r="AI46" s="121"/>
      <c r="AJ46" s="121"/>
      <c r="AK46" s="121"/>
      <c r="AL46" s="121"/>
      <c r="AM46" s="121"/>
      <c r="AN46" s="121"/>
      <c r="AO46" s="121"/>
      <c r="AP46" s="121"/>
      <c r="AQ46" s="121"/>
      <c r="AR46" s="121"/>
      <c r="AS46" s="121"/>
      <c r="AT46" s="121"/>
      <c r="AU46" s="121"/>
      <c r="AV46" s="121"/>
      <c r="AW46" s="121"/>
      <c r="AX46" s="121"/>
      <c r="AY46" s="121"/>
      <c r="AZ46" s="121"/>
      <c r="BA46" s="121"/>
      <c r="BB46" s="121"/>
      <c r="BC46" s="121"/>
      <c r="BD46" s="121"/>
      <c r="BE46" s="121"/>
      <c r="BF46" s="121"/>
      <c r="BG46" s="121"/>
    </row>
    <row r="47" spans="1:59" x14ac:dyDescent="0.25">
      <c r="A47" s="121"/>
      <c r="B47" s="121"/>
      <c r="C47" s="121"/>
      <c r="D47" s="121"/>
      <c r="E47" s="121"/>
      <c r="F47" s="325" t="s">
        <v>203</v>
      </c>
      <c r="G47" s="360">
        <v>-0.21550416764696684</v>
      </c>
      <c r="H47" s="121"/>
      <c r="I47" s="121"/>
      <c r="J47" s="121"/>
      <c r="K47" s="121"/>
      <c r="L47" s="121"/>
      <c r="M47" s="121"/>
      <c r="N47" s="121"/>
      <c r="O47" s="121"/>
      <c r="P47" s="121"/>
      <c r="Q47" s="121"/>
      <c r="R47" s="121"/>
      <c r="S47" s="121"/>
      <c r="T47" s="121"/>
      <c r="U47" s="121"/>
      <c r="V47" s="121"/>
      <c r="W47" s="121"/>
      <c r="X47" s="121"/>
      <c r="Y47" s="121"/>
      <c r="Z47" s="121"/>
      <c r="AA47" s="121"/>
      <c r="AB47" s="121"/>
      <c r="AC47" s="121"/>
      <c r="AD47" s="121"/>
      <c r="AE47" s="121"/>
      <c r="AF47" s="121"/>
      <c r="AG47" s="121"/>
      <c r="AH47" s="121"/>
      <c r="AI47" s="121"/>
      <c r="AJ47" s="121"/>
      <c r="AK47" s="121"/>
      <c r="AL47" s="121"/>
      <c r="AM47" s="121"/>
      <c r="AN47" s="121"/>
      <c r="AO47" s="121"/>
      <c r="AP47" s="121"/>
      <c r="AQ47" s="121"/>
      <c r="AR47" s="121"/>
      <c r="AS47" s="121"/>
      <c r="AT47" s="121"/>
      <c r="AU47" s="121"/>
      <c r="AV47" s="121"/>
      <c r="AW47" s="121"/>
      <c r="AX47" s="121"/>
      <c r="AY47" s="121"/>
      <c r="AZ47" s="121"/>
      <c r="BA47" s="121"/>
      <c r="BB47" s="121"/>
      <c r="BC47" s="121"/>
      <c r="BD47" s="121"/>
      <c r="BE47" s="121"/>
      <c r="BF47" s="121"/>
      <c r="BG47" s="121"/>
    </row>
    <row r="48" spans="1:59" x14ac:dyDescent="0.25">
      <c r="A48" s="121"/>
      <c r="B48" s="121"/>
      <c r="C48" s="121"/>
      <c r="D48" s="121"/>
      <c r="E48" s="121"/>
      <c r="F48" s="356" t="s">
        <v>96</v>
      </c>
      <c r="G48" s="360">
        <v>-0.21550416764696684</v>
      </c>
      <c r="H48" s="121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T48" s="121"/>
      <c r="U48" s="121"/>
      <c r="V48" s="121"/>
      <c r="W48" s="121"/>
      <c r="X48" s="121"/>
      <c r="Y48" s="121"/>
      <c r="Z48" s="121"/>
      <c r="AA48" s="121"/>
      <c r="AB48" s="121"/>
      <c r="AC48" s="121"/>
      <c r="AD48" s="121"/>
      <c r="AE48" s="121"/>
      <c r="AF48" s="121"/>
      <c r="AG48" s="121"/>
      <c r="AH48" s="121"/>
      <c r="AI48" s="121"/>
      <c r="AJ48" s="121"/>
      <c r="AK48" s="121"/>
      <c r="AL48" s="121"/>
      <c r="AM48" s="121"/>
      <c r="AN48" s="121"/>
      <c r="AO48" s="121"/>
      <c r="AP48" s="121"/>
      <c r="AQ48" s="121"/>
      <c r="AR48" s="121"/>
      <c r="AS48" s="121"/>
      <c r="AT48" s="121"/>
      <c r="AU48" s="121"/>
      <c r="AV48" s="121"/>
      <c r="AW48" s="121"/>
      <c r="AX48" s="121"/>
      <c r="AY48" s="121"/>
      <c r="AZ48" s="121"/>
      <c r="BA48" s="121"/>
      <c r="BB48" s="121"/>
      <c r="BC48" s="121"/>
      <c r="BD48" s="121"/>
      <c r="BE48" s="121"/>
      <c r="BF48" s="121"/>
      <c r="BG48" s="121"/>
    </row>
    <row r="49" spans="1:59" x14ac:dyDescent="0.25">
      <c r="A49" s="121"/>
      <c r="B49" s="121"/>
      <c r="C49" s="121"/>
      <c r="D49" s="121"/>
      <c r="E49" s="121"/>
      <c r="F49" s="325" t="s">
        <v>196</v>
      </c>
      <c r="G49" s="360">
        <v>-0.36090398489802039</v>
      </c>
      <c r="H49" s="121"/>
      <c r="I49" s="121"/>
      <c r="J49" s="121"/>
      <c r="K49" s="121"/>
      <c r="L49" s="121"/>
      <c r="M49" s="121"/>
      <c r="N49" s="121"/>
      <c r="O49" s="121"/>
      <c r="P49" s="121"/>
      <c r="Q49" s="121"/>
      <c r="R49" s="121"/>
      <c r="S49" s="121"/>
      <c r="T49" s="121"/>
      <c r="U49" s="121"/>
      <c r="V49" s="121"/>
      <c r="W49" s="121"/>
      <c r="X49" s="121"/>
      <c r="Y49" s="121"/>
      <c r="Z49" s="121"/>
      <c r="AA49" s="121"/>
      <c r="AB49" s="121"/>
      <c r="AC49" s="121"/>
      <c r="AD49" s="121"/>
      <c r="AE49" s="121"/>
      <c r="AF49" s="121"/>
      <c r="AG49" s="121"/>
      <c r="AH49" s="121"/>
      <c r="AI49" s="121"/>
      <c r="AJ49" s="121"/>
      <c r="AK49" s="121"/>
      <c r="AL49" s="121"/>
      <c r="AM49" s="121"/>
      <c r="AN49" s="121"/>
      <c r="AO49" s="121"/>
      <c r="AP49" s="121"/>
      <c r="AQ49" s="121"/>
      <c r="AR49" s="121"/>
      <c r="AS49" s="121"/>
      <c r="AT49" s="121"/>
      <c r="AU49" s="121"/>
      <c r="AV49" s="121"/>
      <c r="AW49" s="121"/>
      <c r="AX49" s="121"/>
      <c r="AY49" s="121"/>
      <c r="AZ49" s="121"/>
      <c r="BA49" s="121"/>
      <c r="BB49" s="121"/>
      <c r="BC49" s="121"/>
      <c r="BD49" s="121"/>
      <c r="BE49" s="121"/>
      <c r="BF49" s="121"/>
      <c r="BG49" s="121"/>
    </row>
    <row r="50" spans="1:59" x14ac:dyDescent="0.25">
      <c r="A50" s="121"/>
      <c r="B50" s="121"/>
      <c r="C50" s="121"/>
      <c r="D50" s="121"/>
      <c r="E50" s="121"/>
      <c r="F50" s="356" t="s">
        <v>50</v>
      </c>
      <c r="G50" s="360">
        <v>-0.36090398489802039</v>
      </c>
      <c r="H50" s="121"/>
      <c r="I50" s="121"/>
      <c r="J50" s="121"/>
      <c r="K50" s="121"/>
      <c r="L50" s="121"/>
      <c r="M50" s="121"/>
      <c r="N50" s="121"/>
      <c r="O50" s="121"/>
      <c r="P50" s="121"/>
      <c r="Q50" s="121"/>
      <c r="R50" s="121"/>
      <c r="S50" s="121"/>
      <c r="T50" s="121"/>
      <c r="U50" s="121"/>
      <c r="V50" s="121"/>
      <c r="W50" s="121"/>
      <c r="X50" s="121"/>
      <c r="Y50" s="121"/>
      <c r="Z50" s="121"/>
      <c r="AA50" s="121"/>
      <c r="AB50" s="121"/>
      <c r="AC50" s="121"/>
      <c r="AD50" s="121"/>
      <c r="AE50" s="121"/>
      <c r="AF50" s="121"/>
      <c r="AG50" s="121"/>
      <c r="AH50" s="121"/>
      <c r="AI50" s="121"/>
      <c r="AJ50" s="121"/>
      <c r="AK50" s="121"/>
      <c r="AL50" s="121"/>
      <c r="AM50" s="121"/>
      <c r="AN50" s="121"/>
      <c r="AO50" s="121"/>
      <c r="AP50" s="121"/>
      <c r="AQ50" s="121"/>
      <c r="AR50" s="121"/>
      <c r="AS50" s="121"/>
      <c r="AT50" s="121"/>
      <c r="AU50" s="121"/>
      <c r="AV50" s="121"/>
      <c r="AW50" s="121"/>
      <c r="AX50" s="121"/>
      <c r="AY50" s="121"/>
      <c r="AZ50" s="121"/>
      <c r="BA50" s="121"/>
      <c r="BB50" s="121"/>
      <c r="BC50" s="121"/>
      <c r="BD50" s="121"/>
      <c r="BE50" s="121"/>
      <c r="BF50" s="121"/>
      <c r="BG50" s="121"/>
    </row>
    <row r="51" spans="1:59" x14ac:dyDescent="0.25">
      <c r="A51" s="121"/>
      <c r="B51" s="121"/>
      <c r="C51" s="121"/>
      <c r="D51" s="121"/>
      <c r="E51" s="121"/>
      <c r="F51" s="325" t="s">
        <v>198</v>
      </c>
      <c r="G51" s="360">
        <v>0.37050449550449549</v>
      </c>
      <c r="H51" s="121"/>
      <c r="I51" s="121"/>
      <c r="J51" s="121"/>
      <c r="K51" s="121"/>
      <c r="L51" s="121"/>
      <c r="M51" s="121"/>
      <c r="N51" s="121"/>
      <c r="O51" s="121"/>
      <c r="P51" s="121"/>
      <c r="Q51" s="121"/>
      <c r="R51" s="121"/>
      <c r="S51" s="121"/>
      <c r="T51" s="121"/>
      <c r="U51" s="121"/>
      <c r="V51" s="121"/>
      <c r="W51" s="121"/>
      <c r="X51" s="121"/>
      <c r="Y51" s="121"/>
      <c r="Z51" s="121"/>
      <c r="AA51" s="121"/>
      <c r="AB51" s="121"/>
      <c r="AC51" s="121"/>
      <c r="AD51" s="121"/>
      <c r="AE51" s="121"/>
      <c r="AF51" s="121"/>
      <c r="AG51" s="121"/>
      <c r="AH51" s="121"/>
      <c r="AI51" s="121"/>
      <c r="AJ51" s="121"/>
      <c r="AK51" s="121"/>
      <c r="AL51" s="121"/>
      <c r="AM51" s="121"/>
      <c r="AN51" s="121"/>
      <c r="AO51" s="121"/>
      <c r="AP51" s="121"/>
      <c r="AQ51" s="121"/>
      <c r="AR51" s="121"/>
      <c r="AS51" s="121"/>
      <c r="AT51" s="121"/>
      <c r="AU51" s="121"/>
      <c r="AV51" s="121"/>
      <c r="AW51" s="121"/>
      <c r="AX51" s="121"/>
      <c r="AY51" s="121"/>
      <c r="AZ51" s="121"/>
      <c r="BA51" s="121"/>
      <c r="BB51" s="121"/>
      <c r="BC51" s="121"/>
      <c r="BD51" s="121"/>
      <c r="BE51" s="121"/>
      <c r="BF51" s="121"/>
      <c r="BG51" s="121"/>
    </row>
    <row r="52" spans="1:59" x14ac:dyDescent="0.25">
      <c r="A52" s="121"/>
      <c r="B52" s="121"/>
      <c r="C52" s="121"/>
      <c r="D52" s="121"/>
      <c r="E52" s="121"/>
      <c r="F52" s="356" t="s">
        <v>103</v>
      </c>
      <c r="G52" s="360">
        <v>0.37050449550449549</v>
      </c>
      <c r="H52" s="121"/>
      <c r="I52" s="121"/>
      <c r="J52" s="121"/>
      <c r="K52" s="121"/>
      <c r="L52" s="121"/>
      <c r="M52" s="121"/>
      <c r="N52" s="121"/>
      <c r="O52" s="121"/>
      <c r="P52" s="121"/>
      <c r="Q52" s="121"/>
      <c r="R52" s="121"/>
      <c r="S52" s="121"/>
      <c r="T52" s="121"/>
      <c r="U52" s="121"/>
      <c r="V52" s="121"/>
      <c r="W52" s="121"/>
      <c r="X52" s="121"/>
      <c r="Y52" s="121"/>
      <c r="Z52" s="121"/>
      <c r="AA52" s="121"/>
      <c r="AB52" s="121"/>
      <c r="AC52" s="121"/>
      <c r="AD52" s="121"/>
      <c r="AE52" s="121"/>
      <c r="AF52" s="121"/>
      <c r="AG52" s="121"/>
      <c r="AH52" s="121"/>
      <c r="AI52" s="121"/>
      <c r="AJ52" s="121"/>
      <c r="AK52" s="121"/>
      <c r="AL52" s="121"/>
      <c r="AM52" s="121"/>
      <c r="AN52" s="121"/>
      <c r="AO52" s="121"/>
      <c r="AP52" s="121"/>
      <c r="AQ52" s="121"/>
      <c r="AR52" s="121"/>
      <c r="AS52" s="121"/>
      <c r="AT52" s="121"/>
      <c r="AU52" s="121"/>
      <c r="AV52" s="121"/>
      <c r="AW52" s="121"/>
      <c r="AX52" s="121"/>
      <c r="AY52" s="121"/>
      <c r="AZ52" s="121"/>
      <c r="BA52" s="121"/>
      <c r="BB52" s="121"/>
      <c r="BC52" s="121"/>
      <c r="BD52" s="121"/>
      <c r="BE52" s="121"/>
      <c r="BF52" s="121"/>
      <c r="BG52" s="121"/>
    </row>
    <row r="53" spans="1:59" x14ac:dyDescent="0.25">
      <c r="A53" s="121"/>
      <c r="B53" s="121"/>
      <c r="C53" s="121"/>
      <c r="D53" s="121"/>
      <c r="E53" s="121"/>
      <c r="F53" s="325" t="s">
        <v>221</v>
      </c>
      <c r="G53" s="360">
        <v>0.68782245788253082</v>
      </c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T53" s="121"/>
      <c r="U53" s="121"/>
      <c r="V53" s="121"/>
      <c r="W53" s="121"/>
      <c r="X53" s="121"/>
      <c r="Y53" s="121"/>
      <c r="Z53" s="121"/>
      <c r="AA53" s="121"/>
      <c r="AB53" s="121"/>
      <c r="AC53" s="121"/>
      <c r="AD53" s="121"/>
      <c r="AE53" s="121"/>
      <c r="AF53" s="121"/>
      <c r="AG53" s="121"/>
      <c r="AH53" s="121"/>
      <c r="AI53" s="121"/>
      <c r="AJ53" s="121"/>
      <c r="AK53" s="121"/>
      <c r="AL53" s="121"/>
      <c r="AM53" s="121"/>
      <c r="AN53" s="121"/>
      <c r="AO53" s="121"/>
      <c r="AP53" s="121"/>
      <c r="AQ53" s="121"/>
      <c r="AR53" s="121"/>
      <c r="AS53" s="121"/>
      <c r="AT53" s="121"/>
      <c r="AU53" s="121"/>
      <c r="AV53" s="121"/>
      <c r="AW53" s="121"/>
      <c r="AX53" s="121"/>
      <c r="AY53" s="121"/>
      <c r="AZ53" s="121"/>
      <c r="BA53" s="121"/>
      <c r="BB53" s="121"/>
      <c r="BC53" s="121"/>
      <c r="BD53" s="121"/>
      <c r="BE53" s="121"/>
      <c r="BF53" s="121"/>
      <c r="BG53" s="121"/>
    </row>
    <row r="54" spans="1:59" x14ac:dyDescent="0.25">
      <c r="A54" s="121"/>
      <c r="B54" s="121"/>
      <c r="C54" s="121"/>
      <c r="D54" s="121"/>
      <c r="E54" s="121"/>
      <c r="F54" s="356" t="s">
        <v>78</v>
      </c>
      <c r="G54" s="360">
        <v>0.68782245788253082</v>
      </c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  <c r="AA54" s="121"/>
      <c r="AB54" s="121"/>
      <c r="AC54" s="121"/>
      <c r="AD54" s="121"/>
      <c r="AE54" s="121"/>
      <c r="AF54" s="121"/>
      <c r="AG54" s="121"/>
      <c r="AH54" s="121"/>
      <c r="AI54" s="121"/>
      <c r="AJ54" s="121"/>
      <c r="AK54" s="121"/>
      <c r="AL54" s="121"/>
      <c r="AM54" s="121"/>
      <c r="AN54" s="121"/>
      <c r="AO54" s="121"/>
      <c r="AP54" s="121"/>
      <c r="AQ54" s="121"/>
      <c r="AR54" s="121"/>
      <c r="AS54" s="121"/>
      <c r="AT54" s="121"/>
      <c r="AU54" s="121"/>
      <c r="AV54" s="121"/>
      <c r="AW54" s="121"/>
      <c r="AX54" s="121"/>
      <c r="AY54" s="121"/>
      <c r="AZ54" s="121"/>
      <c r="BA54" s="121"/>
      <c r="BB54" s="121"/>
      <c r="BC54" s="121"/>
      <c r="BD54" s="121"/>
      <c r="BE54" s="121"/>
      <c r="BF54" s="121"/>
      <c r="BG54" s="121"/>
    </row>
    <row r="55" spans="1:59" x14ac:dyDescent="0.25">
      <c r="A55" s="121"/>
      <c r="B55" s="121"/>
      <c r="C55" s="121"/>
      <c r="D55" s="121"/>
      <c r="E55" s="121"/>
      <c r="F55" s="325" t="s">
        <v>306</v>
      </c>
      <c r="G55" s="360">
        <v>0.97868230544340806</v>
      </c>
      <c r="H55" s="121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  <c r="Z55" s="121"/>
      <c r="AA55" s="121"/>
      <c r="AB55" s="121"/>
      <c r="AC55" s="121"/>
      <c r="AD55" s="121"/>
      <c r="AE55" s="121"/>
      <c r="AF55" s="121"/>
      <c r="AG55" s="121"/>
      <c r="AH55" s="121"/>
      <c r="AI55" s="121"/>
      <c r="AJ55" s="121"/>
      <c r="AK55" s="121"/>
      <c r="AL55" s="121"/>
      <c r="AM55" s="121"/>
      <c r="AN55" s="121"/>
      <c r="AO55" s="121"/>
      <c r="AP55" s="121"/>
      <c r="AQ55" s="121"/>
      <c r="AR55" s="121"/>
      <c r="AS55" s="121"/>
      <c r="AT55" s="121"/>
      <c r="AU55" s="121"/>
      <c r="AV55" s="121"/>
      <c r="AW55" s="121"/>
      <c r="AX55" s="121"/>
      <c r="AY55" s="121"/>
      <c r="AZ55" s="121"/>
      <c r="BA55" s="121"/>
      <c r="BB55" s="121"/>
      <c r="BC55" s="121"/>
      <c r="BD55" s="121"/>
      <c r="BE55" s="121"/>
      <c r="BF55" s="121"/>
      <c r="BG55" s="121"/>
    </row>
    <row r="56" spans="1:59" x14ac:dyDescent="0.25">
      <c r="A56" s="121"/>
      <c r="B56" s="121"/>
      <c r="C56" s="121"/>
      <c r="D56" s="121"/>
      <c r="E56" s="121"/>
      <c r="F56" s="356" t="s">
        <v>103</v>
      </c>
      <c r="G56" s="360">
        <v>0.97868230544340806</v>
      </c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/>
      <c r="AG56" s="121"/>
      <c r="AH56" s="121"/>
      <c r="AI56" s="121"/>
      <c r="AJ56" s="121"/>
      <c r="AK56" s="121"/>
      <c r="AL56" s="121"/>
      <c r="AM56" s="121"/>
      <c r="AN56" s="121"/>
      <c r="AO56" s="121"/>
      <c r="AP56" s="121"/>
      <c r="AQ56" s="121"/>
      <c r="AR56" s="121"/>
      <c r="AS56" s="121"/>
      <c r="AT56" s="121"/>
      <c r="AU56" s="121"/>
      <c r="AV56" s="121"/>
      <c r="AW56" s="121"/>
      <c r="AX56" s="121"/>
      <c r="AY56" s="121"/>
      <c r="AZ56" s="121"/>
      <c r="BA56" s="121"/>
      <c r="BB56" s="121"/>
      <c r="BC56" s="121"/>
      <c r="BD56" s="121"/>
      <c r="BE56" s="121"/>
      <c r="BF56" s="121"/>
      <c r="BG56" s="121"/>
    </row>
    <row r="57" spans="1:59" x14ac:dyDescent="0.25">
      <c r="A57" s="121"/>
      <c r="B57" s="121"/>
      <c r="C57" s="121"/>
      <c r="D57" s="121"/>
      <c r="E57" s="121"/>
      <c r="F57" s="325" t="s">
        <v>305</v>
      </c>
      <c r="G57" s="360">
        <v>-0.32730823195250075</v>
      </c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</row>
    <row r="58" spans="1:59" x14ac:dyDescent="0.25">
      <c r="A58" s="121"/>
      <c r="B58" s="121"/>
      <c r="C58" s="121"/>
      <c r="D58" s="121"/>
      <c r="E58" s="121"/>
      <c r="F58" s="356" t="s">
        <v>103</v>
      </c>
      <c r="G58" s="360">
        <v>-0.32730823195250075</v>
      </c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  <c r="AA58" s="121"/>
      <c r="AB58" s="121"/>
      <c r="AC58" s="121"/>
      <c r="AD58" s="121"/>
      <c r="AE58" s="121"/>
      <c r="AF58" s="121"/>
      <c r="AG58" s="121"/>
      <c r="AH58" s="121"/>
      <c r="AI58" s="121"/>
      <c r="AJ58" s="121"/>
      <c r="AK58" s="121"/>
      <c r="AL58" s="121"/>
      <c r="AM58" s="121"/>
      <c r="AN58" s="121"/>
      <c r="AO58" s="121"/>
      <c r="AP58" s="121"/>
      <c r="AQ58" s="121"/>
      <c r="AR58" s="121"/>
      <c r="AS58" s="121"/>
      <c r="AT58" s="121"/>
      <c r="AU58" s="121"/>
      <c r="AV58" s="121"/>
      <c r="AW58" s="121"/>
      <c r="AX58" s="121"/>
      <c r="AY58" s="121"/>
      <c r="AZ58" s="121"/>
      <c r="BA58" s="121"/>
      <c r="BB58" s="121"/>
      <c r="BC58" s="121"/>
      <c r="BD58" s="121"/>
      <c r="BE58" s="121"/>
      <c r="BF58" s="121"/>
      <c r="BG58" s="121"/>
    </row>
    <row r="59" spans="1:59" x14ac:dyDescent="0.25">
      <c r="A59" s="121"/>
      <c r="B59" s="121"/>
      <c r="C59" s="121"/>
      <c r="D59" s="121"/>
      <c r="E59" s="121"/>
      <c r="F59" s="325" t="s">
        <v>549</v>
      </c>
      <c r="G59" s="360">
        <v>0.38775510204081631</v>
      </c>
      <c r="H59" s="121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R59" s="121"/>
      <c r="AS59" s="121"/>
      <c r="AT59" s="121"/>
      <c r="AU59" s="121"/>
      <c r="AV59" s="121"/>
      <c r="AW59" s="121"/>
      <c r="AX59" s="121"/>
      <c r="AY59" s="121"/>
      <c r="AZ59" s="121"/>
      <c r="BA59" s="121"/>
      <c r="BB59" s="121"/>
      <c r="BC59" s="121"/>
      <c r="BD59" s="121"/>
      <c r="BE59" s="121"/>
      <c r="BF59" s="121"/>
      <c r="BG59" s="121"/>
    </row>
    <row r="60" spans="1:59" x14ac:dyDescent="0.25">
      <c r="A60" s="121"/>
      <c r="B60" s="121"/>
      <c r="C60" s="121"/>
      <c r="D60" s="121"/>
      <c r="E60" s="121"/>
      <c r="F60" s="356" t="s">
        <v>227</v>
      </c>
      <c r="G60" s="360">
        <v>0.38775510204081631</v>
      </c>
      <c r="H60" s="121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21"/>
      <c r="AH60" s="121"/>
      <c r="AI60" s="121"/>
      <c r="AJ60" s="121"/>
      <c r="AK60" s="121"/>
      <c r="AL60" s="121"/>
      <c r="AM60" s="121"/>
      <c r="AN60" s="121"/>
      <c r="AO60" s="121"/>
      <c r="AP60" s="121"/>
      <c r="AQ60" s="121"/>
      <c r="AR60" s="121"/>
      <c r="AS60" s="121"/>
      <c r="AT60" s="121"/>
      <c r="AU60" s="121"/>
      <c r="AV60" s="121"/>
      <c r="AW60" s="121"/>
      <c r="AX60" s="121"/>
      <c r="AY60" s="121"/>
      <c r="AZ60" s="121"/>
      <c r="BA60" s="121"/>
      <c r="BB60" s="121"/>
      <c r="BC60" s="121"/>
      <c r="BD60" s="121"/>
      <c r="BE60" s="121"/>
      <c r="BF60" s="121"/>
      <c r="BG60" s="121"/>
    </row>
    <row r="61" spans="1:59" x14ac:dyDescent="0.25">
      <c r="A61" s="121"/>
      <c r="B61" s="121"/>
      <c r="C61" s="121"/>
      <c r="D61" s="121"/>
      <c r="E61" s="121"/>
      <c r="F61" s="325" t="s">
        <v>411</v>
      </c>
      <c r="G61" s="360">
        <v>-0.25634057971014501</v>
      </c>
      <c r="H61" s="121"/>
      <c r="I61" s="121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</row>
    <row r="62" spans="1:59" x14ac:dyDescent="0.25">
      <c r="A62" s="121"/>
      <c r="B62" s="121"/>
      <c r="C62" s="121"/>
      <c r="D62" s="121"/>
      <c r="E62" s="121"/>
      <c r="F62" s="356" t="s">
        <v>50</v>
      </c>
      <c r="G62" s="360">
        <v>-0.25634057971014501</v>
      </c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1"/>
      <c r="U62" s="121"/>
      <c r="V62" s="121"/>
      <c r="W62" s="121"/>
      <c r="X62" s="121"/>
      <c r="Y62" s="121"/>
      <c r="Z62" s="121"/>
      <c r="AA62" s="121"/>
      <c r="AB62" s="121"/>
      <c r="AC62" s="121"/>
      <c r="AD62" s="121"/>
      <c r="AE62" s="121"/>
      <c r="AF62" s="121"/>
      <c r="AG62" s="121"/>
      <c r="AH62" s="121"/>
      <c r="AI62" s="121"/>
      <c r="AJ62" s="121"/>
      <c r="AK62" s="121"/>
      <c r="AL62" s="121"/>
      <c r="AM62" s="121"/>
      <c r="AN62" s="121"/>
      <c r="AO62" s="121"/>
      <c r="AP62" s="121"/>
      <c r="AQ62" s="121"/>
      <c r="AR62" s="121"/>
      <c r="AS62" s="121"/>
      <c r="AT62" s="121"/>
      <c r="AU62" s="121"/>
      <c r="AV62" s="121"/>
      <c r="AW62" s="121"/>
      <c r="AX62" s="121"/>
      <c r="AY62" s="121"/>
      <c r="AZ62" s="121"/>
      <c r="BA62" s="121"/>
      <c r="BB62" s="121"/>
      <c r="BC62" s="121"/>
      <c r="BD62" s="121"/>
      <c r="BE62" s="121"/>
      <c r="BF62" s="121"/>
      <c r="BG62" s="121"/>
    </row>
    <row r="63" spans="1:59" x14ac:dyDescent="0.25">
      <c r="A63" s="121"/>
      <c r="B63" s="121"/>
      <c r="C63" s="121"/>
      <c r="D63" s="121"/>
      <c r="E63" s="121"/>
      <c r="F63" s="325" t="s">
        <v>415</v>
      </c>
      <c r="G63" s="360">
        <v>0.49034090909090911</v>
      </c>
      <c r="H63" s="121"/>
      <c r="I63" s="121"/>
      <c r="J63" s="121"/>
      <c r="K63" s="121"/>
      <c r="L63" s="121"/>
      <c r="M63" s="121"/>
      <c r="N63" s="121"/>
      <c r="O63" s="121"/>
      <c r="P63" s="121"/>
      <c r="Q63" s="121"/>
      <c r="R63" s="121"/>
      <c r="S63" s="121"/>
      <c r="T63" s="121"/>
      <c r="U63" s="121"/>
      <c r="V63" s="121"/>
      <c r="W63" s="121"/>
      <c r="X63" s="121"/>
      <c r="Y63" s="121"/>
      <c r="Z63" s="121"/>
      <c r="AA63" s="121"/>
      <c r="AB63" s="121"/>
      <c r="AC63" s="121"/>
      <c r="AD63" s="121"/>
      <c r="AE63" s="121"/>
      <c r="AF63" s="121"/>
      <c r="AG63" s="121"/>
      <c r="AH63" s="121"/>
      <c r="AI63" s="121"/>
      <c r="AJ63" s="121"/>
      <c r="AK63" s="121"/>
      <c r="AL63" s="121"/>
      <c r="AM63" s="121"/>
      <c r="AN63" s="121"/>
      <c r="AO63" s="121"/>
      <c r="AP63" s="121"/>
      <c r="AQ63" s="121"/>
      <c r="AR63" s="121"/>
      <c r="AS63" s="121"/>
      <c r="AT63" s="121"/>
      <c r="AU63" s="121"/>
      <c r="AV63" s="121"/>
      <c r="AW63" s="121"/>
      <c r="AX63" s="121"/>
      <c r="AY63" s="121"/>
      <c r="AZ63" s="121"/>
      <c r="BA63" s="121"/>
      <c r="BB63" s="121"/>
      <c r="BC63" s="121"/>
      <c r="BD63" s="121"/>
      <c r="BE63" s="121"/>
      <c r="BF63" s="121"/>
      <c r="BG63" s="121"/>
    </row>
    <row r="64" spans="1:59" x14ac:dyDescent="0.25">
      <c r="A64" s="121"/>
      <c r="B64" s="121"/>
      <c r="C64" s="121"/>
      <c r="D64" s="121"/>
      <c r="E64" s="121"/>
      <c r="F64" s="356" t="s">
        <v>45</v>
      </c>
      <c r="G64" s="360">
        <v>0.49034090909090911</v>
      </c>
      <c r="H64" s="121"/>
      <c r="I64" s="121"/>
      <c r="J64" s="121"/>
      <c r="K64" s="121"/>
      <c r="L64" s="121"/>
      <c r="M64" s="121"/>
      <c r="N64" s="121"/>
      <c r="O64" s="121"/>
      <c r="P64" s="121"/>
      <c r="Q64" s="121"/>
      <c r="R64" s="121"/>
      <c r="S64" s="121"/>
      <c r="T64" s="121"/>
      <c r="U64" s="121"/>
      <c r="V64" s="121"/>
      <c r="W64" s="121"/>
      <c r="X64" s="121"/>
      <c r="Y64" s="121"/>
      <c r="Z64" s="121"/>
      <c r="AA64" s="121"/>
      <c r="AB64" s="121"/>
      <c r="AC64" s="121"/>
      <c r="AD64" s="121"/>
      <c r="AE64" s="121"/>
      <c r="AF64" s="121"/>
      <c r="AG64" s="121"/>
      <c r="AH64" s="121"/>
      <c r="AI64" s="121"/>
      <c r="AJ64" s="121"/>
      <c r="AK64" s="121"/>
      <c r="AL64" s="121"/>
      <c r="AM64" s="121"/>
      <c r="AN64" s="121"/>
      <c r="AO64" s="121"/>
      <c r="AP64" s="121"/>
      <c r="AQ64" s="121"/>
      <c r="AR64" s="121"/>
      <c r="AS64" s="121"/>
      <c r="AT64" s="121"/>
      <c r="AU64" s="121"/>
      <c r="AV64" s="121"/>
      <c r="AW64" s="121"/>
      <c r="AX64" s="121"/>
      <c r="AY64" s="121"/>
      <c r="AZ64" s="121"/>
      <c r="BA64" s="121"/>
      <c r="BB64" s="121"/>
      <c r="BC64" s="121"/>
      <c r="BD64" s="121"/>
      <c r="BE64" s="121"/>
      <c r="BF64" s="121"/>
      <c r="BG64" s="121"/>
    </row>
    <row r="65" spans="1:59" x14ac:dyDescent="0.25">
      <c r="A65" s="121"/>
      <c r="B65" s="121"/>
      <c r="C65" s="121"/>
      <c r="D65" s="121"/>
      <c r="E65" s="121"/>
      <c r="F65" s="325" t="s">
        <v>639</v>
      </c>
      <c r="G65" s="360">
        <v>0.4554235209235209</v>
      </c>
      <c r="H65" s="121"/>
      <c r="I65" s="121"/>
      <c r="J65" s="121"/>
      <c r="K65" s="121"/>
      <c r="L65" s="121"/>
      <c r="M65" s="121"/>
      <c r="N65" s="121"/>
      <c r="O65" s="121"/>
      <c r="P65" s="121"/>
      <c r="Q65" s="121"/>
      <c r="R65" s="121"/>
      <c r="S65" s="121"/>
      <c r="T65" s="121"/>
      <c r="U65" s="121"/>
      <c r="V65" s="121"/>
      <c r="W65" s="121"/>
      <c r="X65" s="121"/>
      <c r="Y65" s="121"/>
      <c r="Z65" s="121"/>
      <c r="AA65" s="121"/>
      <c r="AB65" s="121"/>
      <c r="AC65" s="121"/>
      <c r="AD65" s="121"/>
      <c r="AE65" s="121"/>
      <c r="AF65" s="121"/>
      <c r="AG65" s="121"/>
      <c r="AH65" s="121"/>
      <c r="AI65" s="121"/>
      <c r="AJ65" s="121"/>
      <c r="AK65" s="121"/>
      <c r="AL65" s="121"/>
      <c r="AM65" s="121"/>
      <c r="AN65" s="121"/>
      <c r="AO65" s="121"/>
      <c r="AP65" s="121"/>
      <c r="AQ65" s="121"/>
      <c r="AR65" s="121"/>
      <c r="AS65" s="121"/>
      <c r="AT65" s="121"/>
      <c r="AU65" s="121"/>
      <c r="AV65" s="121"/>
      <c r="AW65" s="121"/>
      <c r="AX65" s="121"/>
      <c r="AY65" s="121"/>
      <c r="AZ65" s="121"/>
      <c r="BA65" s="121"/>
      <c r="BB65" s="121"/>
      <c r="BC65" s="121"/>
      <c r="BD65" s="121"/>
      <c r="BE65" s="121"/>
      <c r="BF65" s="121"/>
      <c r="BG65" s="121"/>
    </row>
    <row r="66" spans="1:59" x14ac:dyDescent="0.25">
      <c r="A66" s="121"/>
      <c r="B66" s="121"/>
      <c r="C66" s="121"/>
      <c r="D66" s="121"/>
      <c r="E66" s="121"/>
      <c r="F66" s="356" t="s">
        <v>50</v>
      </c>
      <c r="G66" s="360">
        <v>0.4554235209235209</v>
      </c>
      <c r="H66" s="121"/>
      <c r="I66" s="121"/>
      <c r="J66" s="121"/>
      <c r="K66" s="121"/>
      <c r="L66" s="121"/>
      <c r="M66" s="121"/>
      <c r="N66" s="121"/>
      <c r="O66" s="121"/>
      <c r="P66" s="121"/>
      <c r="Q66" s="121"/>
      <c r="R66" s="121"/>
      <c r="S66" s="121"/>
      <c r="T66" s="121"/>
      <c r="U66" s="121"/>
      <c r="V66" s="121"/>
      <c r="W66" s="121"/>
      <c r="X66" s="121"/>
      <c r="Y66" s="121"/>
      <c r="Z66" s="121"/>
      <c r="AA66" s="121"/>
      <c r="AB66" s="121"/>
      <c r="AC66" s="121"/>
      <c r="AD66" s="121"/>
      <c r="AE66" s="121"/>
      <c r="AF66" s="121"/>
      <c r="AG66" s="121"/>
      <c r="AH66" s="121"/>
      <c r="AI66" s="121"/>
      <c r="AJ66" s="121"/>
      <c r="AK66" s="121"/>
      <c r="AL66" s="121"/>
      <c r="AM66" s="121"/>
      <c r="AN66" s="121"/>
      <c r="AO66" s="121"/>
      <c r="AP66" s="121"/>
      <c r="AQ66" s="121"/>
      <c r="AR66" s="121"/>
      <c r="AS66" s="121"/>
      <c r="AT66" s="121"/>
      <c r="AU66" s="121"/>
      <c r="AV66" s="121"/>
      <c r="AW66" s="121"/>
      <c r="AX66" s="121"/>
      <c r="AY66" s="121"/>
      <c r="AZ66" s="121"/>
      <c r="BA66" s="121"/>
      <c r="BB66" s="121"/>
      <c r="BC66" s="121"/>
      <c r="BD66" s="121"/>
      <c r="BE66" s="121"/>
      <c r="BF66" s="121"/>
      <c r="BG66" s="121"/>
    </row>
    <row r="67" spans="1:59" x14ac:dyDescent="0.25">
      <c r="A67" s="121"/>
      <c r="B67" s="121"/>
      <c r="C67" s="121"/>
      <c r="D67" s="121"/>
      <c r="E67" s="121"/>
      <c r="F67" s="325" t="s">
        <v>153</v>
      </c>
      <c r="G67" s="357">
        <v>8.1469288519278305</v>
      </c>
      <c r="H67" s="121"/>
      <c r="I67" s="121"/>
      <c r="J67" s="121"/>
      <c r="K67" s="121"/>
      <c r="L67" s="121"/>
      <c r="M67" s="121"/>
      <c r="N67" s="121"/>
      <c r="O67" s="121"/>
      <c r="P67" s="121"/>
      <c r="Q67" s="121"/>
      <c r="R67" s="121"/>
      <c r="S67" s="121"/>
      <c r="T67" s="121"/>
      <c r="U67" s="121"/>
      <c r="V67" s="121"/>
      <c r="W67" s="12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  <c r="AP67" s="121"/>
      <c r="AQ67" s="121"/>
      <c r="AR67" s="121"/>
      <c r="AS67" s="121"/>
      <c r="AT67" s="121"/>
      <c r="AU67" s="121"/>
      <c r="AV67" s="121"/>
      <c r="AW67" s="121"/>
      <c r="AX67" s="121"/>
      <c r="AY67" s="121"/>
      <c r="AZ67" s="121"/>
      <c r="BA67" s="121"/>
      <c r="BB67" s="121"/>
      <c r="BC67" s="121"/>
      <c r="BD67" s="121"/>
      <c r="BE67" s="121"/>
      <c r="BF67" s="121"/>
      <c r="BG67" s="121"/>
    </row>
    <row r="68" spans="1:59" x14ac:dyDescent="0.25">
      <c r="A68" s="121"/>
      <c r="B68" s="121"/>
      <c r="C68" s="121"/>
      <c r="D68" s="121"/>
      <c r="E68" s="121"/>
      <c r="H68" s="121"/>
      <c r="I68" s="121"/>
      <c r="J68" s="121"/>
      <c r="K68" s="121"/>
      <c r="L68" s="121"/>
      <c r="M68" s="121"/>
      <c r="N68" s="121"/>
      <c r="O68" s="121"/>
      <c r="P68" s="121"/>
      <c r="Q68" s="121"/>
      <c r="R68" s="121"/>
      <c r="S68" s="121"/>
      <c r="T68" s="121"/>
      <c r="U68" s="121"/>
      <c r="V68" s="121"/>
      <c r="W68" s="121"/>
      <c r="X68" s="121"/>
      <c r="Y68" s="121"/>
      <c r="Z68" s="121"/>
      <c r="AA68" s="121"/>
      <c r="AB68" s="121"/>
      <c r="AC68" s="121"/>
      <c r="AD68" s="121"/>
      <c r="AE68" s="121"/>
      <c r="AF68" s="121"/>
      <c r="AG68" s="121"/>
      <c r="AH68" s="121"/>
      <c r="AI68" s="121"/>
      <c r="AJ68" s="121"/>
      <c r="AK68" s="121"/>
      <c r="AL68" s="121"/>
      <c r="AM68" s="121"/>
      <c r="AN68" s="121"/>
      <c r="AO68" s="121"/>
      <c r="AP68" s="121"/>
      <c r="AQ68" s="121"/>
      <c r="AR68" s="121"/>
      <c r="AS68" s="121"/>
      <c r="AT68" s="121"/>
      <c r="AU68" s="121"/>
      <c r="AV68" s="121"/>
      <c r="AW68" s="121"/>
      <c r="AX68" s="121"/>
      <c r="AY68" s="121"/>
      <c r="AZ68" s="121"/>
      <c r="BA68" s="121"/>
      <c r="BB68" s="121"/>
      <c r="BC68" s="121"/>
      <c r="BD68" s="121"/>
      <c r="BE68" s="121"/>
      <c r="BF68" s="121"/>
      <c r="BG68" s="121"/>
    </row>
    <row r="69" spans="1:59" x14ac:dyDescent="0.25">
      <c r="A69" s="121"/>
      <c r="B69" s="121"/>
      <c r="C69" s="121"/>
      <c r="D69" s="121"/>
      <c r="E69" s="121"/>
      <c r="H69" s="121"/>
      <c r="I69" s="121"/>
      <c r="J69" s="121"/>
      <c r="K69" s="121"/>
      <c r="L69" s="121"/>
      <c r="M69" s="121"/>
      <c r="N69" s="121"/>
      <c r="O69" s="121"/>
      <c r="P69" s="121"/>
      <c r="Q69" s="121"/>
      <c r="R69" s="121"/>
      <c r="S69" s="121"/>
      <c r="T69" s="121"/>
      <c r="U69" s="121"/>
      <c r="V69" s="121"/>
      <c r="W69" s="121"/>
      <c r="X69" s="121"/>
      <c r="Y69" s="121"/>
      <c r="Z69" s="121"/>
      <c r="AA69" s="121"/>
      <c r="AB69" s="121"/>
      <c r="AC69" s="121"/>
      <c r="AD69" s="121"/>
      <c r="AE69" s="121"/>
      <c r="AF69" s="121"/>
      <c r="AG69" s="121"/>
      <c r="AH69" s="121"/>
      <c r="AI69" s="121"/>
      <c r="AJ69" s="121"/>
      <c r="AK69" s="121"/>
      <c r="AL69" s="121"/>
      <c r="AM69" s="121"/>
      <c r="AN69" s="121"/>
      <c r="AO69" s="121"/>
      <c r="AP69" s="121"/>
      <c r="AQ69" s="121"/>
      <c r="AR69" s="121"/>
      <c r="AS69" s="121"/>
      <c r="AT69" s="121"/>
      <c r="AU69" s="121"/>
      <c r="AV69" s="121"/>
      <c r="AW69" s="121"/>
      <c r="AX69" s="121"/>
      <c r="AY69" s="121"/>
      <c r="AZ69" s="121"/>
      <c r="BA69" s="121"/>
      <c r="BB69" s="121"/>
      <c r="BC69" s="121"/>
      <c r="BD69" s="121"/>
      <c r="BE69" s="121"/>
      <c r="BF69" s="121"/>
      <c r="BG69" s="121"/>
    </row>
    <row r="70" spans="1:59" x14ac:dyDescent="0.25">
      <c r="A70" s="121"/>
      <c r="B70" s="121"/>
      <c r="C70" s="121"/>
      <c r="D70" s="121"/>
      <c r="E70" s="121"/>
      <c r="H70" s="121"/>
      <c r="I70" s="121"/>
      <c r="J70" s="121"/>
      <c r="K70" s="121"/>
      <c r="L70" s="121"/>
      <c r="M70" s="121"/>
      <c r="N70" s="121"/>
      <c r="O70" s="121"/>
      <c r="P70" s="121"/>
      <c r="Q70" s="121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  <c r="AE70" s="121"/>
      <c r="AF70" s="121"/>
      <c r="AG70" s="121"/>
      <c r="AH70" s="121"/>
      <c r="AI70" s="121"/>
      <c r="AJ70" s="121"/>
      <c r="AK70" s="121"/>
      <c r="AL70" s="121"/>
      <c r="AM70" s="121"/>
      <c r="AN70" s="121"/>
      <c r="AO70" s="121"/>
      <c r="AP70" s="121"/>
      <c r="AQ70" s="121"/>
      <c r="AR70" s="121"/>
      <c r="AS70" s="121"/>
      <c r="AT70" s="121"/>
      <c r="AU70" s="121"/>
      <c r="AV70" s="121"/>
      <c r="AW70" s="121"/>
      <c r="AX70" s="121"/>
      <c r="AY70" s="121"/>
      <c r="AZ70" s="121"/>
      <c r="BA70" s="121"/>
      <c r="BB70" s="121"/>
      <c r="BC70" s="121"/>
      <c r="BD70" s="121"/>
      <c r="BE70" s="121"/>
      <c r="BF70" s="121"/>
      <c r="BG70" s="121"/>
    </row>
    <row r="71" spans="1:59" x14ac:dyDescent="0.25">
      <c r="A71" s="121"/>
      <c r="B71" s="121"/>
      <c r="C71" s="121"/>
      <c r="D71" s="121"/>
      <c r="E71" s="121"/>
      <c r="H71" s="121"/>
      <c r="I71" s="121"/>
      <c r="J71" s="121"/>
      <c r="K71" s="121"/>
      <c r="L71" s="121"/>
      <c r="M71" s="121"/>
      <c r="N71" s="121"/>
      <c r="O71" s="121"/>
      <c r="P71" s="121"/>
      <c r="Q71" s="121"/>
      <c r="R71" s="121"/>
      <c r="S71" s="121"/>
      <c r="T71" s="121"/>
      <c r="U71" s="121"/>
      <c r="V71" s="121"/>
      <c r="W71" s="121"/>
      <c r="X71" s="121"/>
      <c r="Y71" s="121"/>
      <c r="Z71" s="121"/>
      <c r="AA71" s="121"/>
      <c r="AB71" s="121"/>
      <c r="AC71" s="121"/>
      <c r="AD71" s="121"/>
      <c r="AE71" s="121"/>
      <c r="AF71" s="121"/>
      <c r="AG71" s="121"/>
      <c r="AH71" s="121"/>
      <c r="AI71" s="121"/>
      <c r="AJ71" s="121"/>
      <c r="AK71" s="121"/>
      <c r="AL71" s="121"/>
      <c r="AM71" s="121"/>
      <c r="AN71" s="121"/>
      <c r="AO71" s="121"/>
      <c r="AP71" s="121"/>
      <c r="AQ71" s="121"/>
      <c r="AR71" s="121"/>
      <c r="AS71" s="121"/>
      <c r="AT71" s="121"/>
      <c r="AU71" s="121"/>
      <c r="AV71" s="121"/>
      <c r="AW71" s="121"/>
      <c r="AX71" s="121"/>
      <c r="AY71" s="121"/>
      <c r="AZ71" s="121"/>
      <c r="BA71" s="121"/>
      <c r="BB71" s="121"/>
      <c r="BC71" s="121"/>
      <c r="BD71" s="121"/>
      <c r="BE71" s="121"/>
      <c r="BF71" s="121"/>
      <c r="BG71" s="121"/>
    </row>
    <row r="72" spans="1:59" x14ac:dyDescent="0.25">
      <c r="A72" s="121"/>
      <c r="B72" s="121"/>
      <c r="C72" s="121"/>
      <c r="D72" s="121"/>
      <c r="E72" s="121"/>
      <c r="H72" s="121"/>
      <c r="I72" s="121"/>
      <c r="J72" s="121"/>
      <c r="K72" s="121"/>
      <c r="L72" s="121"/>
      <c r="M72" s="121"/>
      <c r="N72" s="121"/>
      <c r="O72" s="121"/>
      <c r="P72" s="121"/>
      <c r="Q72" s="121"/>
      <c r="R72" s="121"/>
      <c r="S72" s="121"/>
      <c r="T72" s="121"/>
      <c r="U72" s="121"/>
      <c r="V72" s="121"/>
      <c r="W72" s="121"/>
      <c r="X72" s="121"/>
      <c r="Y72" s="121"/>
      <c r="Z72" s="121"/>
      <c r="AA72" s="121"/>
      <c r="AB72" s="121"/>
      <c r="AC72" s="121"/>
      <c r="AD72" s="121"/>
      <c r="AE72" s="121"/>
      <c r="AF72" s="121"/>
      <c r="AG72" s="121"/>
      <c r="AH72" s="121"/>
      <c r="AI72" s="121"/>
      <c r="AJ72" s="121"/>
      <c r="AK72" s="121"/>
      <c r="AL72" s="121"/>
      <c r="AM72" s="121"/>
      <c r="AN72" s="121"/>
      <c r="AO72" s="121"/>
      <c r="AP72" s="121"/>
      <c r="AQ72" s="121"/>
      <c r="AR72" s="121"/>
      <c r="AS72" s="121"/>
      <c r="AT72" s="121"/>
      <c r="AU72" s="121"/>
      <c r="AV72" s="121"/>
      <c r="AW72" s="121"/>
      <c r="AX72" s="121"/>
      <c r="AY72" s="121"/>
      <c r="AZ72" s="121"/>
      <c r="BA72" s="121"/>
      <c r="BB72" s="121"/>
      <c r="BC72" s="121"/>
      <c r="BD72" s="121"/>
      <c r="BE72" s="121"/>
      <c r="BF72" s="121"/>
      <c r="BG72" s="121"/>
    </row>
    <row r="73" spans="1:59" x14ac:dyDescent="0.25">
      <c r="A73" s="121"/>
      <c r="B73" s="121"/>
      <c r="C73" s="121"/>
      <c r="D73" s="121"/>
      <c r="E73" s="121"/>
      <c r="H73" s="121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1"/>
      <c r="V73" s="121"/>
      <c r="W73" s="121"/>
      <c r="X73" s="121"/>
      <c r="Y73" s="121"/>
      <c r="Z73" s="121"/>
      <c r="AA73" s="121"/>
      <c r="AB73" s="121"/>
      <c r="AC73" s="121"/>
      <c r="AD73" s="121"/>
      <c r="AE73" s="121"/>
      <c r="AF73" s="121"/>
      <c r="AG73" s="121"/>
      <c r="AH73" s="121"/>
      <c r="AI73" s="121"/>
      <c r="AJ73" s="121"/>
      <c r="AK73" s="121"/>
      <c r="AL73" s="121"/>
      <c r="AM73" s="121"/>
      <c r="AN73" s="121"/>
      <c r="AO73" s="121"/>
      <c r="AP73" s="121"/>
      <c r="AQ73" s="121"/>
      <c r="AR73" s="121"/>
      <c r="AS73" s="121"/>
      <c r="AT73" s="121"/>
      <c r="AU73" s="121"/>
      <c r="AV73" s="121"/>
      <c r="AW73" s="121"/>
      <c r="AX73" s="121"/>
      <c r="AY73" s="121"/>
      <c r="AZ73" s="121"/>
      <c r="BA73" s="121"/>
      <c r="BB73" s="121"/>
      <c r="BC73" s="121"/>
      <c r="BD73" s="121"/>
      <c r="BE73" s="121"/>
      <c r="BF73" s="121"/>
      <c r="BG73" s="121"/>
    </row>
    <row r="74" spans="1:59" x14ac:dyDescent="0.25">
      <c r="A74" s="121"/>
      <c r="B74" s="121"/>
      <c r="C74" s="121"/>
      <c r="D74" s="121"/>
      <c r="E74" s="121"/>
      <c r="H74" s="121"/>
      <c r="I74" s="121"/>
      <c r="J74" s="121"/>
      <c r="K74" s="121"/>
      <c r="L74" s="121"/>
      <c r="M74" s="121"/>
      <c r="N74" s="121"/>
      <c r="O74" s="121"/>
      <c r="P74" s="121"/>
      <c r="Q74" s="121"/>
      <c r="R74" s="121"/>
      <c r="S74" s="121"/>
      <c r="T74" s="121"/>
      <c r="U74" s="121"/>
      <c r="V74" s="121"/>
      <c r="W74" s="121"/>
      <c r="X74" s="121"/>
      <c r="Y74" s="121"/>
      <c r="Z74" s="121"/>
      <c r="AA74" s="121"/>
      <c r="AB74" s="121"/>
      <c r="AC74" s="121"/>
      <c r="AD74" s="121"/>
      <c r="AE74" s="121"/>
      <c r="AF74" s="121"/>
      <c r="AG74" s="121"/>
      <c r="AH74" s="121"/>
      <c r="AI74" s="121"/>
      <c r="AJ74" s="121"/>
      <c r="AK74" s="121"/>
      <c r="AL74" s="121"/>
      <c r="AM74" s="121"/>
      <c r="AN74" s="121"/>
      <c r="AO74" s="121"/>
      <c r="AP74" s="121"/>
      <c r="AQ74" s="121"/>
      <c r="AR74" s="121"/>
      <c r="AS74" s="121"/>
      <c r="AT74" s="121"/>
      <c r="AU74" s="121"/>
      <c r="AV74" s="121"/>
      <c r="AW74" s="121"/>
      <c r="AX74" s="121"/>
      <c r="AY74" s="121"/>
      <c r="AZ74" s="121"/>
      <c r="BA74" s="121"/>
      <c r="BB74" s="121"/>
      <c r="BC74" s="121"/>
      <c r="BD74" s="121"/>
      <c r="BE74" s="121"/>
      <c r="BF74" s="121"/>
      <c r="BG74" s="121"/>
    </row>
    <row r="75" spans="1:59" x14ac:dyDescent="0.25">
      <c r="A75" s="121"/>
      <c r="B75" s="121"/>
      <c r="C75" s="121"/>
      <c r="D75" s="121"/>
      <c r="E75" s="121"/>
      <c r="H75" s="121"/>
      <c r="I75" s="121"/>
      <c r="J75" s="121"/>
      <c r="K75" s="121"/>
      <c r="L75" s="121"/>
      <c r="M75" s="121"/>
      <c r="N75" s="121"/>
      <c r="O75" s="121"/>
      <c r="P75" s="121"/>
      <c r="Q75" s="121"/>
      <c r="R75" s="121"/>
      <c r="S75" s="121"/>
      <c r="T75" s="121"/>
      <c r="U75" s="121"/>
      <c r="V75" s="121"/>
      <c r="W75" s="121"/>
      <c r="X75" s="121"/>
      <c r="Y75" s="121"/>
      <c r="Z75" s="121"/>
      <c r="AA75" s="121"/>
      <c r="AB75" s="121"/>
      <c r="AC75" s="121"/>
      <c r="AD75" s="121"/>
      <c r="AE75" s="121"/>
      <c r="AF75" s="121"/>
      <c r="AG75" s="121"/>
      <c r="AH75" s="121"/>
      <c r="AI75" s="121"/>
      <c r="AJ75" s="121"/>
      <c r="AK75" s="121"/>
      <c r="AL75" s="121"/>
      <c r="AM75" s="121"/>
      <c r="AN75" s="121"/>
      <c r="AO75" s="121"/>
      <c r="AP75" s="121"/>
      <c r="AQ75" s="121"/>
      <c r="AR75" s="121"/>
      <c r="AS75" s="121"/>
      <c r="AT75" s="121"/>
      <c r="AU75" s="121"/>
      <c r="AV75" s="121"/>
      <c r="AW75" s="121"/>
      <c r="AX75" s="121"/>
      <c r="AY75" s="121"/>
      <c r="AZ75" s="121"/>
      <c r="BA75" s="121"/>
      <c r="BB75" s="121"/>
      <c r="BC75" s="121"/>
      <c r="BD75" s="121"/>
      <c r="BE75" s="121"/>
      <c r="BF75" s="121"/>
      <c r="BG75" s="121"/>
    </row>
    <row r="76" spans="1:59" x14ac:dyDescent="0.25">
      <c r="A76" s="121"/>
      <c r="B76" s="121"/>
      <c r="C76" s="121"/>
      <c r="D76" s="121"/>
      <c r="E76" s="121"/>
      <c r="H76" s="121"/>
      <c r="I76" s="121"/>
      <c r="J76" s="121"/>
      <c r="K76" s="121"/>
      <c r="L76" s="121"/>
      <c r="M76" s="121"/>
      <c r="N76" s="121"/>
      <c r="O76" s="121"/>
      <c r="P76" s="121"/>
      <c r="Q76" s="121"/>
      <c r="R76" s="121"/>
      <c r="S76" s="121"/>
      <c r="T76" s="121"/>
      <c r="U76" s="121"/>
      <c r="V76" s="121"/>
      <c r="W76" s="121"/>
      <c r="X76" s="121"/>
      <c r="Y76" s="121"/>
      <c r="Z76" s="121"/>
      <c r="AA76" s="121"/>
      <c r="AB76" s="121"/>
      <c r="AC76" s="121"/>
      <c r="AD76" s="121"/>
      <c r="AE76" s="121"/>
      <c r="AF76" s="121"/>
      <c r="AG76" s="121"/>
      <c r="AH76" s="121"/>
      <c r="AI76" s="121"/>
      <c r="AJ76" s="121"/>
      <c r="AK76" s="121"/>
      <c r="AL76" s="121"/>
      <c r="AM76" s="121"/>
      <c r="AN76" s="121"/>
      <c r="AO76" s="121"/>
      <c r="AP76" s="121"/>
      <c r="AQ76" s="121"/>
      <c r="AR76" s="121"/>
      <c r="AS76" s="121"/>
      <c r="AT76" s="121"/>
      <c r="AU76" s="121"/>
      <c r="AV76" s="121"/>
      <c r="AW76" s="121"/>
      <c r="AX76" s="121"/>
      <c r="AY76" s="121"/>
      <c r="AZ76" s="121"/>
      <c r="BA76" s="121"/>
      <c r="BB76" s="121"/>
      <c r="BC76" s="121"/>
      <c r="BD76" s="121"/>
      <c r="BE76" s="121"/>
      <c r="BF76" s="121"/>
      <c r="BG76" s="121"/>
    </row>
    <row r="77" spans="1:59" x14ac:dyDescent="0.25">
      <c r="A77" s="121"/>
      <c r="B77" s="121"/>
      <c r="C77" s="121"/>
      <c r="D77" s="121"/>
      <c r="E77" s="121"/>
      <c r="H77" s="121"/>
      <c r="I77" s="121"/>
      <c r="J77" s="121"/>
      <c r="K77" s="121"/>
      <c r="L77" s="121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1"/>
      <c r="AA77" s="121"/>
      <c r="AB77" s="121"/>
      <c r="AC77" s="121"/>
      <c r="AD77" s="121"/>
      <c r="AE77" s="121"/>
      <c r="AF77" s="121"/>
      <c r="AG77" s="121"/>
      <c r="AH77" s="121"/>
      <c r="AI77" s="121"/>
      <c r="AJ77" s="121"/>
      <c r="AK77" s="121"/>
      <c r="AL77" s="121"/>
      <c r="AM77" s="121"/>
      <c r="AN77" s="121"/>
      <c r="AO77" s="121"/>
      <c r="AP77" s="121"/>
      <c r="AQ77" s="121"/>
      <c r="AR77" s="121"/>
      <c r="AS77" s="121"/>
      <c r="AT77" s="121"/>
      <c r="AU77" s="121"/>
      <c r="AV77" s="121"/>
      <c r="AW77" s="121"/>
      <c r="AX77" s="121"/>
      <c r="AY77" s="121"/>
      <c r="AZ77" s="121"/>
      <c r="BA77" s="121"/>
      <c r="BB77" s="121"/>
      <c r="BC77" s="121"/>
      <c r="BD77" s="121"/>
      <c r="BE77" s="121"/>
      <c r="BF77" s="121"/>
      <c r="BG77" s="121"/>
    </row>
    <row r="78" spans="1:59" x14ac:dyDescent="0.25">
      <c r="B78" s="121"/>
      <c r="C78" s="121"/>
      <c r="D78" s="121"/>
      <c r="E78" s="121"/>
      <c r="H78" s="121"/>
      <c r="I78" s="121"/>
      <c r="J78" s="121"/>
      <c r="K78" s="121"/>
      <c r="L78" s="121"/>
      <c r="M78" s="121"/>
      <c r="N78" s="121"/>
      <c r="O78" s="121"/>
      <c r="P78" s="121"/>
      <c r="Q78" s="121"/>
      <c r="R78" s="121"/>
      <c r="S78" s="121"/>
      <c r="T78" s="121"/>
      <c r="U78" s="121"/>
      <c r="V78" s="121"/>
      <c r="W78" s="121"/>
      <c r="X78" s="121"/>
      <c r="Y78" s="121"/>
      <c r="Z78" s="121"/>
      <c r="AA78" s="121"/>
      <c r="AB78" s="121"/>
      <c r="AC78" s="121"/>
      <c r="AD78" s="121"/>
      <c r="AE78" s="121"/>
      <c r="AF78" s="121"/>
      <c r="AG78" s="121"/>
      <c r="AH78" s="121"/>
      <c r="AI78" s="121"/>
      <c r="AJ78" s="121"/>
      <c r="AK78" s="121"/>
      <c r="AL78" s="121"/>
      <c r="AM78" s="121"/>
      <c r="AN78" s="121"/>
      <c r="AO78" s="121"/>
      <c r="AP78" s="121"/>
      <c r="AQ78" s="121"/>
      <c r="AR78" s="121"/>
      <c r="AS78" s="121"/>
      <c r="AT78" s="121"/>
      <c r="AU78" s="121"/>
      <c r="AV78" s="121"/>
      <c r="AW78" s="121"/>
      <c r="AX78" s="121"/>
      <c r="AY78" s="121"/>
      <c r="AZ78" s="121"/>
      <c r="BA78" s="121"/>
      <c r="BB78" s="121"/>
      <c r="BC78" s="121"/>
      <c r="BD78" s="121"/>
      <c r="BE78" s="121"/>
      <c r="BF78" s="121"/>
      <c r="BG78" s="121"/>
    </row>
    <row r="79" spans="1:59" x14ac:dyDescent="0.25">
      <c r="B79" s="121"/>
      <c r="C79" s="121"/>
      <c r="D79" s="121"/>
      <c r="E79" s="121"/>
      <c r="H79" s="121"/>
      <c r="I79" s="121"/>
      <c r="J79" s="121"/>
      <c r="K79" s="121"/>
      <c r="L79" s="121"/>
      <c r="M79" s="121"/>
      <c r="N79" s="121"/>
      <c r="O79" s="121"/>
      <c r="P79" s="121"/>
      <c r="Q79" s="121"/>
      <c r="R79" s="121"/>
      <c r="S79" s="121"/>
      <c r="T79" s="121"/>
      <c r="U79" s="121"/>
      <c r="V79" s="121"/>
      <c r="W79" s="121"/>
      <c r="X79" s="121"/>
      <c r="Y79" s="121"/>
      <c r="Z79" s="121"/>
      <c r="AA79" s="121"/>
      <c r="AB79" s="121"/>
      <c r="AC79" s="121"/>
      <c r="AD79" s="121"/>
      <c r="AE79" s="121"/>
      <c r="AF79" s="121"/>
      <c r="AG79" s="121"/>
      <c r="AH79" s="121"/>
      <c r="AI79" s="121"/>
      <c r="AJ79" s="121"/>
      <c r="AK79" s="121"/>
      <c r="AL79" s="121"/>
      <c r="AM79" s="121"/>
      <c r="AN79" s="121"/>
      <c r="AO79" s="121"/>
      <c r="AP79" s="121"/>
      <c r="AQ79" s="121"/>
      <c r="AR79" s="121"/>
      <c r="AS79" s="121"/>
      <c r="AT79" s="121"/>
      <c r="AU79" s="121"/>
      <c r="AV79" s="121"/>
      <c r="AW79" s="121"/>
      <c r="AX79" s="121"/>
      <c r="AY79" s="121"/>
      <c r="AZ79" s="121"/>
      <c r="BA79" s="121"/>
      <c r="BB79" s="121"/>
      <c r="BC79" s="121"/>
      <c r="BD79" s="121"/>
      <c r="BE79" s="121"/>
      <c r="BF79" s="121"/>
      <c r="BG79" s="121"/>
    </row>
    <row r="80" spans="1:59" x14ac:dyDescent="0.25">
      <c r="B80" s="121"/>
      <c r="C80" s="121"/>
      <c r="D80" s="121"/>
      <c r="E80" s="121"/>
      <c r="H80" s="121"/>
      <c r="I80" s="121"/>
      <c r="J80" s="121"/>
      <c r="K80" s="121"/>
      <c r="L80" s="121"/>
      <c r="M80" s="121"/>
      <c r="N80" s="121"/>
      <c r="O80" s="121"/>
      <c r="P80" s="121"/>
      <c r="Q80" s="121"/>
      <c r="R80" s="121"/>
      <c r="S80" s="121"/>
      <c r="T80" s="121"/>
      <c r="U80" s="121"/>
      <c r="V80" s="121"/>
      <c r="W80" s="121"/>
      <c r="X80" s="121"/>
      <c r="Y80" s="121"/>
      <c r="Z80" s="121"/>
      <c r="AA80" s="121"/>
      <c r="AB80" s="121"/>
      <c r="AC80" s="121"/>
      <c r="AD80" s="121"/>
      <c r="AE80" s="121"/>
      <c r="AF80" s="121"/>
      <c r="AG80" s="121"/>
      <c r="AH80" s="121"/>
      <c r="AI80" s="121"/>
      <c r="AJ80" s="121"/>
      <c r="AK80" s="121"/>
      <c r="AL80" s="121"/>
      <c r="AM80" s="121"/>
      <c r="AN80" s="121"/>
      <c r="AO80" s="121"/>
      <c r="AP80" s="121"/>
      <c r="AQ80" s="121"/>
      <c r="AR80" s="121"/>
      <c r="AS80" s="121"/>
      <c r="AT80" s="121"/>
      <c r="AU80" s="121"/>
      <c r="AV80" s="121"/>
      <c r="AW80" s="121"/>
      <c r="AX80" s="121"/>
      <c r="AY80" s="121"/>
      <c r="AZ80" s="121"/>
      <c r="BA80" s="121"/>
      <c r="BB80" s="121"/>
      <c r="BC80" s="121"/>
      <c r="BD80" s="121"/>
      <c r="BE80" s="121"/>
      <c r="BF80" s="121"/>
      <c r="BG80" s="121"/>
    </row>
    <row r="81" spans="2:59" x14ac:dyDescent="0.25">
      <c r="B81" s="121"/>
      <c r="C81" s="121"/>
      <c r="D81" s="121"/>
      <c r="E81" s="121"/>
      <c r="H81" s="121"/>
      <c r="I81" s="121"/>
      <c r="J81" s="121"/>
      <c r="K81" s="121"/>
      <c r="L81" s="121"/>
      <c r="M81" s="121"/>
      <c r="N81" s="121"/>
      <c r="O81" s="121"/>
      <c r="P81" s="121"/>
      <c r="Q81" s="121"/>
      <c r="R81" s="121"/>
      <c r="S81" s="121"/>
      <c r="T81" s="121"/>
      <c r="U81" s="121"/>
      <c r="V81" s="121"/>
      <c r="W81" s="121"/>
      <c r="X81" s="121"/>
      <c r="Y81" s="121"/>
      <c r="Z81" s="121"/>
      <c r="AA81" s="121"/>
      <c r="AB81" s="121"/>
      <c r="AC81" s="121"/>
      <c r="AD81" s="121"/>
      <c r="AE81" s="121"/>
      <c r="AF81" s="121"/>
      <c r="AG81" s="121"/>
      <c r="AH81" s="121"/>
      <c r="AI81" s="121"/>
      <c r="AJ81" s="121"/>
      <c r="AK81" s="121"/>
      <c r="AL81" s="121"/>
      <c r="AM81" s="121"/>
      <c r="AN81" s="121"/>
      <c r="AO81" s="121"/>
      <c r="AP81" s="121"/>
      <c r="AQ81" s="121"/>
      <c r="AR81" s="121"/>
      <c r="AS81" s="121"/>
      <c r="AT81" s="121"/>
      <c r="AU81" s="121"/>
      <c r="AV81" s="121"/>
      <c r="AW81" s="121"/>
      <c r="AX81" s="121"/>
      <c r="AY81" s="121"/>
      <c r="AZ81" s="121"/>
      <c r="BA81" s="121"/>
      <c r="BB81" s="121"/>
      <c r="BC81" s="121"/>
      <c r="BD81" s="121"/>
      <c r="BE81" s="121"/>
      <c r="BF81" s="121"/>
      <c r="BG81" s="121"/>
    </row>
    <row r="82" spans="2:59" x14ac:dyDescent="0.25">
      <c r="B82" s="121"/>
      <c r="C82" s="121"/>
      <c r="D82" s="121"/>
      <c r="E82" s="121"/>
      <c r="H82" s="121"/>
      <c r="I82" s="121"/>
      <c r="J82" s="121"/>
      <c r="K82" s="121"/>
      <c r="L82" s="121"/>
      <c r="M82" s="121"/>
      <c r="N82" s="121"/>
      <c r="O82" s="121"/>
      <c r="P82" s="121"/>
      <c r="Q82" s="121"/>
      <c r="R82" s="121"/>
      <c r="S82" s="121"/>
      <c r="T82" s="121"/>
      <c r="U82" s="121"/>
      <c r="V82" s="121"/>
      <c r="W82" s="121"/>
      <c r="X82" s="121"/>
      <c r="Y82" s="121"/>
      <c r="Z82" s="121"/>
      <c r="AA82" s="121"/>
      <c r="AB82" s="121"/>
      <c r="AC82" s="121"/>
      <c r="AD82" s="121"/>
      <c r="AE82" s="121"/>
      <c r="AF82" s="121"/>
      <c r="AG82" s="121"/>
      <c r="AH82" s="121"/>
      <c r="AI82" s="121"/>
      <c r="AJ82" s="121"/>
      <c r="AK82" s="121"/>
      <c r="AL82" s="121"/>
      <c r="AM82" s="121"/>
      <c r="AN82" s="121"/>
      <c r="AO82" s="121"/>
      <c r="AP82" s="121"/>
      <c r="AQ82" s="121"/>
      <c r="AR82" s="121"/>
      <c r="AS82" s="121"/>
      <c r="AT82" s="121"/>
      <c r="AU82" s="121"/>
      <c r="AV82" s="121"/>
      <c r="AW82" s="121"/>
      <c r="AX82" s="121"/>
      <c r="AY82" s="121"/>
      <c r="AZ82" s="121"/>
      <c r="BA82" s="121"/>
      <c r="BB82" s="121"/>
      <c r="BC82" s="121"/>
      <c r="BD82" s="121"/>
      <c r="BE82" s="121"/>
      <c r="BF82" s="121"/>
      <c r="BG82" s="121"/>
    </row>
    <row r="83" spans="2:59" x14ac:dyDescent="0.25">
      <c r="B83" s="121"/>
      <c r="C83" s="121"/>
      <c r="D83" s="121"/>
      <c r="E83" s="121"/>
      <c r="H83" s="121"/>
      <c r="I83" s="121"/>
      <c r="J83" s="121"/>
      <c r="K83" s="121"/>
      <c r="L83" s="121"/>
      <c r="M83" s="121"/>
      <c r="N83" s="121"/>
      <c r="O83" s="121"/>
      <c r="P83" s="121"/>
      <c r="Q83" s="121"/>
      <c r="R83" s="121"/>
      <c r="S83" s="121"/>
      <c r="T83" s="121"/>
      <c r="U83" s="121"/>
      <c r="V83" s="121"/>
      <c r="W83" s="121"/>
      <c r="X83" s="121"/>
      <c r="Y83" s="121"/>
      <c r="Z83" s="121"/>
      <c r="AA83" s="121"/>
      <c r="AB83" s="121"/>
      <c r="AC83" s="121"/>
      <c r="AD83" s="121"/>
      <c r="AE83" s="121"/>
      <c r="AF83" s="121"/>
      <c r="AG83" s="121"/>
      <c r="AH83" s="121"/>
      <c r="AI83" s="121"/>
      <c r="AJ83" s="121"/>
      <c r="AK83" s="121"/>
      <c r="AL83" s="121"/>
      <c r="AM83" s="121"/>
      <c r="AN83" s="121"/>
      <c r="AO83" s="121"/>
      <c r="AP83" s="121"/>
      <c r="AQ83" s="121"/>
      <c r="AR83" s="121"/>
      <c r="AS83" s="121"/>
      <c r="AT83" s="121"/>
      <c r="AU83" s="121"/>
      <c r="AV83" s="121"/>
      <c r="AW83" s="121"/>
      <c r="AX83" s="121"/>
      <c r="AY83" s="121"/>
      <c r="AZ83" s="121"/>
      <c r="BA83" s="121"/>
      <c r="BB83" s="121"/>
      <c r="BC83" s="121"/>
      <c r="BD83" s="121"/>
      <c r="BE83" s="121"/>
      <c r="BF83" s="121"/>
      <c r="BG83" s="121"/>
    </row>
    <row r="84" spans="2:59" x14ac:dyDescent="0.25">
      <c r="B84" s="121"/>
      <c r="C84" s="121"/>
      <c r="D84" s="121"/>
      <c r="E84" s="121"/>
      <c r="H84" s="121"/>
      <c r="I84" s="121"/>
      <c r="J84" s="121"/>
      <c r="K84" s="121"/>
      <c r="L84" s="121"/>
      <c r="M84" s="121"/>
      <c r="N84" s="121"/>
      <c r="O84" s="121"/>
      <c r="P84" s="121"/>
      <c r="Q84" s="121"/>
      <c r="R84" s="121"/>
      <c r="S84" s="121"/>
      <c r="T84" s="121"/>
      <c r="U84" s="121"/>
      <c r="V84" s="121"/>
      <c r="W84" s="121"/>
      <c r="X84" s="121"/>
      <c r="Y84" s="121"/>
      <c r="Z84" s="121"/>
      <c r="AA84" s="121"/>
      <c r="AB84" s="121"/>
      <c r="AC84" s="121"/>
      <c r="AD84" s="121"/>
      <c r="AE84" s="121"/>
      <c r="AF84" s="121"/>
      <c r="AG84" s="121"/>
      <c r="AH84" s="121"/>
      <c r="AI84" s="121"/>
      <c r="AJ84" s="121"/>
      <c r="AK84" s="121"/>
      <c r="AL84" s="121"/>
      <c r="AM84" s="121"/>
      <c r="AN84" s="121"/>
      <c r="AO84" s="121"/>
      <c r="AP84" s="121"/>
      <c r="AQ84" s="121"/>
      <c r="AR84" s="121"/>
      <c r="AS84" s="121"/>
      <c r="AT84" s="121"/>
      <c r="AU84" s="121"/>
      <c r="AV84" s="121"/>
      <c r="AW84" s="121"/>
      <c r="AX84" s="121"/>
      <c r="AY84" s="121"/>
      <c r="AZ84" s="121"/>
      <c r="BA84" s="121"/>
      <c r="BB84" s="121"/>
      <c r="BC84" s="121"/>
      <c r="BD84" s="121"/>
      <c r="BE84" s="121"/>
      <c r="BF84" s="121"/>
      <c r="BG84" s="121"/>
    </row>
    <row r="85" spans="2:59" x14ac:dyDescent="0.25">
      <c r="B85" s="121"/>
      <c r="C85" s="121"/>
      <c r="D85" s="121"/>
      <c r="E85" s="121"/>
      <c r="H85" s="121"/>
      <c r="I85" s="121"/>
      <c r="J85" s="121"/>
      <c r="K85" s="121"/>
      <c r="L85" s="121"/>
      <c r="M85" s="121"/>
      <c r="N85" s="121"/>
      <c r="O85" s="121"/>
      <c r="P85" s="121"/>
      <c r="Q85" s="121"/>
      <c r="R85" s="121"/>
      <c r="S85" s="121"/>
      <c r="T85" s="121"/>
      <c r="U85" s="121"/>
      <c r="V85" s="121"/>
      <c r="W85" s="121"/>
      <c r="X85" s="121"/>
      <c r="Y85" s="121"/>
      <c r="Z85" s="121"/>
      <c r="AA85" s="121"/>
      <c r="AB85" s="121"/>
      <c r="AC85" s="121"/>
      <c r="AD85" s="121"/>
      <c r="AE85" s="121"/>
      <c r="AF85" s="121"/>
      <c r="AG85" s="121"/>
      <c r="AH85" s="121"/>
      <c r="AI85" s="121"/>
      <c r="AJ85" s="121"/>
      <c r="AK85" s="121"/>
      <c r="AL85" s="121"/>
      <c r="AM85" s="121"/>
      <c r="AN85" s="121"/>
      <c r="AO85" s="121"/>
      <c r="AP85" s="121"/>
      <c r="AQ85" s="121"/>
      <c r="AR85" s="121"/>
      <c r="AS85" s="121"/>
      <c r="AT85" s="121"/>
      <c r="AU85" s="121"/>
      <c r="AV85" s="121"/>
      <c r="AW85" s="121"/>
      <c r="AX85" s="121"/>
      <c r="AY85" s="121"/>
      <c r="AZ85" s="121"/>
      <c r="BA85" s="121"/>
      <c r="BB85" s="121"/>
      <c r="BC85" s="121"/>
      <c r="BD85" s="121"/>
      <c r="BE85" s="121"/>
      <c r="BF85" s="121"/>
      <c r="BG85" s="121"/>
    </row>
    <row r="86" spans="2:59" x14ac:dyDescent="0.25">
      <c r="B86" s="121"/>
      <c r="C86" s="121"/>
      <c r="D86" s="121"/>
      <c r="E86" s="121"/>
      <c r="H86" s="121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 s="121"/>
      <c r="Y86" s="121"/>
      <c r="Z86" s="121"/>
      <c r="AA86" s="121"/>
      <c r="AB86" s="121"/>
      <c r="AC86" s="121"/>
      <c r="AD86" s="121"/>
      <c r="AE86" s="121"/>
      <c r="AF86" s="121"/>
      <c r="AG86" s="121"/>
      <c r="AH86" s="121"/>
      <c r="AI86" s="121"/>
      <c r="AJ86" s="121"/>
      <c r="AK86" s="121"/>
      <c r="AL86" s="121"/>
      <c r="AM86" s="121"/>
      <c r="AN86" s="121"/>
      <c r="AO86" s="121"/>
      <c r="AP86" s="121"/>
      <c r="AQ86" s="121"/>
      <c r="AR86" s="121"/>
      <c r="AS86" s="121"/>
      <c r="AT86" s="121"/>
      <c r="AU86" s="121"/>
      <c r="AV86" s="121"/>
      <c r="AW86" s="121"/>
      <c r="AX86" s="121"/>
      <c r="AY86" s="121"/>
      <c r="AZ86" s="121"/>
      <c r="BA86" s="121"/>
      <c r="BB86" s="121"/>
      <c r="BC86" s="121"/>
      <c r="BD86" s="121"/>
      <c r="BE86" s="121"/>
      <c r="BF86" s="121"/>
      <c r="BG86" s="121"/>
    </row>
    <row r="87" spans="2:59" x14ac:dyDescent="0.25">
      <c r="B87" s="121"/>
      <c r="C87" s="121"/>
      <c r="D87" s="121"/>
      <c r="E87" s="121"/>
      <c r="H87" s="121"/>
      <c r="I87" s="121"/>
      <c r="J87" s="121"/>
      <c r="K87" s="121"/>
      <c r="L87" s="121"/>
      <c r="M87" s="121"/>
      <c r="N87" s="121"/>
      <c r="O87" s="121"/>
      <c r="P87" s="121"/>
      <c r="Q87" s="121"/>
      <c r="R87" s="121"/>
      <c r="S87" s="121"/>
      <c r="T87" s="121"/>
      <c r="U87" s="121"/>
      <c r="V87" s="121"/>
      <c r="W87" s="121"/>
      <c r="X87" s="121"/>
      <c r="Y87" s="121"/>
      <c r="Z87" s="121"/>
      <c r="AA87" s="121"/>
      <c r="AB87" s="121"/>
      <c r="AC87" s="121"/>
      <c r="AD87" s="121"/>
      <c r="AE87" s="121"/>
      <c r="AF87" s="121"/>
      <c r="AG87" s="121"/>
      <c r="AH87" s="121"/>
      <c r="AI87" s="121"/>
      <c r="AJ87" s="121"/>
      <c r="AK87" s="121"/>
      <c r="AL87" s="121"/>
      <c r="AM87" s="121"/>
      <c r="AN87" s="121"/>
      <c r="AO87" s="121"/>
      <c r="AP87" s="121"/>
      <c r="AQ87" s="121"/>
      <c r="AR87" s="121"/>
      <c r="AS87" s="121"/>
      <c r="AT87" s="121"/>
      <c r="AU87" s="121"/>
      <c r="AV87" s="121"/>
      <c r="AW87" s="121"/>
      <c r="AX87" s="121"/>
      <c r="AY87" s="121"/>
      <c r="AZ87" s="121"/>
      <c r="BA87" s="121"/>
      <c r="BB87" s="121"/>
      <c r="BC87" s="121"/>
      <c r="BD87" s="121"/>
      <c r="BE87" s="121"/>
      <c r="BF87" s="121"/>
      <c r="BG87" s="121"/>
    </row>
    <row r="88" spans="2:59" x14ac:dyDescent="0.25">
      <c r="B88" s="121"/>
      <c r="C88" s="121"/>
      <c r="D88" s="121"/>
      <c r="E88" s="121"/>
      <c r="H88" s="121"/>
      <c r="I88" s="121"/>
      <c r="J88" s="121"/>
      <c r="K88" s="121"/>
      <c r="L88" s="121"/>
      <c r="M88" s="121"/>
      <c r="N88" s="121"/>
      <c r="O88" s="121"/>
      <c r="P88" s="121"/>
      <c r="Q88" s="121"/>
      <c r="R88" s="121"/>
      <c r="S88" s="121"/>
      <c r="T88" s="121"/>
      <c r="U88" s="121"/>
      <c r="V88" s="121"/>
      <c r="W88" s="121"/>
      <c r="X88" s="121"/>
      <c r="Y88" s="121"/>
      <c r="Z88" s="121"/>
      <c r="AA88" s="121"/>
      <c r="AB88" s="121"/>
      <c r="AC88" s="121"/>
      <c r="AD88" s="121"/>
      <c r="AE88" s="121"/>
      <c r="AF88" s="121"/>
      <c r="AG88" s="121"/>
      <c r="AH88" s="121"/>
      <c r="AI88" s="121"/>
      <c r="AJ88" s="121"/>
      <c r="AK88" s="121"/>
      <c r="AL88" s="121"/>
      <c r="AM88" s="121"/>
      <c r="AN88" s="121"/>
      <c r="AO88" s="121"/>
      <c r="AP88" s="121"/>
      <c r="AQ88" s="121"/>
      <c r="AR88" s="121"/>
      <c r="AS88" s="121"/>
      <c r="AT88" s="121"/>
      <c r="AU88" s="121"/>
      <c r="AV88" s="121"/>
      <c r="AW88" s="121"/>
      <c r="AX88" s="121"/>
      <c r="AY88" s="121"/>
      <c r="AZ88" s="121"/>
      <c r="BA88" s="121"/>
      <c r="BB88" s="121"/>
      <c r="BC88" s="121"/>
      <c r="BD88" s="121"/>
      <c r="BE88" s="121"/>
      <c r="BF88" s="121"/>
      <c r="BG88" s="121"/>
    </row>
    <row r="89" spans="2:59" x14ac:dyDescent="0.25">
      <c r="B89" s="121"/>
      <c r="C89" s="121"/>
      <c r="D89" s="121"/>
      <c r="E89" s="121"/>
      <c r="H89" s="121"/>
      <c r="I89" s="121"/>
      <c r="J89" s="121"/>
      <c r="K89" s="121"/>
      <c r="L89" s="121"/>
      <c r="M89" s="121"/>
      <c r="N89" s="121"/>
      <c r="O89" s="121"/>
      <c r="P89" s="121"/>
      <c r="Q89" s="121"/>
      <c r="R89" s="121"/>
      <c r="S89" s="121"/>
      <c r="T89" s="121"/>
      <c r="U89" s="121"/>
      <c r="V89" s="121"/>
      <c r="W89" s="121"/>
      <c r="X89" s="121"/>
      <c r="Y89" s="121"/>
      <c r="Z89" s="121"/>
      <c r="AA89" s="121"/>
      <c r="AB89" s="121"/>
      <c r="AC89" s="121"/>
      <c r="AD89" s="121"/>
      <c r="AE89" s="121"/>
      <c r="AF89" s="121"/>
      <c r="AG89" s="121"/>
      <c r="AH89" s="121"/>
      <c r="AI89" s="121"/>
      <c r="AJ89" s="121"/>
      <c r="AK89" s="121"/>
      <c r="AL89" s="121"/>
      <c r="AM89" s="121"/>
      <c r="AN89" s="121"/>
      <c r="AO89" s="121"/>
      <c r="AP89" s="121"/>
      <c r="AQ89" s="121"/>
      <c r="AR89" s="121"/>
      <c r="AS89" s="121"/>
      <c r="AT89" s="121"/>
      <c r="AU89" s="121"/>
      <c r="AV89" s="121"/>
      <c r="AW89" s="121"/>
      <c r="AX89" s="121"/>
      <c r="AY89" s="121"/>
      <c r="AZ89" s="121"/>
      <c r="BA89" s="121"/>
      <c r="BB89" s="121"/>
      <c r="BC89" s="121"/>
      <c r="BD89" s="121"/>
      <c r="BE89" s="121"/>
      <c r="BF89" s="121"/>
      <c r="BG89" s="121"/>
    </row>
    <row r="90" spans="2:59" x14ac:dyDescent="0.25">
      <c r="B90" s="121"/>
      <c r="C90" s="121"/>
      <c r="D90" s="121"/>
      <c r="E90" s="121"/>
      <c r="H90" s="121"/>
      <c r="I90" s="121"/>
      <c r="J90" s="121"/>
      <c r="K90" s="121"/>
      <c r="L90" s="121"/>
      <c r="M90" s="121"/>
      <c r="N90" s="121"/>
      <c r="O90" s="121"/>
      <c r="P90" s="121"/>
      <c r="Q90" s="121"/>
      <c r="R90" s="121"/>
      <c r="S90" s="121"/>
      <c r="T90" s="121"/>
      <c r="U90" s="121"/>
      <c r="V90" s="121"/>
      <c r="W90" s="121"/>
      <c r="X90" s="121"/>
      <c r="Y90" s="121"/>
      <c r="Z90" s="121"/>
      <c r="AA90" s="121"/>
      <c r="AB90" s="121"/>
      <c r="AC90" s="121"/>
      <c r="AD90" s="121"/>
      <c r="AE90" s="121"/>
      <c r="AF90" s="121"/>
      <c r="AG90" s="121"/>
      <c r="AH90" s="121"/>
      <c r="AI90" s="121"/>
      <c r="AJ90" s="121"/>
      <c r="AK90" s="121"/>
      <c r="AL90" s="121"/>
      <c r="AM90" s="121"/>
      <c r="AN90" s="121"/>
      <c r="AO90" s="121"/>
      <c r="AP90" s="121"/>
      <c r="AQ90" s="121"/>
      <c r="AR90" s="121"/>
      <c r="AS90" s="121"/>
      <c r="AT90" s="121"/>
      <c r="AU90" s="121"/>
      <c r="AV90" s="121"/>
      <c r="AW90" s="121"/>
      <c r="AX90" s="121"/>
      <c r="AY90" s="121"/>
      <c r="AZ90" s="121"/>
      <c r="BA90" s="121"/>
      <c r="BB90" s="121"/>
      <c r="BC90" s="121"/>
      <c r="BD90" s="121"/>
      <c r="BE90" s="121"/>
      <c r="BF90" s="121"/>
      <c r="BG90" s="121"/>
    </row>
    <row r="91" spans="2:59" x14ac:dyDescent="0.25">
      <c r="B91" s="121"/>
      <c r="C91" s="121"/>
      <c r="D91" s="121"/>
      <c r="E91" s="121"/>
      <c r="H91" s="121"/>
      <c r="I91" s="121"/>
      <c r="J91" s="121"/>
      <c r="K91" s="121"/>
      <c r="L91" s="121"/>
      <c r="M91" s="121"/>
      <c r="N91" s="121"/>
      <c r="O91" s="121"/>
      <c r="P91" s="121"/>
      <c r="Q91" s="121"/>
      <c r="R91" s="121"/>
      <c r="S91" s="121"/>
      <c r="T91" s="121"/>
      <c r="U91" s="121"/>
      <c r="V91" s="121"/>
      <c r="W91" s="121"/>
      <c r="X91" s="121"/>
      <c r="Y91" s="121"/>
      <c r="Z91" s="121"/>
      <c r="AA91" s="121"/>
      <c r="AB91" s="121"/>
      <c r="AC91" s="121"/>
      <c r="AD91" s="121"/>
      <c r="AE91" s="121"/>
      <c r="AF91" s="121"/>
      <c r="AG91" s="121"/>
      <c r="AH91" s="121"/>
      <c r="AI91" s="121"/>
      <c r="AJ91" s="121"/>
      <c r="AK91" s="121"/>
      <c r="AL91" s="121"/>
      <c r="AM91" s="121"/>
      <c r="AN91" s="121"/>
      <c r="AO91" s="121"/>
      <c r="AP91" s="121"/>
      <c r="AQ91" s="121"/>
      <c r="AR91" s="121"/>
      <c r="AS91" s="121"/>
      <c r="AT91" s="121"/>
      <c r="AU91" s="121"/>
      <c r="AV91" s="121"/>
      <c r="AW91" s="121"/>
      <c r="AX91" s="121"/>
      <c r="AY91" s="121"/>
      <c r="AZ91" s="121"/>
      <c r="BA91" s="121"/>
      <c r="BB91" s="121"/>
      <c r="BC91" s="121"/>
      <c r="BD91" s="121"/>
      <c r="BE91" s="121"/>
      <c r="BF91" s="121"/>
      <c r="BG91" s="121"/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92D050"/>
  </sheetPr>
  <dimension ref="A1:AO205"/>
  <sheetViews>
    <sheetView zoomScale="90" zoomScaleNormal="90" workbookViewId="0">
      <selection activeCell="J18" sqref="J18"/>
    </sheetView>
  </sheetViews>
  <sheetFormatPr baseColWidth="10" defaultRowHeight="15" x14ac:dyDescent="0.25"/>
  <cols>
    <col min="2" max="2" width="10.5703125" style="247" customWidth="1"/>
    <col min="3" max="3" width="19.85546875" bestFit="1" customWidth="1"/>
    <col min="4" max="13" width="16.140625" customWidth="1"/>
    <col min="14" max="16" width="11.5703125" bestFit="1" customWidth="1"/>
  </cols>
  <sheetData>
    <row r="1" spans="1:41" s="247" customFormat="1" ht="15.75" thickBot="1" x14ac:dyDescent="0.3">
      <c r="A1" s="121"/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  <c r="AD1" s="121"/>
      <c r="AE1" s="121"/>
      <c r="AF1" s="121"/>
      <c r="AG1" s="121"/>
      <c r="AH1" s="121"/>
      <c r="AI1" s="121"/>
      <c r="AJ1" s="121"/>
      <c r="AK1" s="121"/>
      <c r="AL1" s="121"/>
      <c r="AM1" s="121"/>
      <c r="AN1" s="121"/>
      <c r="AO1" s="121"/>
    </row>
    <row r="2" spans="1:41" ht="26.25" customHeight="1" thickBot="1" x14ac:dyDescent="0.3">
      <c r="A2" s="121"/>
      <c r="B2" s="121"/>
      <c r="C2" s="608" t="s">
        <v>74</v>
      </c>
      <c r="D2" s="608"/>
      <c r="E2" s="121"/>
      <c r="F2" s="121"/>
      <c r="G2" s="121"/>
      <c r="H2" s="121"/>
      <c r="I2" s="324"/>
      <c r="J2" s="121"/>
      <c r="K2" s="602" t="s">
        <v>869</v>
      </c>
      <c r="L2" s="603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  <c r="AK2" s="121"/>
      <c r="AL2" s="121"/>
      <c r="AM2" s="121"/>
      <c r="AN2" s="121"/>
      <c r="AO2" s="121"/>
    </row>
    <row r="3" spans="1:41" s="247" customFormat="1" ht="27" customHeight="1" thickBot="1" x14ac:dyDescent="0.3">
      <c r="A3" s="121"/>
      <c r="B3" s="121"/>
      <c r="C3" s="609"/>
      <c r="D3" s="609"/>
      <c r="E3" s="121"/>
      <c r="F3" s="121"/>
      <c r="G3" s="121"/>
      <c r="H3" s="121"/>
      <c r="I3" s="324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</row>
    <row r="4" spans="1:41" s="247" customFormat="1" ht="15.75" thickBot="1" x14ac:dyDescent="0.3">
      <c r="A4" s="121"/>
      <c r="B4" s="324" t="str">
        <f>LEFT(C4,5)</f>
        <v>P0035</v>
      </c>
      <c r="C4" s="614" t="s">
        <v>997</v>
      </c>
      <c r="D4" s="615"/>
      <c r="E4" s="615"/>
      <c r="F4" s="615"/>
      <c r="G4" s="615"/>
      <c r="H4" s="616"/>
      <c r="I4" s="121"/>
      <c r="J4" s="121"/>
      <c r="K4" s="600" t="s">
        <v>870</v>
      </c>
      <c r="L4" s="601"/>
      <c r="M4" s="121"/>
      <c r="N4" s="121"/>
      <c r="O4" s="121"/>
      <c r="P4" s="121"/>
      <c r="Q4" s="121"/>
      <c r="R4" s="121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1"/>
      <c r="AM4" s="121"/>
      <c r="AN4" s="121"/>
      <c r="AO4" s="121"/>
    </row>
    <row r="5" spans="1:41" s="247" customFormat="1" ht="15.75" thickBot="1" x14ac:dyDescent="0.3">
      <c r="A5" s="121"/>
      <c r="B5" s="121"/>
      <c r="C5" s="325"/>
      <c r="D5" s="325"/>
      <c r="E5" s="325"/>
      <c r="F5" s="325"/>
      <c r="G5" s="325"/>
      <c r="H5" s="325"/>
      <c r="I5" s="121"/>
      <c r="J5" s="121"/>
      <c r="K5" s="121"/>
      <c r="L5" s="121"/>
      <c r="M5" s="121"/>
      <c r="N5" s="121"/>
      <c r="O5" s="121"/>
      <c r="P5" s="121"/>
      <c r="Q5" s="121"/>
      <c r="R5" s="121"/>
      <c r="S5" s="121"/>
      <c r="T5" s="121"/>
      <c r="U5" s="121"/>
      <c r="V5" s="121"/>
      <c r="W5" s="121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  <c r="AI5" s="121"/>
      <c r="AJ5" s="121"/>
      <c r="AK5" s="121"/>
      <c r="AL5" s="121"/>
      <c r="AM5" s="121"/>
      <c r="AN5" s="121"/>
      <c r="AO5" s="121"/>
    </row>
    <row r="6" spans="1:41" s="247" customFormat="1" x14ac:dyDescent="0.25">
      <c r="A6" s="121"/>
      <c r="B6" s="121"/>
      <c r="C6" s="321" t="s">
        <v>529</v>
      </c>
      <c r="D6" s="620" t="str">
        <f>VLOOKUP(B4,MATRIZ_PROYECTOS,3,FALSE)</f>
        <v xml:space="preserve">PROTECTA </v>
      </c>
      <c r="E6" s="620"/>
      <c r="F6" s="620"/>
      <c r="G6" s="620"/>
      <c r="H6" s="620"/>
      <c r="I6" s="6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</row>
    <row r="7" spans="1:41" s="247" customFormat="1" x14ac:dyDescent="0.25">
      <c r="A7" s="121"/>
      <c r="B7" s="121"/>
      <c r="C7" s="322" t="s">
        <v>615</v>
      </c>
      <c r="D7" s="622" t="str">
        <f>VLOOKUP(B4,MATRIZ_PROYECTOS,4,FALSE)</f>
        <v>Normativo Reaseguros y RRC</v>
      </c>
      <c r="E7" s="622"/>
      <c r="F7" s="622"/>
      <c r="G7" s="622"/>
      <c r="H7" s="622"/>
      <c r="I7" s="623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</row>
    <row r="8" spans="1:41" s="247" customFormat="1" x14ac:dyDescent="0.25">
      <c r="A8" s="121"/>
      <c r="B8" s="121"/>
      <c r="C8" s="322" t="s">
        <v>567</v>
      </c>
      <c r="D8" s="622" t="str">
        <f>VLOOKUP(B4,MATRIZ_PROYECTOS,5,FALSE)</f>
        <v>Hugo Sotelo</v>
      </c>
      <c r="E8" s="622"/>
      <c r="F8" s="622"/>
      <c r="G8" s="622"/>
      <c r="H8" s="622"/>
      <c r="I8" s="623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/>
      <c r="Y8" s="121"/>
      <c r="Z8" s="121"/>
      <c r="AA8" s="121"/>
      <c r="AB8" s="121"/>
      <c r="AC8" s="121"/>
      <c r="AD8" s="121"/>
      <c r="AE8" s="121"/>
      <c r="AF8" s="121"/>
      <c r="AG8" s="121"/>
      <c r="AH8" s="121"/>
      <c r="AI8" s="121"/>
      <c r="AJ8" s="121"/>
      <c r="AK8" s="121"/>
      <c r="AL8" s="121"/>
      <c r="AM8" s="121"/>
      <c r="AN8" s="121"/>
      <c r="AO8" s="121"/>
    </row>
    <row r="9" spans="1:41" s="247" customFormat="1" x14ac:dyDescent="0.25">
      <c r="A9" s="121"/>
      <c r="B9" s="121"/>
      <c r="C9" s="336" t="s">
        <v>625</v>
      </c>
      <c r="D9" s="626" t="str">
        <f>VLOOKUP(B4,MATRIZ_PROYECTOS,2,FALSE)</f>
        <v>PROCESO</v>
      </c>
      <c r="E9" s="627"/>
      <c r="F9" s="627"/>
      <c r="G9" s="627"/>
      <c r="H9" s="627"/>
      <c r="I9" s="628"/>
      <c r="J9" s="121"/>
      <c r="K9" s="121"/>
      <c r="L9" s="121"/>
      <c r="M9" s="121"/>
      <c r="N9" s="121"/>
      <c r="O9" s="121"/>
      <c r="P9" s="121"/>
      <c r="Q9" s="121"/>
      <c r="R9" s="121"/>
      <c r="S9" s="121"/>
      <c r="T9" s="121"/>
      <c r="U9" s="121"/>
      <c r="V9" s="121"/>
      <c r="W9" s="121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21"/>
      <c r="AL9" s="121"/>
      <c r="AM9" s="121"/>
      <c r="AN9" s="121"/>
      <c r="AO9" s="121"/>
    </row>
    <row r="10" spans="1:41" s="247" customFormat="1" ht="15.75" thickBot="1" x14ac:dyDescent="0.3">
      <c r="A10" s="121"/>
      <c r="B10" s="131"/>
      <c r="C10" s="323" t="s">
        <v>188</v>
      </c>
      <c r="D10" s="604" t="str">
        <f>VLOOKUP(B4,MATRIZ_PROYECTOS,13,FALSE)</f>
        <v>Sin Observaciones</v>
      </c>
      <c r="E10" s="604"/>
      <c r="F10" s="604"/>
      <c r="G10" s="604"/>
      <c r="H10" s="604"/>
      <c r="I10" s="605"/>
      <c r="J10" s="131"/>
      <c r="K10" s="121"/>
      <c r="L10" s="121"/>
      <c r="M10" s="121"/>
      <c r="N10" s="121"/>
      <c r="O10" s="121"/>
      <c r="P10" s="121"/>
      <c r="Q10" s="121"/>
      <c r="R10" s="121"/>
      <c r="S10" s="121"/>
      <c r="T10" s="121"/>
      <c r="U10" s="121"/>
      <c r="V10" s="121"/>
      <c r="W10" s="121"/>
      <c r="X10" s="121"/>
      <c r="Y10" s="121"/>
      <c r="Z10" s="121"/>
      <c r="AA10" s="121"/>
      <c r="AB10" s="121"/>
      <c r="AC10" s="121"/>
      <c r="AD10" s="121"/>
      <c r="AE10" s="121"/>
      <c r="AF10" s="121"/>
      <c r="AG10" s="121"/>
      <c r="AH10" s="121"/>
      <c r="AI10" s="121"/>
      <c r="AJ10" s="121"/>
      <c r="AK10" s="121"/>
      <c r="AL10" s="121"/>
      <c r="AM10" s="121"/>
      <c r="AN10" s="121"/>
      <c r="AO10" s="121"/>
    </row>
    <row r="11" spans="1:41" s="121" customFormat="1" ht="16.5" customHeight="1" thickBot="1" x14ac:dyDescent="0.3">
      <c r="B11" s="131"/>
      <c r="C11" s="405" t="s">
        <v>919</v>
      </c>
      <c r="D11" s="586">
        <f>SUMIF(COD_PROY_ING,$B4,PEND_FACT)</f>
        <v>213577.4</v>
      </c>
      <c r="E11" s="404"/>
      <c r="F11" s="404"/>
      <c r="G11" s="404"/>
      <c r="H11" s="404"/>
      <c r="I11" s="404"/>
      <c r="J11" s="131"/>
    </row>
    <row r="12" spans="1:41" s="247" customFormat="1" x14ac:dyDescent="0.25">
      <c r="A12" s="121"/>
      <c r="B12" s="131"/>
      <c r="C12" s="316"/>
      <c r="D12" s="317"/>
      <c r="E12" s="317"/>
      <c r="F12" s="317"/>
      <c r="G12" s="317"/>
      <c r="H12" s="317"/>
      <c r="I12" s="317"/>
      <c r="J12" s="131"/>
      <c r="K12" s="121"/>
      <c r="L12" s="121"/>
      <c r="M12" s="121"/>
      <c r="N12" s="121"/>
      <c r="O12" s="121"/>
      <c r="P12" s="121"/>
      <c r="Q12" s="121"/>
      <c r="R12" s="121" t="s">
        <v>163</v>
      </c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</row>
    <row r="13" spans="1:41" s="247" customFormat="1" x14ac:dyDescent="0.25">
      <c r="A13" s="121"/>
      <c r="B13" s="121"/>
      <c r="C13" s="310"/>
      <c r="D13" s="311" t="s">
        <v>619</v>
      </c>
      <c r="E13" s="311" t="s">
        <v>620</v>
      </c>
      <c r="F13" s="325"/>
      <c r="G13" s="325"/>
      <c r="H13" s="325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1"/>
      <c r="AM13" s="121"/>
      <c r="AN13" s="121"/>
      <c r="AO13" s="121"/>
    </row>
    <row r="14" spans="1:41" s="247" customFormat="1" x14ac:dyDescent="0.25">
      <c r="A14" s="121"/>
      <c r="B14" s="121"/>
      <c r="C14" s="315" t="s">
        <v>618</v>
      </c>
      <c r="D14" s="384">
        <f>VLOOKUP(B4,MATRIZ_PROYECTOS,8,FALSE)</f>
        <v>42976</v>
      </c>
      <c r="E14" s="384">
        <f>VLOOKUP(B4,MATRIZ_PROYECTOS,9,FALSE)</f>
        <v>42979</v>
      </c>
      <c r="F14" s="325"/>
      <c r="G14" s="325"/>
      <c r="H14" s="325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1"/>
      <c r="AM14" s="121"/>
      <c r="AN14" s="121"/>
      <c r="AO14" s="121"/>
    </row>
    <row r="15" spans="1:41" s="247" customFormat="1" x14ac:dyDescent="0.25">
      <c r="A15" s="121"/>
      <c r="B15" s="121"/>
      <c r="C15" s="315" t="s">
        <v>621</v>
      </c>
      <c r="D15" s="385">
        <f>VLOOKUP(B4,MATRIZ_PROYECTOS,10,FALSE)</f>
        <v>43140</v>
      </c>
      <c r="E15" s="385" t="str">
        <f>VLOOKUP(B4,MATRIZ_PROYECTOS,11,FALSE)</f>
        <v>-</v>
      </c>
      <c r="F15" s="325"/>
      <c r="G15" s="325"/>
      <c r="H15" s="325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21"/>
      <c r="W15" s="121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1"/>
      <c r="AM15" s="121"/>
      <c r="AN15" s="121"/>
      <c r="AO15" s="121"/>
    </row>
    <row r="16" spans="1:41" s="247" customFormat="1" x14ac:dyDescent="0.25">
      <c r="A16" s="121"/>
      <c r="B16" s="121"/>
      <c r="C16" s="315" t="s">
        <v>616</v>
      </c>
      <c r="D16" s="382">
        <f>VLOOKUP(B4,MATRIZ_PROYECTOS,6,FALSE)</f>
        <v>304466</v>
      </c>
      <c r="E16" s="325"/>
      <c r="F16" s="325"/>
      <c r="G16" s="325"/>
      <c r="H16" s="325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</row>
    <row r="17" spans="1:41" s="247" customFormat="1" x14ac:dyDescent="0.25">
      <c r="A17" s="121"/>
      <c r="B17" s="121"/>
      <c r="C17" s="315" t="s">
        <v>617</v>
      </c>
      <c r="D17" s="382">
        <f>VLOOKUP(B4,MATRIZ_PROYECTOS,7,FALSE)</f>
        <v>91028</v>
      </c>
      <c r="E17" s="470"/>
      <c r="F17" s="325"/>
      <c r="G17" s="325"/>
      <c r="H17" s="325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  <c r="AN17" s="121"/>
      <c r="AO17" s="121"/>
    </row>
    <row r="18" spans="1:41" s="247" customFormat="1" x14ac:dyDescent="0.25">
      <c r="A18" s="121"/>
      <c r="B18" s="121"/>
      <c r="C18" s="315" t="s">
        <v>553</v>
      </c>
      <c r="D18" s="382">
        <f>D16-D17</f>
        <v>213438</v>
      </c>
      <c r="E18" s="325"/>
      <c r="F18" s="325"/>
      <c r="G18" s="325"/>
      <c r="H18" s="325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1"/>
      <c r="AM18" s="121"/>
      <c r="AN18" s="121"/>
      <c r="AO18" s="121"/>
    </row>
    <row r="19" spans="1:41" s="247" customFormat="1" x14ac:dyDescent="0.25">
      <c r="A19" s="121"/>
      <c r="B19" s="121"/>
      <c r="C19" s="311" t="s">
        <v>551</v>
      </c>
      <c r="D19" s="383">
        <f>IF(D16=0,0,D18/D16)</f>
        <v>0.70102408807551586</v>
      </c>
      <c r="E19" s="325"/>
      <c r="F19" s="325"/>
      <c r="G19" s="325"/>
      <c r="H19" s="325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O19" s="121"/>
    </row>
    <row r="20" spans="1:41" s="247" customFormat="1" ht="15.75" thickBot="1" x14ac:dyDescent="0.3">
      <c r="A20" s="121"/>
      <c r="B20" s="121"/>
      <c r="C20" s="325"/>
      <c r="D20" s="253"/>
      <c r="E20" s="253"/>
      <c r="F20" s="325"/>
      <c r="G20" s="325"/>
      <c r="H20" s="325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1"/>
      <c r="AM20" s="121"/>
      <c r="AN20" s="121"/>
      <c r="AO20" s="121"/>
    </row>
    <row r="21" spans="1:41" ht="15.75" thickBot="1" x14ac:dyDescent="0.3">
      <c r="A21" s="121"/>
      <c r="B21" s="121"/>
      <c r="C21" s="121"/>
      <c r="D21" s="375" t="s">
        <v>187</v>
      </c>
      <c r="E21" s="373" t="s">
        <v>516</v>
      </c>
      <c r="F21" s="246" t="s">
        <v>517</v>
      </c>
      <c r="G21" s="246" t="s">
        <v>518</v>
      </c>
      <c r="H21" s="246" t="s">
        <v>519</v>
      </c>
      <c r="I21" s="246" t="s">
        <v>520</v>
      </c>
      <c r="J21" s="246" t="s">
        <v>521</v>
      </c>
      <c r="K21" s="246" t="s">
        <v>522</v>
      </c>
      <c r="L21" s="246" t="s">
        <v>523</v>
      </c>
      <c r="M21" s="246" t="s">
        <v>524</v>
      </c>
      <c r="N21" s="246" t="s">
        <v>525</v>
      </c>
      <c r="O21" s="246" t="s">
        <v>526</v>
      </c>
      <c r="P21" s="246" t="s">
        <v>527</v>
      </c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</row>
    <row r="22" spans="1:41" x14ac:dyDescent="0.25">
      <c r="A22" s="121"/>
      <c r="B22" s="121"/>
      <c r="C22" s="378" t="s">
        <v>627</v>
      </c>
      <c r="D22" s="376">
        <f>SUM(E22:P22)</f>
        <v>90888.6</v>
      </c>
      <c r="E22" s="374">
        <f>SUMIF(COD_PROY_ING,B4,ING_17_ENE)</f>
        <v>0</v>
      </c>
      <c r="F22" s="366">
        <f>SUMIF(COD_PROY_ING,$B4,ING_17_FEB)</f>
        <v>0</v>
      </c>
      <c r="G22" s="366">
        <f>SUMIF(COD_PROY_ING,$B4,ING_17_MAR)</f>
        <v>0</v>
      </c>
      <c r="H22" s="366">
        <f>SUMIF(COD_PROY_ING,$B4,ING_17_ABR)</f>
        <v>0</v>
      </c>
      <c r="I22" s="366">
        <f>SUMIF(COD_PROY_ING,$B4,ING_17_MAY)</f>
        <v>0</v>
      </c>
      <c r="J22" s="366">
        <f>SUMIF(COD_PROY_ING,$B4,ING_17_JUN)</f>
        <v>0</v>
      </c>
      <c r="K22" s="366">
        <f>SUMIF(COD_PROY_ING,$B4,ING_17_JUL)</f>
        <v>0</v>
      </c>
      <c r="L22" s="366">
        <f>SUMIF(COD_PROY_ING,$B4,ING_17_AGO)</f>
        <v>0</v>
      </c>
      <c r="M22" s="366">
        <f>SUMIF(COD_PROY_ING,$B4,ING_17_SEP)</f>
        <v>90888.6</v>
      </c>
      <c r="N22" s="366">
        <f>SUMIF(COD_PROY_ING,$B4,ING_17_OCT)</f>
        <v>0</v>
      </c>
      <c r="O22" s="366">
        <f>SUMIF(COD_PROY_ING,$B4,ING_17_NOV)</f>
        <v>0</v>
      </c>
      <c r="P22" s="366">
        <f>SUMIF(COD_PROY_ING,$B4,ING_17_DIC)</f>
        <v>0</v>
      </c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</row>
    <row r="23" spans="1:41" x14ac:dyDescent="0.25">
      <c r="A23" s="121"/>
      <c r="B23" s="121"/>
      <c r="C23" s="379" t="s">
        <v>636</v>
      </c>
      <c r="D23" s="376">
        <f>SUM(E23:P23)</f>
        <v>6805.3497023809523</v>
      </c>
      <c r="E23" s="374">
        <f>SUMIF(COD_PROY,$B4,MO_17_ENE)</f>
        <v>0</v>
      </c>
      <c r="F23" s="366">
        <f>SUMIF(COD_PROY,$B4,MO_17_FEB)</f>
        <v>0</v>
      </c>
      <c r="G23" s="366">
        <f>SUMIF(COD_PROY,$B4,MO_17_MAR)</f>
        <v>0</v>
      </c>
      <c r="H23" s="366">
        <f>SUMIF(COD_PROY,$B4,MO_17_ABR)</f>
        <v>0</v>
      </c>
      <c r="I23" s="366">
        <f>SUMIF(COD_PROY,$B4,MO_17_MAY)</f>
        <v>0</v>
      </c>
      <c r="J23" s="366">
        <f>SUMIF(COD_PROY,$B4,MO_17_JUN)</f>
        <v>0</v>
      </c>
      <c r="K23" s="366">
        <f>SUMIF(COD_PROY,$B4,MO_17_JUL)</f>
        <v>0</v>
      </c>
      <c r="L23" s="366">
        <f>SUMIF(COD_PROY,$B4,MO_17_AGO)</f>
        <v>0</v>
      </c>
      <c r="M23" s="366">
        <f>SUMIF(COD_PROY,$B4,MO_17_SEP)</f>
        <v>6805.3497023809523</v>
      </c>
      <c r="N23" s="366">
        <f>SUMIF(COD_PROY,$B4,MO_17_OCT)</f>
        <v>0</v>
      </c>
      <c r="O23" s="366">
        <f>SUMIF(COD_PROY,$B4,MO_17_NOV)</f>
        <v>0</v>
      </c>
      <c r="P23" s="366">
        <f>SUMIF(COD_PROY,$B4,MO_17_DIC)</f>
        <v>0</v>
      </c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  <c r="AN23" s="121"/>
      <c r="AO23" s="121"/>
    </row>
    <row r="24" spans="1:41" s="247" customFormat="1" ht="15.75" thickBot="1" x14ac:dyDescent="0.3">
      <c r="A24" s="121"/>
      <c r="B24" s="121"/>
      <c r="C24" s="380" t="s">
        <v>635</v>
      </c>
      <c r="D24" s="377">
        <f>SUM(E24:P24)</f>
        <v>0</v>
      </c>
      <c r="E24" s="374">
        <f>SUMIF(COD_PROY_SC,$B4,SC_17_ENE)</f>
        <v>0</v>
      </c>
      <c r="F24" s="366">
        <f>SUMIF(COD_PROY_SC,$B4,SC_17_FEB)</f>
        <v>0</v>
      </c>
      <c r="G24" s="366">
        <f>SUMIF(COD_PROY_SC,$B6,SC_17_MAR)</f>
        <v>0</v>
      </c>
      <c r="H24" s="366">
        <f>SUMIF(COD_PROY_SC,$B4,SC_17_ABR)</f>
        <v>0</v>
      </c>
      <c r="I24" s="366">
        <f>SUMIF(COD_PROY_SC,$B4,SC_17_MAY)</f>
        <v>0</v>
      </c>
      <c r="J24" s="366">
        <f>SUMIF(COD_PROY_SC,$B4,SC_17_JUN)</f>
        <v>0</v>
      </c>
      <c r="K24" s="366">
        <f>SUMIF(COD_PROY_SC,$B4,SC_17_JUL)</f>
        <v>0</v>
      </c>
      <c r="L24" s="366">
        <f>SUMIF(COD_PROY_SC,$B4,SC_17_AGO)</f>
        <v>0</v>
      </c>
      <c r="M24" s="366">
        <f>SUMIF(COD_PROY_SC,$B4,SC_17_AGO)</f>
        <v>0</v>
      </c>
      <c r="N24" s="366">
        <f>SUMIF(COD_PROY,$B4,MO_17_OCT)</f>
        <v>0</v>
      </c>
      <c r="O24" s="366">
        <f>SUMIF(COD_PROY,$B4,MO_17_NOV)</f>
        <v>0</v>
      </c>
      <c r="P24" s="366">
        <f>SUMIF(COD_PROY,$B4,MO_17_DIC)</f>
        <v>0</v>
      </c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1"/>
      <c r="AM24" s="121"/>
      <c r="AN24" s="121"/>
      <c r="AO24" s="121"/>
    </row>
    <row r="25" spans="1:41" s="247" customFormat="1" ht="15.75" thickBot="1" x14ac:dyDescent="0.3">
      <c r="A25" s="121"/>
      <c r="B25" s="121"/>
      <c r="C25" s="328"/>
      <c r="D25" s="340"/>
      <c r="E25" s="340"/>
      <c r="F25" s="340"/>
      <c r="G25" s="340"/>
      <c r="H25" s="340"/>
      <c r="I25" s="340"/>
      <c r="J25" s="340"/>
      <c r="K25" s="340"/>
      <c r="L25" s="340"/>
      <c r="M25" s="340"/>
      <c r="N25" s="340"/>
      <c r="O25" s="340"/>
      <c r="P25" s="340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</row>
    <row r="26" spans="1:41" s="247" customFormat="1" ht="15.75" thickBot="1" x14ac:dyDescent="0.3">
      <c r="A26" s="121"/>
      <c r="B26" s="121"/>
      <c r="C26" s="381" t="s">
        <v>629</v>
      </c>
      <c r="D26" s="372">
        <f>D22-D23-D24</f>
        <v>84083.250297619059</v>
      </c>
      <c r="E26" s="371">
        <f t="shared" ref="E26:P26" si="0">E22-E23-E24</f>
        <v>0</v>
      </c>
      <c r="F26" s="369">
        <f t="shared" si="0"/>
        <v>0</v>
      </c>
      <c r="G26" s="369">
        <f t="shared" si="0"/>
        <v>0</v>
      </c>
      <c r="H26" s="369">
        <f t="shared" si="0"/>
        <v>0</v>
      </c>
      <c r="I26" s="369">
        <f t="shared" si="0"/>
        <v>0</v>
      </c>
      <c r="J26" s="369">
        <f t="shared" si="0"/>
        <v>0</v>
      </c>
      <c r="K26" s="369">
        <f t="shared" si="0"/>
        <v>0</v>
      </c>
      <c r="L26" s="369">
        <f t="shared" si="0"/>
        <v>0</v>
      </c>
      <c r="M26" s="369">
        <f t="shared" si="0"/>
        <v>84083.250297619059</v>
      </c>
      <c r="N26" s="369">
        <f t="shared" si="0"/>
        <v>0</v>
      </c>
      <c r="O26" s="369">
        <f t="shared" si="0"/>
        <v>0</v>
      </c>
      <c r="P26" s="369">
        <f t="shared" si="0"/>
        <v>0</v>
      </c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</row>
    <row r="27" spans="1:41" s="247" customFormat="1" ht="15.75" thickBot="1" x14ac:dyDescent="0.3">
      <c r="A27" s="121"/>
      <c r="B27" s="121"/>
      <c r="C27" s="327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</row>
    <row r="28" spans="1:41" ht="15.75" thickBot="1" x14ac:dyDescent="0.3">
      <c r="A28" s="121"/>
      <c r="B28" s="121"/>
      <c r="C28" s="387" t="s">
        <v>628</v>
      </c>
      <c r="D28" s="370">
        <f>IF(D22=0,0,D26/D22)</f>
        <v>0.92512427628568439</v>
      </c>
      <c r="E28" s="388">
        <f t="shared" ref="E28:P28" si="1">IF(E22=0,0,E26/E22)</f>
        <v>0</v>
      </c>
      <c r="F28" s="386">
        <f t="shared" si="1"/>
        <v>0</v>
      </c>
      <c r="G28" s="386">
        <f t="shared" si="1"/>
        <v>0</v>
      </c>
      <c r="H28" s="386">
        <f t="shared" si="1"/>
        <v>0</v>
      </c>
      <c r="I28" s="386">
        <f t="shared" si="1"/>
        <v>0</v>
      </c>
      <c r="J28" s="386">
        <f t="shared" si="1"/>
        <v>0</v>
      </c>
      <c r="K28" s="386">
        <f t="shared" si="1"/>
        <v>0</v>
      </c>
      <c r="L28" s="386">
        <f t="shared" si="1"/>
        <v>0</v>
      </c>
      <c r="M28" s="386">
        <f t="shared" si="1"/>
        <v>0.92512427628568439</v>
      </c>
      <c r="N28" s="386">
        <f t="shared" si="1"/>
        <v>0</v>
      </c>
      <c r="O28" s="386">
        <f t="shared" si="1"/>
        <v>0</v>
      </c>
      <c r="P28" s="386">
        <f t="shared" si="1"/>
        <v>0</v>
      </c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1"/>
      <c r="AM28" s="121"/>
      <c r="AN28" s="121"/>
      <c r="AO28" s="121"/>
    </row>
    <row r="29" spans="1:41" s="247" customFormat="1" x14ac:dyDescent="0.25">
      <c r="A29" s="121"/>
      <c r="B29" s="121"/>
      <c r="C29" s="337"/>
      <c r="D29" s="338"/>
      <c r="E29" s="339"/>
      <c r="F29" s="339"/>
      <c r="G29" s="339"/>
      <c r="H29" s="339"/>
      <c r="I29" s="339"/>
      <c r="J29" s="339"/>
      <c r="K29" s="339"/>
      <c r="L29" s="339"/>
      <c r="M29" s="339"/>
      <c r="N29" s="339"/>
      <c r="O29" s="339"/>
      <c r="P29" s="339"/>
      <c r="Q29" s="121"/>
      <c r="R29" s="121"/>
      <c r="S29" s="121"/>
      <c r="T29" s="121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1"/>
      <c r="AM29" s="121"/>
      <c r="AN29" s="121"/>
      <c r="AO29" s="121"/>
    </row>
    <row r="30" spans="1:41" x14ac:dyDescent="0.25">
      <c r="A30" s="121"/>
      <c r="B30" s="121"/>
      <c r="C30" s="121"/>
      <c r="D30" s="131"/>
      <c r="E30" s="131"/>
      <c r="F30" s="131"/>
      <c r="G30" s="131"/>
      <c r="H30" s="131"/>
      <c r="I30" s="131"/>
      <c r="J30" s="131"/>
      <c r="K30" s="131"/>
      <c r="L30" s="131"/>
      <c r="M30" s="131"/>
      <c r="N30" s="131"/>
      <c r="O30" s="131"/>
      <c r="P30" s="13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1"/>
      <c r="AM30" s="121"/>
      <c r="AN30" s="121"/>
      <c r="AO30" s="121"/>
    </row>
    <row r="31" spans="1:41" s="247" customFormat="1" x14ac:dyDescent="0.25">
      <c r="A31" s="121"/>
      <c r="B31" s="121"/>
      <c r="C31" s="624" t="s">
        <v>630</v>
      </c>
      <c r="D31" s="624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  <c r="AN31" s="121"/>
      <c r="AO31" s="121"/>
    </row>
    <row r="32" spans="1:41" ht="15.75" thickBot="1" x14ac:dyDescent="0.3">
      <c r="A32" s="121"/>
      <c r="B32" s="121"/>
      <c r="C32" s="625"/>
      <c r="D32" s="625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21"/>
      <c r="AH32" s="121"/>
      <c r="AI32" s="121"/>
      <c r="AJ32" s="121"/>
      <c r="AK32" s="121"/>
      <c r="AL32" s="121"/>
      <c r="AM32" s="121"/>
      <c r="AN32" s="121"/>
      <c r="AO32" s="121"/>
    </row>
    <row r="33" spans="1:41" ht="15.75" thickBot="1" x14ac:dyDescent="0.3">
      <c r="A33" s="121"/>
      <c r="B33" s="324" t="str">
        <f>LEFT(C33,5)</f>
        <v>MP004</v>
      </c>
      <c r="C33" s="617" t="s">
        <v>472</v>
      </c>
      <c r="D33" s="618"/>
      <c r="E33" s="618"/>
      <c r="F33" s="618"/>
      <c r="G33" s="618"/>
      <c r="H33" s="619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  <c r="AN33" s="121"/>
      <c r="AO33" s="121"/>
    </row>
    <row r="34" spans="1:41" s="247" customFormat="1" ht="15.75" thickBot="1" x14ac:dyDescent="0.3">
      <c r="A34" s="121"/>
      <c r="B34" s="121"/>
      <c r="C34" s="325"/>
      <c r="D34" s="325"/>
      <c r="E34" s="325"/>
      <c r="F34" s="325"/>
      <c r="G34" s="325"/>
      <c r="H34" s="325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O34" s="121"/>
    </row>
    <row r="35" spans="1:41" s="247" customFormat="1" x14ac:dyDescent="0.25">
      <c r="A35" s="121"/>
      <c r="B35" s="121"/>
      <c r="C35" s="321" t="s">
        <v>529</v>
      </c>
      <c r="D35" s="610" t="str">
        <f>VLOOKUP(B33,MATRIZ_PROYECTOS,3,FALSE)</f>
        <v>LA POSITIVA</v>
      </c>
      <c r="E35" s="610"/>
      <c r="F35" s="610"/>
      <c r="G35" s="610"/>
      <c r="H35" s="610"/>
      <c r="I35" s="61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</row>
    <row r="36" spans="1:41" s="247" customFormat="1" x14ac:dyDescent="0.25">
      <c r="A36" s="121"/>
      <c r="B36" s="121"/>
      <c r="C36" s="322" t="s">
        <v>615</v>
      </c>
      <c r="D36" s="612" t="str">
        <f>VLOOKUP(B33,MATRIZ_PROYECTOS,4,FALSE)</f>
        <v>Software Factory</v>
      </c>
      <c r="E36" s="612"/>
      <c r="F36" s="612"/>
      <c r="G36" s="612"/>
      <c r="H36" s="612"/>
      <c r="I36" s="613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  <c r="AN36" s="121"/>
      <c r="AO36" s="121"/>
    </row>
    <row r="37" spans="1:41" s="247" customFormat="1" x14ac:dyDescent="0.25">
      <c r="A37" s="121"/>
      <c r="B37" s="121"/>
      <c r="C37" s="322" t="s">
        <v>567</v>
      </c>
      <c r="D37" s="612" t="str">
        <f>VLOOKUP(B33,MATRIZ_PROYECTOS,5,FALSE)</f>
        <v>Gustavo Arenaza</v>
      </c>
      <c r="E37" s="612"/>
      <c r="F37" s="612"/>
      <c r="G37" s="612"/>
      <c r="H37" s="612"/>
      <c r="I37" s="613"/>
      <c r="J37" s="121"/>
      <c r="K37" s="121"/>
      <c r="L37" s="121"/>
      <c r="M37" s="121"/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21"/>
      <c r="AH37" s="121"/>
      <c r="AI37" s="121"/>
      <c r="AJ37" s="121"/>
      <c r="AK37" s="121"/>
      <c r="AL37" s="121"/>
      <c r="AM37" s="121"/>
      <c r="AN37" s="121"/>
      <c r="AO37" s="121"/>
    </row>
    <row r="38" spans="1:41" s="247" customFormat="1" x14ac:dyDescent="0.25">
      <c r="A38" s="121"/>
      <c r="B38" s="121"/>
      <c r="C38" s="322" t="s">
        <v>625</v>
      </c>
      <c r="D38" s="606" t="str">
        <f>VLOOKUP(B33,MATRIZ_PROYECTOS,2,FALSE)</f>
        <v>PROCESO</v>
      </c>
      <c r="E38" s="606"/>
      <c r="F38" s="606"/>
      <c r="G38" s="606"/>
      <c r="H38" s="606"/>
      <c r="I38" s="607"/>
      <c r="J38" s="121"/>
      <c r="K38" s="121"/>
      <c r="L38" s="121"/>
      <c r="M38" s="121"/>
      <c r="N38" s="121"/>
      <c r="O38" s="121"/>
      <c r="P38" s="121"/>
      <c r="Q38" s="121"/>
      <c r="R38" s="121"/>
      <c r="S38" s="121"/>
      <c r="T38" s="121"/>
      <c r="U38" s="121"/>
      <c r="V38" s="121"/>
      <c r="W38" s="121"/>
      <c r="X38" s="121"/>
      <c r="Y38" s="121"/>
      <c r="Z38" s="121"/>
      <c r="AA38" s="121"/>
      <c r="AB38" s="121"/>
      <c r="AC38" s="121"/>
      <c r="AD38" s="121"/>
      <c r="AE38" s="121"/>
      <c r="AF38" s="121"/>
      <c r="AG38" s="121"/>
      <c r="AH38" s="121"/>
      <c r="AI38" s="121"/>
      <c r="AJ38" s="121"/>
      <c r="AK38" s="121"/>
      <c r="AL38" s="121"/>
      <c r="AM38" s="121"/>
      <c r="AN38" s="121"/>
      <c r="AO38" s="121"/>
    </row>
    <row r="39" spans="1:41" s="247" customFormat="1" ht="15.75" thickBot="1" x14ac:dyDescent="0.3">
      <c r="A39" s="121"/>
      <c r="B39" s="131"/>
      <c r="C39" s="323" t="s">
        <v>188</v>
      </c>
      <c r="D39" s="604" t="str">
        <f>VLOOKUP(B33,MATRIZ_PROYECTOS,13,FALSE)</f>
        <v>NO HAY FICHA DE REGISTRO</v>
      </c>
      <c r="E39" s="604"/>
      <c r="F39" s="604"/>
      <c r="G39" s="604"/>
      <c r="H39" s="604"/>
      <c r="I39" s="605"/>
      <c r="J39" s="13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1"/>
      <c r="AI39" s="121"/>
      <c r="AJ39" s="121"/>
      <c r="AK39" s="121"/>
      <c r="AL39" s="121"/>
      <c r="AM39" s="121"/>
      <c r="AN39" s="121"/>
      <c r="AO39" s="121"/>
    </row>
    <row r="40" spans="1:41" s="247" customFormat="1" x14ac:dyDescent="0.25">
      <c r="A40" s="121"/>
      <c r="B40" s="131"/>
      <c r="C40" s="316"/>
      <c r="D40" s="326"/>
      <c r="E40" s="326"/>
      <c r="F40" s="326"/>
      <c r="G40" s="326"/>
      <c r="H40" s="326"/>
      <c r="I40" s="326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1"/>
      <c r="AI40" s="121"/>
      <c r="AJ40" s="121"/>
      <c r="AK40" s="121"/>
      <c r="AL40" s="121"/>
      <c r="AM40" s="121"/>
      <c r="AN40" s="121"/>
      <c r="AO40" s="121"/>
    </row>
    <row r="41" spans="1:41" s="247" customFormat="1" x14ac:dyDescent="0.25">
      <c r="A41" s="121"/>
      <c r="B41" s="121"/>
      <c r="C41" s="310"/>
      <c r="D41" s="311" t="s">
        <v>619</v>
      </c>
      <c r="E41" s="311" t="s">
        <v>620</v>
      </c>
      <c r="F41" s="325"/>
      <c r="G41" s="325"/>
      <c r="H41" s="325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21"/>
      <c r="AM41" s="121"/>
      <c r="AN41" s="121"/>
      <c r="AO41" s="121"/>
    </row>
    <row r="42" spans="1:41" s="247" customFormat="1" x14ac:dyDescent="0.25">
      <c r="A42" s="121"/>
      <c r="B42" s="121"/>
      <c r="C42" s="315" t="s">
        <v>618</v>
      </c>
      <c r="D42" s="312" t="str">
        <f>VLOOKUP(B33,MATRIZ_PROYECTOS,8,FALSE)</f>
        <v>-</v>
      </c>
      <c r="E42" s="312" t="str">
        <f>VLOOKUP(B33,MATRIZ_PROYECTOS,9,FALSE)</f>
        <v>-</v>
      </c>
      <c r="F42" s="325"/>
      <c r="G42" s="325"/>
      <c r="H42" s="325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21"/>
      <c r="T42" s="121"/>
      <c r="U42" s="121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/>
      <c r="AH42" s="121"/>
      <c r="AI42" s="121"/>
      <c r="AJ42" s="121"/>
      <c r="AK42" s="121"/>
      <c r="AL42" s="121"/>
      <c r="AM42" s="121"/>
      <c r="AN42" s="121"/>
      <c r="AO42" s="121"/>
    </row>
    <row r="43" spans="1:41" s="247" customFormat="1" x14ac:dyDescent="0.25">
      <c r="A43" s="121"/>
      <c r="B43" s="121"/>
      <c r="C43" s="315" t="s">
        <v>621</v>
      </c>
      <c r="D43" s="312" t="str">
        <f>VLOOKUP(B33,MATRIZ_PROYECTOS,10,FALSE)</f>
        <v>-</v>
      </c>
      <c r="E43" s="312" t="str">
        <f>VLOOKUP(B33,MATRIZ_PROYECTOS,11,FALSE)</f>
        <v>-</v>
      </c>
      <c r="F43" s="325"/>
      <c r="G43" s="325"/>
      <c r="H43" s="325"/>
      <c r="I43" s="121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</row>
    <row r="44" spans="1:41" s="247" customFormat="1" x14ac:dyDescent="0.25">
      <c r="A44" s="121"/>
      <c r="B44" s="121"/>
      <c r="C44" s="315" t="s">
        <v>616</v>
      </c>
      <c r="D44" s="313">
        <f>VLOOKUP(B33,MATRIZ_PROYECTOS,6,FALSE)</f>
        <v>0</v>
      </c>
      <c r="E44" s="325"/>
      <c r="F44" s="325"/>
      <c r="G44" s="325"/>
      <c r="H44" s="325"/>
      <c r="I44" s="121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</row>
    <row r="45" spans="1:41" s="247" customFormat="1" x14ac:dyDescent="0.25">
      <c r="A45" s="121"/>
      <c r="B45" s="121"/>
      <c r="C45" s="315" t="s">
        <v>617</v>
      </c>
      <c r="D45" s="313">
        <f>VLOOKUP(B33,MATRIZ_PROYECTOS,7,FALSE)</f>
        <v>0</v>
      </c>
      <c r="E45" s="325"/>
      <c r="F45" s="325"/>
      <c r="G45" s="325"/>
      <c r="H45" s="325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21"/>
      <c r="AH45" s="121"/>
      <c r="AI45" s="121"/>
      <c r="AJ45" s="121"/>
      <c r="AK45" s="121"/>
      <c r="AL45" s="121"/>
      <c r="AM45" s="121"/>
      <c r="AN45" s="121"/>
      <c r="AO45" s="121"/>
    </row>
    <row r="46" spans="1:41" s="247" customFormat="1" x14ac:dyDescent="0.25">
      <c r="A46" s="121"/>
      <c r="B46" s="121"/>
      <c r="C46" s="315" t="s">
        <v>553</v>
      </c>
      <c r="D46" s="313">
        <f>D44-D45</f>
        <v>0</v>
      </c>
      <c r="E46" s="325"/>
      <c r="F46" s="325"/>
      <c r="G46" s="325"/>
      <c r="H46" s="325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  <c r="Y46" s="121"/>
      <c r="Z46" s="121"/>
      <c r="AA46" s="121"/>
      <c r="AB46" s="121"/>
      <c r="AC46" s="121"/>
      <c r="AD46" s="121"/>
      <c r="AE46" s="121"/>
      <c r="AF46" s="121"/>
      <c r="AG46" s="121"/>
      <c r="AH46" s="121"/>
      <c r="AI46" s="121"/>
      <c r="AJ46" s="121"/>
      <c r="AK46" s="121"/>
      <c r="AL46" s="121"/>
      <c r="AM46" s="121"/>
      <c r="AN46" s="121"/>
      <c r="AO46" s="121"/>
    </row>
    <row r="47" spans="1:41" s="247" customFormat="1" x14ac:dyDescent="0.25">
      <c r="A47" s="121"/>
      <c r="B47" s="121"/>
      <c r="C47" s="311" t="s">
        <v>551</v>
      </c>
      <c r="D47" s="314">
        <f>IF(D44=0,0,D46/D44)</f>
        <v>0</v>
      </c>
      <c r="E47" s="325"/>
      <c r="F47" s="325"/>
      <c r="G47" s="325"/>
      <c r="H47" s="325"/>
      <c r="I47" s="121"/>
      <c r="J47" s="121"/>
      <c r="K47" s="121"/>
      <c r="L47" s="121"/>
      <c r="M47" s="121"/>
      <c r="N47" s="121"/>
      <c r="O47" s="121"/>
      <c r="P47" s="121"/>
      <c r="Q47" s="121"/>
      <c r="R47" s="121"/>
      <c r="S47" s="121"/>
      <c r="T47" s="121"/>
      <c r="U47" s="121"/>
      <c r="V47" s="121"/>
      <c r="W47" s="121"/>
      <c r="X47" s="121"/>
      <c r="Y47" s="121"/>
      <c r="Z47" s="121"/>
      <c r="AA47" s="121"/>
      <c r="AB47" s="121"/>
      <c r="AC47" s="121"/>
      <c r="AD47" s="121"/>
      <c r="AE47" s="121"/>
      <c r="AF47" s="121"/>
      <c r="AG47" s="121"/>
      <c r="AH47" s="121"/>
      <c r="AI47" s="121"/>
      <c r="AJ47" s="121"/>
      <c r="AK47" s="121"/>
      <c r="AL47" s="121"/>
      <c r="AM47" s="121"/>
      <c r="AN47" s="121"/>
      <c r="AO47" s="121"/>
    </row>
    <row r="48" spans="1:41" s="247" customFormat="1" x14ac:dyDescent="0.25">
      <c r="A48" s="121"/>
      <c r="B48" s="121"/>
      <c r="C48" s="325"/>
      <c r="D48" s="253"/>
      <c r="E48" s="325"/>
      <c r="F48" s="253"/>
      <c r="G48" s="253"/>
      <c r="H48" s="253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T48" s="121"/>
      <c r="U48" s="121"/>
      <c r="V48" s="121"/>
      <c r="W48" s="121"/>
      <c r="X48" s="121"/>
      <c r="Y48" s="121"/>
      <c r="Z48" s="121"/>
      <c r="AA48" s="121"/>
      <c r="AB48" s="121"/>
      <c r="AC48" s="121"/>
      <c r="AD48" s="121"/>
      <c r="AE48" s="121"/>
      <c r="AF48" s="121"/>
      <c r="AG48" s="121"/>
      <c r="AH48" s="121"/>
      <c r="AI48" s="121"/>
      <c r="AJ48" s="121"/>
      <c r="AK48" s="121"/>
      <c r="AL48" s="121"/>
      <c r="AM48" s="121"/>
      <c r="AN48" s="121"/>
      <c r="AO48" s="121"/>
    </row>
    <row r="49" spans="1:41" x14ac:dyDescent="0.25">
      <c r="A49" s="121"/>
      <c r="B49" s="121"/>
      <c r="C49" s="121"/>
      <c r="D49" s="344" t="s">
        <v>187</v>
      </c>
      <c r="E49" s="246" t="s">
        <v>516</v>
      </c>
      <c r="F49" s="246" t="s">
        <v>517</v>
      </c>
      <c r="G49" s="246" t="s">
        <v>518</v>
      </c>
      <c r="H49" s="246" t="s">
        <v>519</v>
      </c>
      <c r="I49" s="246" t="s">
        <v>520</v>
      </c>
      <c r="J49" s="246" t="s">
        <v>521</v>
      </c>
      <c r="K49" s="246" t="s">
        <v>522</v>
      </c>
      <c r="L49" s="246" t="s">
        <v>523</v>
      </c>
      <c r="M49" s="246" t="s">
        <v>524</v>
      </c>
      <c r="N49" s="246" t="s">
        <v>525</v>
      </c>
      <c r="O49" s="246" t="s">
        <v>526</v>
      </c>
      <c r="P49" s="246" t="s">
        <v>527</v>
      </c>
      <c r="Q49" s="121"/>
      <c r="R49" s="121"/>
      <c r="S49" s="121"/>
      <c r="T49" s="121"/>
      <c r="U49" s="121"/>
      <c r="V49" s="121"/>
      <c r="W49" s="121"/>
      <c r="X49" s="121"/>
      <c r="Y49" s="121"/>
      <c r="Z49" s="121"/>
      <c r="AA49" s="121"/>
      <c r="AB49" s="121"/>
      <c r="AC49" s="121"/>
      <c r="AD49" s="121"/>
      <c r="AE49" s="121"/>
      <c r="AF49" s="121"/>
      <c r="AG49" s="121"/>
      <c r="AH49" s="121"/>
      <c r="AI49" s="121"/>
      <c r="AJ49" s="121"/>
      <c r="AK49" s="121"/>
      <c r="AL49" s="121"/>
      <c r="AM49" s="121"/>
      <c r="AN49" s="121"/>
      <c r="AO49" s="121"/>
    </row>
    <row r="50" spans="1:41" x14ac:dyDescent="0.25">
      <c r="A50" s="121"/>
      <c r="B50" s="121"/>
      <c r="C50" s="345" t="s">
        <v>627</v>
      </c>
      <c r="D50" s="368">
        <f>SUM(E50:P50)</f>
        <v>2543139.66</v>
      </c>
      <c r="E50" s="366">
        <f>SUMIF(COD_PROY_ING,B33,ING_17_ENE)</f>
        <v>263859</v>
      </c>
      <c r="F50" s="366">
        <f>SUMIF(COD_PROY_ING,$B33,ING_17_FEB)</f>
        <v>309938.62</v>
      </c>
      <c r="G50" s="366">
        <f>SUMIF(COD_PROY_ING,$B33,ING_17_MAR)</f>
        <v>311982.76</v>
      </c>
      <c r="H50" s="366">
        <f>SUMIF(COD_PROY_ING,$B33,ING_17_ABR)</f>
        <v>285696</v>
      </c>
      <c r="I50" s="366">
        <f>SUMIF(COD_PROY_ING,$B33,ING_17_MAY)</f>
        <v>320788</v>
      </c>
      <c r="J50" s="366">
        <f>SUMIF(COD_PROY_ING,$B33,ING_17_JUN)</f>
        <v>306125</v>
      </c>
      <c r="K50" s="366">
        <f>SUMIF(COD_PROY_ING,$B33,ING_17_JUL)</f>
        <v>255312.28</v>
      </c>
      <c r="L50" s="366">
        <f>SUMIF(COD_PROY_ING,$B33,ING_17_AGO)</f>
        <v>246894</v>
      </c>
      <c r="M50" s="366">
        <f>SUMIF(COD_PROY_ING,$B33,ING_17_SEP)</f>
        <v>242544</v>
      </c>
      <c r="N50" s="366">
        <f>SUMIF(COD_PROY_ING,$B33,ING_17_OCT)</f>
        <v>0</v>
      </c>
      <c r="O50" s="366">
        <f>SUMIF(COD_PROY_ING,$B33,ING_17_NOV)</f>
        <v>0</v>
      </c>
      <c r="P50" s="366">
        <f>SUMIF(COD_PROY_ING,$B33,ING_17_DIC)</f>
        <v>0</v>
      </c>
      <c r="Q50" s="121"/>
      <c r="R50" s="121"/>
      <c r="S50" s="121"/>
      <c r="T50" s="121"/>
      <c r="U50" s="121"/>
      <c r="V50" s="121"/>
      <c r="W50" s="121"/>
      <c r="X50" s="121"/>
      <c r="Y50" s="121"/>
      <c r="Z50" s="121"/>
      <c r="AA50" s="121"/>
      <c r="AB50" s="121"/>
      <c r="AC50" s="121"/>
      <c r="AD50" s="121"/>
      <c r="AE50" s="121"/>
      <c r="AF50" s="121"/>
      <c r="AG50" s="121"/>
      <c r="AH50" s="121"/>
      <c r="AI50" s="121"/>
      <c r="AJ50" s="121"/>
      <c r="AK50" s="121"/>
      <c r="AL50" s="121"/>
      <c r="AM50" s="121"/>
      <c r="AN50" s="121"/>
      <c r="AO50" s="121"/>
    </row>
    <row r="51" spans="1:41" x14ac:dyDescent="0.25">
      <c r="A51" s="121"/>
      <c r="B51" s="121"/>
      <c r="C51" s="345" t="s">
        <v>636</v>
      </c>
      <c r="D51" s="368">
        <f>SUM(E51:P51)</f>
        <v>1376914.4404957965</v>
      </c>
      <c r="E51" s="366">
        <f>SUMIF(COD_PROY,$B33,MO_17_ENE)</f>
        <v>167627.52272727274</v>
      </c>
      <c r="F51" s="366">
        <f>SUMIF(COD_PROY,$B33,MO_17_FEB)</f>
        <v>168110.75</v>
      </c>
      <c r="G51" s="366">
        <f>SUMIF(COD_PROY,$B33,MO_17_MAR)</f>
        <v>169426.60869565216</v>
      </c>
      <c r="H51" s="366">
        <f>SUMIF(COD_PROY,$B33,MO_17_ABR)</f>
        <v>165832.30555555556</v>
      </c>
      <c r="I51" s="366">
        <f>SUMIF(COD_PROY,$B33,MO_17_MAY)</f>
        <v>153911.22727272729</v>
      </c>
      <c r="J51" s="366">
        <f>SUMIF(COD_PROY,$B33,MO_17_JUN)</f>
        <v>144510.92857142858</v>
      </c>
      <c r="K51" s="366">
        <f>SUMIF(COD_PROY,$B33,MO_17_JUL)</f>
        <v>145822.0625</v>
      </c>
      <c r="L51" s="366">
        <f>SUMIF(COD_PROY,$B33,MO_17_AGO)</f>
        <v>135888.01136363638</v>
      </c>
      <c r="M51" s="366">
        <f>SUMIF(COD_PROY,$B33,MO_17_SEP)</f>
        <v>125785.02380952382</v>
      </c>
      <c r="N51" s="366">
        <f>SUMIF(COD_PROY,$B33,MO_17_OCT)</f>
        <v>0</v>
      </c>
      <c r="O51" s="366">
        <f>SUMIF(COD_PROY,$B33,MO_17_NOV)</f>
        <v>0</v>
      </c>
      <c r="P51" s="366">
        <f>SUMIF(COD_PROY,$B33,MO_17_DIC)</f>
        <v>0</v>
      </c>
      <c r="Q51" s="121"/>
      <c r="R51" s="121"/>
      <c r="S51" s="121"/>
      <c r="T51" s="121"/>
      <c r="U51" s="121"/>
      <c r="V51" s="121"/>
      <c r="W51" s="121"/>
      <c r="X51" s="121"/>
      <c r="Y51" s="121"/>
      <c r="Z51" s="121"/>
      <c r="AA51" s="121"/>
      <c r="AB51" s="121"/>
      <c r="AC51" s="121"/>
      <c r="AD51" s="121"/>
      <c r="AE51" s="121"/>
      <c r="AF51" s="121"/>
      <c r="AG51" s="121"/>
      <c r="AH51" s="121"/>
      <c r="AI51" s="121"/>
      <c r="AJ51" s="121"/>
      <c r="AK51" s="121"/>
      <c r="AL51" s="121"/>
      <c r="AM51" s="121"/>
      <c r="AN51" s="121"/>
      <c r="AO51" s="121"/>
    </row>
    <row r="52" spans="1:41" s="247" customFormat="1" x14ac:dyDescent="0.25">
      <c r="A52" s="121"/>
      <c r="B52" s="121"/>
      <c r="C52" s="345" t="s">
        <v>635</v>
      </c>
      <c r="D52" s="368">
        <f>SUM(E52:P52)</f>
        <v>187150</v>
      </c>
      <c r="E52" s="366">
        <f>SUMIF(COD_PROY_SC,$B33,SC_17_ENE)</f>
        <v>0</v>
      </c>
      <c r="F52" s="366">
        <f>SUMIF(COD_PROY_SC,$B33,SC_17_FEB)</f>
        <v>0</v>
      </c>
      <c r="G52" s="366">
        <f>SUMIF(COD_PROY_SC,$B33,SC_17_MAR)</f>
        <v>18200</v>
      </c>
      <c r="H52" s="366">
        <f>SUMIF(COD_PROY_SC,$B33,SC_17_ABR)</f>
        <v>22000</v>
      </c>
      <c r="I52" s="366">
        <f>SUMIF(COD_PROY_SC,$B33,SC_17_MAY)</f>
        <v>28250</v>
      </c>
      <c r="J52" s="366">
        <f>SUMIF(COD_PROY_SC,$B33,SC_17_JUN)</f>
        <v>34000</v>
      </c>
      <c r="K52" s="366">
        <f>SUMIF(COD_PROY_SC,$B33,SC_17_JUL)</f>
        <v>34600</v>
      </c>
      <c r="L52" s="366">
        <f>SUMIF(COD_PROY_SC,$B33,SC_17_AGO)</f>
        <v>26100</v>
      </c>
      <c r="M52" s="366">
        <f>SUMIF(COD_PROY_SC,$B33,SC_17_SET)</f>
        <v>24000</v>
      </c>
      <c r="N52" s="366">
        <f>SUMIF(COD_PROY_SC,$B33,SC_17_OCT)</f>
        <v>0</v>
      </c>
      <c r="O52" s="366">
        <f>SUMIF(COD_PROY_SC,$B33,SC_17_NOV)</f>
        <v>0</v>
      </c>
      <c r="P52" s="366">
        <f>SUMIF(COD_PROY_SC,$B33,SC_17_DIC)</f>
        <v>0</v>
      </c>
      <c r="Q52" s="121"/>
      <c r="R52" s="121"/>
      <c r="S52" s="121"/>
      <c r="T52" s="121"/>
      <c r="U52" s="121"/>
      <c r="V52" s="121"/>
      <c r="W52" s="121"/>
      <c r="X52" s="121"/>
      <c r="Y52" s="121"/>
      <c r="Z52" s="121"/>
      <c r="AA52" s="121"/>
      <c r="AB52" s="121"/>
      <c r="AC52" s="121"/>
      <c r="AD52" s="121"/>
      <c r="AE52" s="121"/>
      <c r="AF52" s="121"/>
      <c r="AG52" s="121"/>
      <c r="AH52" s="121"/>
      <c r="AI52" s="121"/>
      <c r="AJ52" s="121"/>
      <c r="AK52" s="121"/>
      <c r="AL52" s="121"/>
      <c r="AM52" s="121"/>
      <c r="AN52" s="121"/>
      <c r="AO52" s="121"/>
    </row>
    <row r="53" spans="1:41" s="247" customFormat="1" x14ac:dyDescent="0.25">
      <c r="A53" s="121"/>
      <c r="B53" s="121"/>
      <c r="C53" s="331"/>
      <c r="D53" s="343"/>
      <c r="E53" s="342"/>
      <c r="F53" s="342"/>
      <c r="G53" s="342"/>
      <c r="H53" s="342"/>
      <c r="I53" s="342"/>
      <c r="J53" s="342"/>
      <c r="K53" s="342"/>
      <c r="L53" s="342"/>
      <c r="M53" s="342"/>
      <c r="N53" s="342"/>
      <c r="O53" s="342"/>
      <c r="P53" s="342"/>
      <c r="Q53" s="131"/>
      <c r="R53" s="121"/>
      <c r="S53" s="121"/>
      <c r="T53" s="121"/>
      <c r="U53" s="121"/>
      <c r="V53" s="121"/>
      <c r="W53" s="121"/>
      <c r="X53" s="121"/>
      <c r="Y53" s="121"/>
      <c r="Z53" s="121"/>
      <c r="AA53" s="121"/>
      <c r="AB53" s="121"/>
      <c r="AC53" s="121"/>
      <c r="AD53" s="121"/>
      <c r="AE53" s="121"/>
      <c r="AF53" s="121"/>
      <c r="AG53" s="121"/>
      <c r="AH53" s="121"/>
      <c r="AI53" s="121"/>
      <c r="AJ53" s="121"/>
      <c r="AK53" s="121"/>
      <c r="AL53" s="121"/>
      <c r="AM53" s="121"/>
      <c r="AN53" s="121"/>
      <c r="AO53" s="121"/>
    </row>
    <row r="54" spans="1:41" x14ac:dyDescent="0.25">
      <c r="A54" s="121"/>
      <c r="B54" s="121"/>
      <c r="C54" s="345" t="s">
        <v>629</v>
      </c>
      <c r="D54" s="368">
        <f>D50-D51-D52</f>
        <v>979075.21950420365</v>
      </c>
      <c r="E54" s="367">
        <f t="shared" ref="E54:P54" si="2">E50-E51-E52</f>
        <v>96231.477272727265</v>
      </c>
      <c r="F54" s="367">
        <f t="shared" si="2"/>
        <v>141827.87</v>
      </c>
      <c r="G54" s="367">
        <f t="shared" si="2"/>
        <v>124356.15130434785</v>
      </c>
      <c r="H54" s="367">
        <f t="shared" si="2"/>
        <v>97863.694444444438</v>
      </c>
      <c r="I54" s="367">
        <f t="shared" si="2"/>
        <v>138626.77272727271</v>
      </c>
      <c r="J54" s="367">
        <f t="shared" si="2"/>
        <v>127614.07142857142</v>
      </c>
      <c r="K54" s="367">
        <f t="shared" si="2"/>
        <v>74890.217499999999</v>
      </c>
      <c r="L54" s="367">
        <f t="shared" si="2"/>
        <v>84905.988636363618</v>
      </c>
      <c r="M54" s="367">
        <f t="shared" si="2"/>
        <v>92758.976190476184</v>
      </c>
      <c r="N54" s="367">
        <f t="shared" si="2"/>
        <v>0</v>
      </c>
      <c r="O54" s="367">
        <f t="shared" si="2"/>
        <v>0</v>
      </c>
      <c r="P54" s="367">
        <f t="shared" si="2"/>
        <v>0</v>
      </c>
      <c r="Q54" s="121"/>
      <c r="R54" s="121"/>
      <c r="S54" s="121"/>
      <c r="T54" s="121"/>
      <c r="U54" s="121"/>
      <c r="V54" s="121"/>
      <c r="W54" s="121"/>
      <c r="X54" s="121"/>
      <c r="Y54" s="121"/>
      <c r="Z54" s="121"/>
      <c r="AA54" s="121"/>
      <c r="AB54" s="121"/>
      <c r="AC54" s="121"/>
      <c r="AD54" s="121"/>
      <c r="AE54" s="121"/>
      <c r="AF54" s="121"/>
      <c r="AG54" s="121"/>
      <c r="AH54" s="121"/>
      <c r="AI54" s="121"/>
      <c r="AJ54" s="121"/>
      <c r="AK54" s="121"/>
      <c r="AL54" s="121"/>
      <c r="AM54" s="121"/>
      <c r="AN54" s="121"/>
      <c r="AO54" s="121"/>
    </row>
    <row r="55" spans="1:41" s="247" customFormat="1" x14ac:dyDescent="0.25">
      <c r="A55" s="121"/>
      <c r="B55" s="121"/>
      <c r="C55" s="331"/>
      <c r="D55" s="332"/>
      <c r="E55" s="333"/>
      <c r="F55" s="333"/>
      <c r="G55" s="333"/>
      <c r="H55" s="333"/>
      <c r="I55" s="333"/>
      <c r="J55" s="333"/>
      <c r="K55" s="333"/>
      <c r="L55" s="333"/>
      <c r="M55" s="333"/>
      <c r="N55" s="333"/>
      <c r="O55" s="333"/>
      <c r="P55" s="333"/>
      <c r="Q55" s="131"/>
      <c r="R55" s="121"/>
      <c r="S55" s="121"/>
      <c r="T55" s="121"/>
      <c r="U55" s="121"/>
      <c r="V55" s="121"/>
      <c r="W55" s="121"/>
      <c r="X55" s="121"/>
      <c r="Y55" s="121"/>
      <c r="Z55" s="121"/>
      <c r="AA55" s="121"/>
      <c r="AB55" s="121"/>
      <c r="AC55" s="121"/>
      <c r="AD55" s="121"/>
      <c r="AE55" s="121"/>
      <c r="AF55" s="121"/>
      <c r="AG55" s="121"/>
      <c r="AH55" s="121"/>
      <c r="AI55" s="121"/>
      <c r="AJ55" s="121"/>
      <c r="AK55" s="121"/>
      <c r="AL55" s="121"/>
      <c r="AM55" s="121"/>
      <c r="AN55" s="121"/>
      <c r="AO55" s="121"/>
    </row>
    <row r="56" spans="1:41" x14ac:dyDescent="0.25">
      <c r="A56" s="121"/>
      <c r="B56" s="121"/>
      <c r="C56" s="329" t="s">
        <v>628</v>
      </c>
      <c r="D56" s="330">
        <f>D54/D50</f>
        <v>0.3849868078044143</v>
      </c>
      <c r="E56" s="341">
        <f t="shared" ref="E56:P56" si="3">IF(E50=0,0,1-(E51/E50))</f>
        <v>0.36470795869281425</v>
      </c>
      <c r="F56" s="341">
        <f t="shared" si="3"/>
        <v>0.45759986283735787</v>
      </c>
      <c r="G56" s="341">
        <f t="shared" si="3"/>
        <v>0.45693599000261376</v>
      </c>
      <c r="H56" s="341">
        <f t="shared" si="3"/>
        <v>0.41954978174158697</v>
      </c>
      <c r="I56" s="341">
        <f t="shared" si="3"/>
        <v>0.52020890035560152</v>
      </c>
      <c r="J56" s="341">
        <f t="shared" si="3"/>
        <v>0.52793490054249548</v>
      </c>
      <c r="K56" s="341">
        <f t="shared" si="3"/>
        <v>0.42884822265501688</v>
      </c>
      <c r="L56" s="341">
        <f t="shared" si="3"/>
        <v>0.44960990804298051</v>
      </c>
      <c r="M56" s="341">
        <f t="shared" si="3"/>
        <v>0.48139296865919656</v>
      </c>
      <c r="N56" s="341">
        <f t="shared" si="3"/>
        <v>0</v>
      </c>
      <c r="O56" s="341">
        <f t="shared" si="3"/>
        <v>0</v>
      </c>
      <c r="P56" s="341">
        <f t="shared" si="3"/>
        <v>0</v>
      </c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/>
      <c r="AG56" s="121"/>
      <c r="AH56" s="121"/>
      <c r="AI56" s="121"/>
      <c r="AJ56" s="121"/>
      <c r="AK56" s="121"/>
      <c r="AL56" s="121"/>
      <c r="AM56" s="121"/>
      <c r="AN56" s="121"/>
      <c r="AO56" s="121"/>
    </row>
    <row r="57" spans="1:41" x14ac:dyDescent="0.25">
      <c r="A57" s="121"/>
      <c r="B57" s="121"/>
      <c r="C57" s="121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</row>
    <row r="58" spans="1:41" x14ac:dyDescent="0.25">
      <c r="A58" s="121"/>
      <c r="B58" s="121"/>
      <c r="C58" s="121"/>
      <c r="D58" s="121"/>
      <c r="E58" s="121"/>
      <c r="F58" s="121"/>
      <c r="G58" s="121">
        <f>SUMIF(COD_PROY_SC,'Rentabilidad x Proy'!B33,SC_17_MAR)</f>
        <v>18200</v>
      </c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  <c r="AA58" s="121"/>
      <c r="AB58" s="121"/>
      <c r="AC58" s="121"/>
      <c r="AD58" s="121"/>
      <c r="AE58" s="121"/>
      <c r="AF58" s="121"/>
      <c r="AG58" s="121"/>
      <c r="AH58" s="121"/>
      <c r="AI58" s="121"/>
      <c r="AJ58" s="121"/>
      <c r="AK58" s="121"/>
      <c r="AL58" s="121"/>
      <c r="AM58" s="121"/>
      <c r="AN58" s="121"/>
      <c r="AO58" s="121"/>
    </row>
    <row r="59" spans="1:41" x14ac:dyDescent="0.25">
      <c r="A59" s="121"/>
      <c r="B59" s="121"/>
      <c r="C59" s="121"/>
      <c r="D59" s="121"/>
      <c r="E59" s="334"/>
      <c r="F59" s="121"/>
      <c r="G59" s="121"/>
      <c r="H59" s="121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21"/>
      <c r="AH59" s="121"/>
      <c r="AI59" s="121"/>
      <c r="AJ59" s="121"/>
      <c r="AK59" s="121"/>
      <c r="AL59" s="121"/>
      <c r="AM59" s="121"/>
      <c r="AN59" s="121"/>
      <c r="AO59" s="121"/>
    </row>
    <row r="60" spans="1:41" x14ac:dyDescent="0.25">
      <c r="A60" s="121"/>
      <c r="B60" s="121"/>
      <c r="C60" s="121"/>
      <c r="D60" s="121"/>
      <c r="E60" s="121"/>
      <c r="F60" s="121"/>
      <c r="G60" s="121"/>
      <c r="H60" s="121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21"/>
      <c r="AH60" s="121"/>
      <c r="AI60" s="121"/>
      <c r="AJ60" s="121"/>
      <c r="AK60" s="121"/>
      <c r="AL60" s="121"/>
      <c r="AM60" s="121"/>
      <c r="AN60" s="121"/>
      <c r="AO60" s="121"/>
    </row>
    <row r="61" spans="1:41" x14ac:dyDescent="0.25">
      <c r="A61" s="121"/>
      <c r="B61" s="121"/>
      <c r="C61" s="121"/>
      <c r="D61" s="121"/>
      <c r="E61" s="121"/>
      <c r="F61" s="121"/>
      <c r="G61" s="121"/>
      <c r="H61" s="121"/>
      <c r="I61" s="121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</row>
    <row r="62" spans="1:41" x14ac:dyDescent="0.25">
      <c r="A62" s="121"/>
      <c r="B62" s="121"/>
      <c r="C62" s="121"/>
      <c r="D62" s="121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1"/>
      <c r="U62" s="121"/>
      <c r="V62" s="121"/>
      <c r="W62" s="121"/>
      <c r="X62" s="121"/>
      <c r="Y62" s="121"/>
      <c r="Z62" s="121"/>
      <c r="AA62" s="121"/>
      <c r="AB62" s="121"/>
      <c r="AC62" s="121"/>
      <c r="AD62" s="121"/>
      <c r="AE62" s="121"/>
      <c r="AF62" s="121"/>
      <c r="AG62" s="121"/>
      <c r="AH62" s="121"/>
      <c r="AI62" s="121"/>
      <c r="AJ62" s="121"/>
      <c r="AK62" s="121"/>
      <c r="AL62" s="121"/>
      <c r="AM62" s="121"/>
      <c r="AN62" s="121"/>
      <c r="AO62" s="121"/>
    </row>
    <row r="63" spans="1:41" x14ac:dyDescent="0.25">
      <c r="A63" s="121"/>
      <c r="B63" s="121"/>
      <c r="C63" s="121"/>
      <c r="D63" s="121"/>
      <c r="E63" s="121"/>
      <c r="F63" s="121"/>
      <c r="G63" s="121"/>
      <c r="H63" s="121"/>
      <c r="I63" s="121"/>
      <c r="J63" s="121"/>
      <c r="K63" s="121"/>
      <c r="L63" s="121"/>
      <c r="M63" s="121"/>
      <c r="N63" s="121"/>
      <c r="O63" s="121"/>
      <c r="P63" s="121"/>
      <c r="Q63" s="121"/>
      <c r="R63" s="121"/>
      <c r="S63" s="121"/>
      <c r="T63" s="121"/>
      <c r="U63" s="121"/>
      <c r="V63" s="121"/>
      <c r="W63" s="121"/>
      <c r="X63" s="121"/>
      <c r="Y63" s="121"/>
      <c r="Z63" s="121"/>
      <c r="AA63" s="121"/>
      <c r="AB63" s="121"/>
      <c r="AC63" s="121"/>
      <c r="AD63" s="121"/>
      <c r="AE63" s="121"/>
      <c r="AF63" s="121"/>
      <c r="AG63" s="121"/>
      <c r="AH63" s="121"/>
      <c r="AI63" s="121"/>
      <c r="AJ63" s="121"/>
      <c r="AK63" s="121"/>
      <c r="AL63" s="121"/>
      <c r="AM63" s="121"/>
      <c r="AN63" s="121"/>
      <c r="AO63" s="121"/>
    </row>
    <row r="64" spans="1:41" x14ac:dyDescent="0.25">
      <c r="A64" s="121"/>
      <c r="B64" s="121"/>
      <c r="C64" s="121"/>
      <c r="D64" s="121"/>
      <c r="E64" s="121"/>
      <c r="F64" s="121"/>
      <c r="G64" s="121"/>
      <c r="H64" s="121"/>
      <c r="I64" s="121"/>
      <c r="J64" s="121"/>
      <c r="K64" s="121"/>
      <c r="L64" s="121"/>
      <c r="M64" s="121"/>
      <c r="N64" s="121"/>
      <c r="O64" s="121"/>
      <c r="P64" s="121"/>
      <c r="Q64" s="121"/>
      <c r="R64" s="121"/>
      <c r="S64" s="121"/>
      <c r="T64" s="121"/>
      <c r="U64" s="121"/>
      <c r="V64" s="121"/>
      <c r="W64" s="121"/>
      <c r="X64" s="121"/>
      <c r="Y64" s="121"/>
      <c r="Z64" s="121"/>
      <c r="AA64" s="121"/>
      <c r="AB64" s="121"/>
      <c r="AC64" s="121"/>
      <c r="AD64" s="121"/>
      <c r="AE64" s="121"/>
      <c r="AF64" s="121"/>
      <c r="AG64" s="121"/>
      <c r="AH64" s="121"/>
      <c r="AI64" s="121"/>
      <c r="AJ64" s="121"/>
      <c r="AK64" s="121"/>
      <c r="AL64" s="121"/>
      <c r="AM64" s="121"/>
      <c r="AN64" s="121"/>
      <c r="AO64" s="121"/>
    </row>
    <row r="65" spans="1:41" x14ac:dyDescent="0.25">
      <c r="A65" s="121"/>
      <c r="B65" s="121"/>
      <c r="C65" s="121"/>
      <c r="D65" s="121"/>
      <c r="E65" s="121"/>
      <c r="F65" s="121"/>
      <c r="G65" s="121"/>
      <c r="H65" s="121"/>
      <c r="I65" s="121"/>
      <c r="J65" s="121"/>
      <c r="K65" s="121"/>
      <c r="L65" s="121"/>
      <c r="M65" s="121"/>
      <c r="N65" s="121"/>
      <c r="O65" s="121"/>
      <c r="P65" s="121"/>
      <c r="Q65" s="121"/>
      <c r="R65" s="121"/>
      <c r="S65" s="121"/>
      <c r="T65" s="121"/>
      <c r="U65" s="121"/>
      <c r="V65" s="121"/>
      <c r="W65" s="121"/>
      <c r="X65" s="121"/>
      <c r="Y65" s="121"/>
      <c r="Z65" s="121"/>
      <c r="AA65" s="121"/>
      <c r="AB65" s="121"/>
      <c r="AC65" s="121"/>
      <c r="AD65" s="121"/>
      <c r="AE65" s="121"/>
      <c r="AF65" s="121"/>
      <c r="AG65" s="121"/>
      <c r="AH65" s="121"/>
      <c r="AI65" s="121"/>
      <c r="AJ65" s="121"/>
      <c r="AK65" s="121"/>
      <c r="AL65" s="121"/>
      <c r="AM65" s="121"/>
      <c r="AN65" s="121"/>
      <c r="AO65" s="121"/>
    </row>
    <row r="66" spans="1:41" x14ac:dyDescent="0.25">
      <c r="A66" s="121"/>
      <c r="B66" s="121"/>
      <c r="C66" s="121"/>
      <c r="D66" s="121"/>
      <c r="E66" s="121"/>
      <c r="F66" s="121"/>
      <c r="G66" s="121"/>
      <c r="H66" s="121"/>
      <c r="I66" s="121"/>
      <c r="J66" s="121"/>
      <c r="K66" s="121"/>
      <c r="L66" s="121"/>
      <c r="M66" s="121"/>
      <c r="N66" s="121"/>
      <c r="O66" s="121"/>
      <c r="P66" s="121"/>
      <c r="Q66" s="121"/>
      <c r="R66" s="121"/>
      <c r="S66" s="121"/>
      <c r="T66" s="121"/>
      <c r="U66" s="121"/>
      <c r="V66" s="121"/>
      <c r="W66" s="121"/>
      <c r="X66" s="121"/>
      <c r="Y66" s="121"/>
      <c r="Z66" s="121"/>
      <c r="AA66" s="121"/>
      <c r="AB66" s="121"/>
      <c r="AC66" s="121"/>
      <c r="AD66" s="121"/>
      <c r="AE66" s="121"/>
      <c r="AF66" s="121"/>
      <c r="AG66" s="121"/>
      <c r="AH66" s="121"/>
      <c r="AI66" s="121"/>
      <c r="AJ66" s="121"/>
      <c r="AK66" s="121"/>
      <c r="AL66" s="121"/>
      <c r="AM66" s="121"/>
      <c r="AN66" s="121"/>
      <c r="AO66" s="121"/>
    </row>
    <row r="67" spans="1:41" x14ac:dyDescent="0.25">
      <c r="A67" s="121"/>
      <c r="B67" s="121"/>
      <c r="C67" s="121"/>
      <c r="D67" s="121"/>
      <c r="E67" s="121"/>
      <c r="F67" s="121"/>
      <c r="G67" s="121"/>
      <c r="H67" s="121"/>
      <c r="I67" s="121"/>
      <c r="J67" s="121"/>
      <c r="K67" s="121"/>
      <c r="L67" s="121"/>
      <c r="M67" s="121"/>
      <c r="N67" s="121"/>
      <c r="O67" s="121"/>
      <c r="P67" s="121"/>
      <c r="Q67" s="121"/>
      <c r="R67" s="121"/>
      <c r="S67" s="121"/>
      <c r="T67" s="121"/>
      <c r="U67" s="121"/>
      <c r="V67" s="121"/>
      <c r="W67" s="12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41" x14ac:dyDescent="0.25">
      <c r="A68" s="121"/>
      <c r="B68" s="121"/>
      <c r="C68" s="121"/>
      <c r="D68" s="121"/>
      <c r="E68" s="121"/>
      <c r="F68" s="121"/>
      <c r="G68" s="121"/>
      <c r="H68" s="121"/>
      <c r="I68" s="121"/>
      <c r="J68" s="121"/>
      <c r="K68" s="121"/>
      <c r="L68" s="121"/>
      <c r="M68" s="121"/>
      <c r="N68" s="121"/>
      <c r="O68" s="121"/>
      <c r="P68" s="121"/>
      <c r="Q68" s="121"/>
      <c r="R68" s="121"/>
      <c r="S68" s="121"/>
      <c r="T68" s="121"/>
      <c r="U68" s="121"/>
      <c r="V68" s="121"/>
      <c r="W68" s="121"/>
      <c r="X68" s="121"/>
      <c r="Y68" s="121"/>
      <c r="Z68" s="121"/>
      <c r="AA68" s="121"/>
      <c r="AB68" s="121"/>
      <c r="AC68" s="121"/>
      <c r="AD68" s="121"/>
      <c r="AE68" s="121"/>
      <c r="AF68" s="121"/>
      <c r="AG68" s="121"/>
      <c r="AH68" s="121"/>
      <c r="AI68" s="121"/>
      <c r="AJ68" s="121"/>
      <c r="AK68" s="121"/>
      <c r="AL68" s="121"/>
      <c r="AM68" s="121"/>
      <c r="AN68" s="121"/>
      <c r="AO68" s="121"/>
    </row>
    <row r="69" spans="1:41" x14ac:dyDescent="0.25">
      <c r="A69" s="121"/>
      <c r="B69" s="121"/>
      <c r="C69" s="121"/>
      <c r="D69" s="121"/>
      <c r="E69" s="121"/>
      <c r="F69" s="121"/>
      <c r="G69" s="121"/>
      <c r="H69" s="121"/>
      <c r="I69" s="121"/>
      <c r="J69" s="121"/>
      <c r="K69" s="121"/>
      <c r="L69" s="121"/>
      <c r="M69" s="121"/>
      <c r="N69" s="121"/>
      <c r="O69" s="121"/>
      <c r="P69" s="121"/>
      <c r="Q69" s="121"/>
      <c r="R69" s="121"/>
      <c r="S69" s="121"/>
      <c r="T69" s="121"/>
      <c r="U69" s="121"/>
      <c r="V69" s="121"/>
      <c r="W69" s="121"/>
      <c r="X69" s="121"/>
      <c r="Y69" s="121"/>
      <c r="Z69" s="121"/>
      <c r="AA69" s="121"/>
      <c r="AB69" s="121"/>
      <c r="AC69" s="121"/>
      <c r="AD69" s="121"/>
      <c r="AE69" s="121"/>
      <c r="AF69" s="121"/>
      <c r="AG69" s="121"/>
      <c r="AH69" s="121"/>
      <c r="AI69" s="121"/>
      <c r="AJ69" s="121"/>
      <c r="AK69" s="121"/>
      <c r="AL69" s="121"/>
      <c r="AM69" s="121"/>
      <c r="AN69" s="121"/>
      <c r="AO69" s="121"/>
    </row>
    <row r="70" spans="1:41" x14ac:dyDescent="0.25">
      <c r="A70" s="121"/>
      <c r="B70" s="121"/>
      <c r="C70" s="121"/>
      <c r="D70" s="121"/>
      <c r="E70" s="121"/>
      <c r="F70" s="121"/>
      <c r="G70" s="121"/>
      <c r="H70" s="121"/>
      <c r="I70" s="121"/>
      <c r="J70" s="121"/>
      <c r="K70" s="121"/>
      <c r="L70" s="121"/>
      <c r="M70" s="121"/>
      <c r="N70" s="121"/>
      <c r="O70" s="121"/>
      <c r="P70" s="121"/>
      <c r="Q70" s="121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  <c r="AE70" s="121"/>
      <c r="AF70" s="121"/>
      <c r="AG70" s="121"/>
      <c r="AH70" s="121"/>
      <c r="AI70" s="121"/>
      <c r="AJ70" s="121"/>
      <c r="AK70" s="121"/>
      <c r="AL70" s="121"/>
      <c r="AM70" s="121"/>
      <c r="AN70" s="121"/>
      <c r="AO70" s="121"/>
    </row>
    <row r="71" spans="1:41" x14ac:dyDescent="0.25">
      <c r="A71" s="121"/>
      <c r="B71" s="121"/>
      <c r="C71" s="121"/>
      <c r="D71" s="121"/>
      <c r="E71" s="121"/>
      <c r="F71" s="121"/>
      <c r="G71" s="121"/>
      <c r="H71" s="121"/>
      <c r="I71" s="121"/>
      <c r="J71" s="121"/>
      <c r="K71" s="121"/>
      <c r="L71" s="121"/>
      <c r="M71" s="121"/>
      <c r="N71" s="121"/>
      <c r="O71" s="121"/>
      <c r="P71" s="121"/>
      <c r="Q71" s="121"/>
      <c r="R71" s="121"/>
      <c r="S71" s="121"/>
      <c r="T71" s="121"/>
      <c r="U71" s="121"/>
      <c r="V71" s="121"/>
      <c r="W71" s="121"/>
      <c r="X71" s="121"/>
      <c r="Y71" s="121"/>
      <c r="Z71" s="121"/>
      <c r="AA71" s="121"/>
      <c r="AB71" s="121"/>
      <c r="AC71" s="121"/>
      <c r="AD71" s="121"/>
      <c r="AE71" s="121"/>
      <c r="AF71" s="121"/>
      <c r="AG71" s="121"/>
      <c r="AH71" s="121"/>
      <c r="AI71" s="121"/>
      <c r="AJ71" s="121"/>
      <c r="AK71" s="121"/>
      <c r="AL71" s="121"/>
      <c r="AM71" s="121"/>
      <c r="AN71" s="121"/>
      <c r="AO71" s="121"/>
    </row>
    <row r="72" spans="1:41" x14ac:dyDescent="0.25">
      <c r="A72" s="121"/>
      <c r="B72" s="121"/>
      <c r="C72" s="121"/>
      <c r="D72" s="121"/>
      <c r="E72" s="121"/>
      <c r="F72" s="121"/>
      <c r="G72" s="121"/>
      <c r="H72" s="121"/>
      <c r="I72" s="121"/>
      <c r="J72" s="121"/>
      <c r="K72" s="121"/>
      <c r="L72" s="121"/>
      <c r="M72" s="121"/>
      <c r="N72" s="121"/>
      <c r="O72" s="121"/>
      <c r="P72" s="121"/>
      <c r="Q72" s="121"/>
      <c r="R72" s="121"/>
      <c r="S72" s="121"/>
      <c r="T72" s="121"/>
      <c r="U72" s="121"/>
      <c r="V72" s="121"/>
      <c r="W72" s="121"/>
      <c r="X72" s="121"/>
      <c r="Y72" s="121"/>
      <c r="Z72" s="121"/>
      <c r="AA72" s="121"/>
      <c r="AB72" s="121"/>
      <c r="AC72" s="121"/>
      <c r="AD72" s="121"/>
      <c r="AE72" s="121"/>
      <c r="AF72" s="121"/>
      <c r="AG72" s="121"/>
      <c r="AH72" s="121"/>
      <c r="AI72" s="121"/>
      <c r="AJ72" s="121"/>
      <c r="AK72" s="121"/>
      <c r="AL72" s="121"/>
      <c r="AM72" s="121"/>
      <c r="AN72" s="121"/>
      <c r="AO72" s="121"/>
    </row>
    <row r="73" spans="1:41" x14ac:dyDescent="0.25">
      <c r="C73" s="121"/>
      <c r="D73" s="121"/>
      <c r="E73" s="121"/>
      <c r="F73" s="121"/>
      <c r="G73" s="121"/>
      <c r="H73" s="121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1"/>
      <c r="V73" s="121"/>
      <c r="W73" s="121"/>
      <c r="X73" s="121"/>
      <c r="Y73" s="121"/>
      <c r="Z73" s="121"/>
      <c r="AA73" s="121"/>
      <c r="AB73" s="121"/>
      <c r="AC73" s="121"/>
      <c r="AD73" s="121"/>
      <c r="AE73" s="121"/>
      <c r="AF73" s="121"/>
      <c r="AG73" s="121"/>
      <c r="AH73" s="121"/>
      <c r="AI73" s="121"/>
      <c r="AJ73" s="121"/>
      <c r="AK73" s="121"/>
      <c r="AL73" s="121"/>
      <c r="AM73" s="121"/>
      <c r="AN73" s="121"/>
      <c r="AO73" s="121"/>
    </row>
    <row r="74" spans="1:41" x14ac:dyDescent="0.25">
      <c r="C74" s="121"/>
      <c r="D74" s="121"/>
      <c r="E74" s="121"/>
      <c r="F74" s="121"/>
      <c r="G74" s="121"/>
      <c r="H74" s="121"/>
      <c r="I74" s="121"/>
      <c r="J74" s="121"/>
      <c r="K74" s="121"/>
      <c r="L74" s="121"/>
      <c r="M74" s="121"/>
      <c r="N74" s="121"/>
      <c r="O74" s="121"/>
      <c r="P74" s="121"/>
      <c r="Q74" s="121"/>
      <c r="R74" s="121"/>
      <c r="S74" s="121"/>
      <c r="T74" s="121"/>
      <c r="U74" s="121"/>
      <c r="V74" s="121"/>
      <c r="W74" s="121"/>
      <c r="X74" s="121"/>
      <c r="Y74" s="121"/>
      <c r="Z74" s="121"/>
      <c r="AA74" s="121"/>
      <c r="AB74" s="121"/>
      <c r="AC74" s="121"/>
      <c r="AD74" s="121"/>
      <c r="AE74" s="121"/>
      <c r="AF74" s="121"/>
      <c r="AG74" s="121"/>
      <c r="AH74" s="121"/>
      <c r="AI74" s="121"/>
      <c r="AJ74" s="121"/>
      <c r="AK74" s="121"/>
      <c r="AL74" s="121"/>
      <c r="AM74" s="121"/>
      <c r="AN74" s="121"/>
      <c r="AO74" s="121"/>
    </row>
    <row r="75" spans="1:41" x14ac:dyDescent="0.25">
      <c r="C75" s="121"/>
      <c r="D75" s="121"/>
      <c r="E75" s="121"/>
      <c r="F75" s="121"/>
      <c r="G75" s="121"/>
      <c r="H75" s="121"/>
      <c r="I75" s="121"/>
      <c r="J75" s="121"/>
      <c r="K75" s="121"/>
      <c r="L75" s="121"/>
      <c r="M75" s="121"/>
      <c r="N75" s="121"/>
      <c r="O75" s="121"/>
      <c r="P75" s="121"/>
      <c r="Q75" s="121"/>
      <c r="R75" s="121"/>
      <c r="S75" s="121"/>
      <c r="T75" s="121"/>
      <c r="U75" s="121"/>
      <c r="V75" s="121"/>
      <c r="W75" s="121"/>
      <c r="X75" s="121"/>
      <c r="Y75" s="121"/>
      <c r="Z75" s="121"/>
      <c r="AA75" s="121"/>
      <c r="AB75" s="121"/>
      <c r="AC75" s="121"/>
      <c r="AD75" s="121"/>
      <c r="AE75" s="121"/>
      <c r="AF75" s="121"/>
      <c r="AG75" s="121"/>
      <c r="AH75" s="121"/>
      <c r="AI75" s="121"/>
      <c r="AJ75" s="121"/>
      <c r="AK75" s="121"/>
      <c r="AL75" s="121"/>
      <c r="AM75" s="121"/>
      <c r="AN75" s="121"/>
      <c r="AO75" s="121"/>
    </row>
    <row r="76" spans="1:41" x14ac:dyDescent="0.25">
      <c r="C76" s="121"/>
      <c r="D76" s="121"/>
      <c r="E76" s="121"/>
      <c r="F76" s="121"/>
      <c r="G76" s="121"/>
      <c r="H76" s="121"/>
      <c r="I76" s="121"/>
      <c r="J76" s="121"/>
      <c r="K76" s="121"/>
      <c r="L76" s="121"/>
      <c r="M76" s="121"/>
      <c r="N76" s="121"/>
      <c r="O76" s="121"/>
      <c r="P76" s="121"/>
      <c r="Q76" s="121"/>
      <c r="R76" s="121"/>
      <c r="S76" s="121"/>
      <c r="T76" s="121"/>
      <c r="U76" s="121"/>
      <c r="V76" s="121"/>
      <c r="W76" s="121"/>
      <c r="X76" s="121"/>
      <c r="Y76" s="121"/>
      <c r="Z76" s="121"/>
      <c r="AA76" s="121"/>
      <c r="AB76" s="121"/>
      <c r="AC76" s="121"/>
      <c r="AD76" s="121"/>
      <c r="AE76" s="121"/>
      <c r="AF76" s="121"/>
      <c r="AG76" s="121"/>
      <c r="AH76" s="121"/>
      <c r="AI76" s="121"/>
      <c r="AJ76" s="121"/>
      <c r="AK76" s="121"/>
      <c r="AL76" s="121"/>
      <c r="AM76" s="121"/>
      <c r="AN76" s="121"/>
      <c r="AO76" s="121"/>
    </row>
    <row r="77" spans="1:41" x14ac:dyDescent="0.25">
      <c r="C77" s="121"/>
      <c r="D77" s="121"/>
      <c r="E77" s="121"/>
      <c r="F77" s="121"/>
      <c r="G77" s="121"/>
      <c r="H77" s="121"/>
      <c r="I77" s="121"/>
      <c r="J77" s="121"/>
      <c r="K77" s="121"/>
      <c r="L77" s="121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1"/>
      <c r="AA77" s="121"/>
      <c r="AB77" s="121"/>
      <c r="AC77" s="121"/>
      <c r="AD77" s="121"/>
      <c r="AE77" s="121"/>
      <c r="AF77" s="121"/>
      <c r="AG77" s="121"/>
      <c r="AH77" s="121"/>
      <c r="AI77" s="121"/>
      <c r="AJ77" s="121"/>
      <c r="AK77" s="121"/>
      <c r="AL77" s="121"/>
      <c r="AM77" s="121"/>
      <c r="AN77" s="121"/>
      <c r="AO77" s="121"/>
    </row>
    <row r="78" spans="1:41" x14ac:dyDescent="0.25">
      <c r="C78" s="121"/>
      <c r="D78" s="121"/>
      <c r="E78" s="121"/>
      <c r="F78" s="121"/>
      <c r="G78" s="121"/>
      <c r="H78" s="121"/>
      <c r="I78" s="121"/>
      <c r="J78" s="121"/>
      <c r="K78" s="121"/>
      <c r="L78" s="121"/>
      <c r="M78" s="121"/>
      <c r="N78" s="121"/>
      <c r="O78" s="121"/>
      <c r="P78" s="121"/>
      <c r="Q78" s="121"/>
      <c r="R78" s="121"/>
      <c r="S78" s="121"/>
      <c r="T78" s="121"/>
      <c r="U78" s="121"/>
      <c r="V78" s="121"/>
      <c r="W78" s="121"/>
      <c r="X78" s="121"/>
      <c r="Y78" s="121"/>
      <c r="Z78" s="121"/>
      <c r="AA78" s="121"/>
      <c r="AB78" s="121"/>
      <c r="AC78" s="121"/>
      <c r="AD78" s="121"/>
      <c r="AE78" s="121"/>
      <c r="AF78" s="121"/>
      <c r="AG78" s="121"/>
      <c r="AH78" s="121"/>
      <c r="AI78" s="121"/>
      <c r="AJ78" s="121"/>
      <c r="AK78" s="121"/>
      <c r="AL78" s="121"/>
      <c r="AM78" s="121"/>
      <c r="AN78" s="121"/>
      <c r="AO78" s="121"/>
    </row>
    <row r="79" spans="1:41" x14ac:dyDescent="0.25">
      <c r="C79" s="121"/>
      <c r="D79" s="121"/>
      <c r="E79" s="121"/>
      <c r="F79" s="121"/>
      <c r="G79" s="121"/>
      <c r="H79" s="121"/>
      <c r="I79" s="121"/>
      <c r="J79" s="121"/>
      <c r="K79" s="121"/>
      <c r="L79" s="121"/>
      <c r="M79" s="121"/>
      <c r="N79" s="121"/>
      <c r="O79" s="121"/>
      <c r="P79" s="121"/>
      <c r="Q79" s="121"/>
      <c r="R79" s="121"/>
      <c r="S79" s="121"/>
      <c r="T79" s="121"/>
      <c r="U79" s="121"/>
      <c r="V79" s="121"/>
      <c r="W79" s="121"/>
      <c r="X79" s="121"/>
      <c r="Y79" s="121"/>
      <c r="Z79" s="121"/>
      <c r="AA79" s="121"/>
      <c r="AB79" s="121"/>
      <c r="AC79" s="121"/>
      <c r="AD79" s="121"/>
      <c r="AE79" s="121"/>
      <c r="AF79" s="121"/>
      <c r="AG79" s="121"/>
      <c r="AH79" s="121"/>
      <c r="AI79" s="121"/>
      <c r="AJ79" s="121"/>
      <c r="AK79" s="121"/>
      <c r="AL79" s="121"/>
      <c r="AM79" s="121"/>
      <c r="AN79" s="121"/>
      <c r="AO79" s="121"/>
    </row>
    <row r="80" spans="1:41" x14ac:dyDescent="0.25">
      <c r="C80" s="121"/>
      <c r="D80" s="121"/>
      <c r="E80" s="121"/>
      <c r="F80" s="121"/>
      <c r="G80" s="121"/>
      <c r="H80" s="121"/>
      <c r="I80" s="121"/>
      <c r="J80" s="121"/>
      <c r="K80" s="121"/>
      <c r="L80" s="121"/>
      <c r="M80" s="121"/>
      <c r="N80" s="121"/>
      <c r="O80" s="121"/>
      <c r="P80" s="121"/>
      <c r="Q80" s="121"/>
      <c r="R80" s="121"/>
      <c r="S80" s="121"/>
      <c r="T80" s="121"/>
      <c r="U80" s="121"/>
      <c r="V80" s="121"/>
      <c r="W80" s="121"/>
      <c r="X80" s="121"/>
      <c r="Y80" s="121"/>
      <c r="Z80" s="121"/>
      <c r="AA80" s="121"/>
      <c r="AB80" s="121"/>
      <c r="AC80" s="121"/>
      <c r="AD80" s="121"/>
      <c r="AE80" s="121"/>
      <c r="AF80" s="121"/>
      <c r="AG80" s="121"/>
      <c r="AH80" s="121"/>
      <c r="AI80" s="121"/>
      <c r="AJ80" s="121"/>
      <c r="AK80" s="121"/>
      <c r="AL80" s="121"/>
      <c r="AM80" s="121"/>
      <c r="AN80" s="121"/>
      <c r="AO80" s="121"/>
    </row>
    <row r="81" spans="3:41" x14ac:dyDescent="0.25">
      <c r="C81" s="121"/>
      <c r="D81" s="121"/>
      <c r="E81" s="121"/>
      <c r="F81" s="121"/>
      <c r="G81" s="121"/>
      <c r="H81" s="121"/>
      <c r="I81" s="121"/>
      <c r="J81" s="121"/>
      <c r="K81" s="121"/>
      <c r="L81" s="121"/>
      <c r="M81" s="121"/>
      <c r="N81" s="121"/>
      <c r="O81" s="121"/>
      <c r="P81" s="121"/>
      <c r="Q81" s="121"/>
      <c r="R81" s="121"/>
      <c r="S81" s="121"/>
      <c r="T81" s="121"/>
      <c r="U81" s="121"/>
      <c r="V81" s="121"/>
      <c r="W81" s="121"/>
      <c r="X81" s="121"/>
      <c r="Y81" s="121"/>
      <c r="Z81" s="121"/>
      <c r="AA81" s="121"/>
      <c r="AB81" s="121"/>
      <c r="AC81" s="121"/>
      <c r="AD81" s="121"/>
      <c r="AE81" s="121"/>
      <c r="AF81" s="121"/>
      <c r="AG81" s="121"/>
      <c r="AH81" s="121"/>
      <c r="AI81" s="121"/>
      <c r="AJ81" s="121"/>
      <c r="AK81" s="121"/>
      <c r="AL81" s="121"/>
      <c r="AM81" s="121"/>
      <c r="AN81" s="121"/>
      <c r="AO81" s="121"/>
    </row>
    <row r="82" spans="3:41" x14ac:dyDescent="0.25">
      <c r="C82" s="121"/>
      <c r="D82" s="121"/>
      <c r="E82" s="121"/>
      <c r="F82" s="121"/>
      <c r="G82" s="121"/>
      <c r="H82" s="121"/>
      <c r="I82" s="121"/>
      <c r="J82" s="121"/>
      <c r="K82" s="121"/>
      <c r="L82" s="121"/>
      <c r="M82" s="121"/>
      <c r="N82" s="121"/>
      <c r="O82" s="121"/>
      <c r="P82" s="121"/>
      <c r="Q82" s="121"/>
      <c r="R82" s="121"/>
      <c r="S82" s="121"/>
      <c r="T82" s="121"/>
      <c r="U82" s="121"/>
      <c r="V82" s="121"/>
      <c r="W82" s="121"/>
      <c r="X82" s="121"/>
      <c r="Y82" s="121"/>
      <c r="Z82" s="121"/>
      <c r="AA82" s="121"/>
      <c r="AB82" s="121"/>
      <c r="AC82" s="121"/>
      <c r="AD82" s="121"/>
      <c r="AE82" s="121"/>
      <c r="AF82" s="121"/>
      <c r="AG82" s="121"/>
      <c r="AH82" s="121"/>
      <c r="AI82" s="121"/>
      <c r="AJ82" s="121"/>
      <c r="AK82" s="121"/>
      <c r="AL82" s="121"/>
      <c r="AM82" s="121"/>
      <c r="AN82" s="121"/>
      <c r="AO82" s="121"/>
    </row>
    <row r="83" spans="3:41" x14ac:dyDescent="0.25">
      <c r="C83" s="121"/>
      <c r="D83" s="121"/>
      <c r="E83" s="121"/>
      <c r="F83" s="121"/>
      <c r="G83" s="121"/>
      <c r="H83" s="121"/>
      <c r="I83" s="121"/>
      <c r="J83" s="121"/>
      <c r="K83" s="121"/>
      <c r="L83" s="121"/>
      <c r="M83" s="121"/>
      <c r="N83" s="121"/>
      <c r="O83" s="121"/>
      <c r="P83" s="121"/>
      <c r="Q83" s="121"/>
      <c r="R83" s="121"/>
      <c r="S83" s="121"/>
      <c r="T83" s="121"/>
      <c r="U83" s="121"/>
      <c r="V83" s="121"/>
      <c r="W83" s="121"/>
      <c r="X83" s="121"/>
      <c r="Y83" s="121"/>
      <c r="Z83" s="121"/>
      <c r="AA83" s="121"/>
      <c r="AB83" s="121"/>
      <c r="AC83" s="121"/>
      <c r="AD83" s="121"/>
      <c r="AE83" s="121"/>
      <c r="AF83" s="121"/>
      <c r="AG83" s="121"/>
      <c r="AH83" s="121"/>
      <c r="AI83" s="121"/>
      <c r="AJ83" s="121"/>
      <c r="AK83" s="121"/>
      <c r="AL83" s="121"/>
      <c r="AM83" s="121"/>
      <c r="AN83" s="121"/>
      <c r="AO83" s="121"/>
    </row>
    <row r="84" spans="3:41" x14ac:dyDescent="0.25">
      <c r="C84" s="121"/>
      <c r="D84" s="121"/>
      <c r="E84" s="121"/>
      <c r="F84" s="121"/>
      <c r="G84" s="121"/>
      <c r="H84" s="121"/>
      <c r="I84" s="121"/>
      <c r="J84" s="121"/>
      <c r="K84" s="121"/>
      <c r="L84" s="121"/>
      <c r="M84" s="121"/>
      <c r="N84" s="121"/>
      <c r="O84" s="121"/>
      <c r="P84" s="121"/>
      <c r="Q84" s="121"/>
      <c r="R84" s="121"/>
      <c r="S84" s="121"/>
      <c r="T84" s="121"/>
      <c r="U84" s="121"/>
      <c r="V84" s="121"/>
      <c r="W84" s="121"/>
      <c r="X84" s="121"/>
      <c r="Y84" s="121"/>
      <c r="Z84" s="121"/>
      <c r="AA84" s="121"/>
      <c r="AB84" s="121"/>
      <c r="AC84" s="121"/>
      <c r="AD84" s="121"/>
      <c r="AE84" s="121"/>
      <c r="AF84" s="121"/>
      <c r="AG84" s="121"/>
      <c r="AH84" s="121"/>
      <c r="AI84" s="121"/>
      <c r="AJ84" s="121"/>
      <c r="AK84" s="121"/>
      <c r="AL84" s="121"/>
      <c r="AM84" s="121"/>
      <c r="AN84" s="121"/>
      <c r="AO84" s="121"/>
    </row>
    <row r="85" spans="3:41" x14ac:dyDescent="0.25">
      <c r="C85" s="121"/>
      <c r="D85" s="121"/>
      <c r="E85" s="121"/>
      <c r="F85" s="121"/>
      <c r="G85" s="121"/>
      <c r="H85" s="121"/>
      <c r="I85" s="121"/>
      <c r="J85" s="121"/>
      <c r="K85" s="121"/>
      <c r="L85" s="121"/>
      <c r="M85" s="121"/>
      <c r="N85" s="121"/>
      <c r="O85" s="121"/>
      <c r="P85" s="121"/>
      <c r="Q85" s="121"/>
      <c r="R85" s="121"/>
      <c r="S85" s="121"/>
      <c r="T85" s="121"/>
      <c r="U85" s="121"/>
      <c r="V85" s="121"/>
      <c r="W85" s="121"/>
      <c r="X85" s="121"/>
      <c r="Y85" s="121"/>
      <c r="Z85" s="121"/>
      <c r="AA85" s="121"/>
      <c r="AB85" s="121"/>
      <c r="AC85" s="121"/>
      <c r="AD85" s="121"/>
      <c r="AE85" s="121"/>
      <c r="AF85" s="121"/>
      <c r="AG85" s="121"/>
      <c r="AH85" s="121"/>
      <c r="AI85" s="121"/>
      <c r="AJ85" s="121"/>
      <c r="AK85" s="121"/>
      <c r="AL85" s="121"/>
      <c r="AM85" s="121"/>
      <c r="AN85" s="121"/>
      <c r="AO85" s="121"/>
    </row>
    <row r="86" spans="3:41" x14ac:dyDescent="0.25">
      <c r="C86" s="121"/>
      <c r="D86" s="121"/>
      <c r="E86" s="121"/>
      <c r="F86" s="121"/>
      <c r="G86" s="121"/>
      <c r="H86" s="121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 s="121"/>
      <c r="Y86" s="121"/>
      <c r="Z86" s="121"/>
      <c r="AA86" s="121"/>
      <c r="AB86" s="121"/>
      <c r="AC86" s="121"/>
      <c r="AD86" s="121"/>
      <c r="AE86" s="121"/>
      <c r="AF86" s="121"/>
      <c r="AG86" s="121"/>
      <c r="AH86" s="121"/>
      <c r="AI86" s="121"/>
      <c r="AJ86" s="121"/>
      <c r="AK86" s="121"/>
      <c r="AL86" s="121"/>
      <c r="AM86" s="121"/>
      <c r="AN86" s="121"/>
      <c r="AO86" s="121"/>
    </row>
    <row r="87" spans="3:41" x14ac:dyDescent="0.25">
      <c r="C87" s="121"/>
      <c r="D87" s="121"/>
      <c r="E87" s="121"/>
      <c r="F87" s="121"/>
      <c r="G87" s="121"/>
      <c r="H87" s="121"/>
      <c r="I87" s="121"/>
      <c r="J87" s="121"/>
      <c r="K87" s="121"/>
      <c r="L87" s="121"/>
      <c r="M87" s="121"/>
      <c r="N87" s="121"/>
      <c r="O87" s="121"/>
      <c r="P87" s="121"/>
      <c r="Q87" s="121"/>
      <c r="R87" s="121"/>
      <c r="S87" s="121"/>
      <c r="T87" s="121"/>
      <c r="U87" s="121"/>
      <c r="V87" s="121"/>
      <c r="W87" s="121"/>
      <c r="X87" s="121"/>
      <c r="Y87" s="121"/>
      <c r="Z87" s="121"/>
      <c r="AA87" s="121"/>
      <c r="AB87" s="121"/>
      <c r="AC87" s="121"/>
      <c r="AD87" s="121"/>
      <c r="AE87" s="121"/>
      <c r="AF87" s="121"/>
      <c r="AG87" s="121"/>
      <c r="AH87" s="121"/>
      <c r="AI87" s="121"/>
      <c r="AJ87" s="121"/>
      <c r="AK87" s="121"/>
      <c r="AL87" s="121"/>
      <c r="AM87" s="121"/>
      <c r="AN87" s="121"/>
      <c r="AO87" s="121"/>
    </row>
    <row r="88" spans="3:41" x14ac:dyDescent="0.25">
      <c r="C88" s="121"/>
      <c r="D88" s="121"/>
      <c r="E88" s="121"/>
      <c r="F88" s="121"/>
      <c r="G88" s="121"/>
      <c r="H88" s="121"/>
      <c r="I88" s="121"/>
      <c r="J88" s="121"/>
      <c r="K88" s="121"/>
      <c r="L88" s="121"/>
      <c r="M88" s="121"/>
      <c r="N88" s="121"/>
      <c r="O88" s="121"/>
      <c r="P88" s="121"/>
      <c r="Q88" s="121"/>
      <c r="R88" s="121"/>
      <c r="S88" s="121"/>
      <c r="T88" s="121"/>
      <c r="U88" s="121"/>
      <c r="V88" s="121"/>
      <c r="W88" s="121"/>
      <c r="X88" s="121"/>
      <c r="Y88" s="121"/>
      <c r="Z88" s="121"/>
      <c r="AA88" s="121"/>
      <c r="AB88" s="121"/>
      <c r="AC88" s="121"/>
      <c r="AD88" s="121"/>
      <c r="AE88" s="121"/>
      <c r="AF88" s="121"/>
      <c r="AG88" s="121"/>
      <c r="AH88" s="121"/>
      <c r="AI88" s="121"/>
      <c r="AJ88" s="121"/>
      <c r="AK88" s="121"/>
      <c r="AL88" s="121"/>
      <c r="AM88" s="121"/>
      <c r="AN88" s="121"/>
      <c r="AO88" s="121"/>
    </row>
    <row r="89" spans="3:41" x14ac:dyDescent="0.25">
      <c r="Q89" s="121"/>
      <c r="R89" s="121"/>
      <c r="S89" s="121"/>
      <c r="T89" s="121"/>
      <c r="U89" s="121"/>
      <c r="V89" s="121"/>
      <c r="W89" s="121"/>
      <c r="X89" s="121"/>
      <c r="Y89" s="121"/>
      <c r="Z89" s="121"/>
      <c r="AA89" s="121"/>
      <c r="AB89" s="121"/>
      <c r="AC89" s="121"/>
      <c r="AD89" s="121"/>
      <c r="AE89" s="121"/>
      <c r="AF89" s="121"/>
      <c r="AG89" s="121"/>
      <c r="AH89" s="121"/>
      <c r="AI89" s="121"/>
      <c r="AJ89" s="121"/>
      <c r="AK89" s="121"/>
      <c r="AL89" s="121"/>
      <c r="AM89" s="121"/>
      <c r="AN89" s="121"/>
      <c r="AO89" s="121"/>
    </row>
    <row r="90" spans="3:41" x14ac:dyDescent="0.25">
      <c r="Q90" s="121"/>
      <c r="R90" s="121"/>
      <c r="S90" s="121"/>
      <c r="T90" s="121"/>
      <c r="U90" s="121"/>
      <c r="V90" s="121"/>
      <c r="W90" s="121"/>
      <c r="X90" s="121"/>
      <c r="Y90" s="121"/>
      <c r="Z90" s="121"/>
      <c r="AA90" s="121"/>
      <c r="AB90" s="121"/>
      <c r="AC90" s="121"/>
      <c r="AD90" s="121"/>
      <c r="AE90" s="121"/>
      <c r="AF90" s="121"/>
      <c r="AG90" s="121"/>
      <c r="AH90" s="121"/>
      <c r="AI90" s="121"/>
      <c r="AJ90" s="121"/>
      <c r="AK90" s="121"/>
      <c r="AL90" s="121"/>
      <c r="AM90" s="121"/>
      <c r="AN90" s="121"/>
      <c r="AO90" s="121"/>
    </row>
    <row r="91" spans="3:41" x14ac:dyDescent="0.25">
      <c r="Q91" s="121"/>
      <c r="R91" s="121"/>
      <c r="S91" s="121"/>
      <c r="T91" s="121"/>
      <c r="U91" s="121"/>
      <c r="V91" s="121"/>
      <c r="W91" s="121"/>
      <c r="X91" s="121"/>
      <c r="Y91" s="121"/>
      <c r="Z91" s="121"/>
      <c r="AA91" s="121"/>
      <c r="AB91" s="121"/>
      <c r="AC91" s="121"/>
      <c r="AD91" s="121"/>
      <c r="AE91" s="121"/>
      <c r="AF91" s="121"/>
      <c r="AG91" s="121"/>
      <c r="AH91" s="121"/>
      <c r="AI91" s="121"/>
      <c r="AJ91" s="121"/>
      <c r="AK91" s="121"/>
      <c r="AL91" s="121"/>
      <c r="AM91" s="121"/>
      <c r="AN91" s="121"/>
      <c r="AO91" s="121"/>
    </row>
    <row r="92" spans="3:41" x14ac:dyDescent="0.25">
      <c r="Q92" s="121"/>
      <c r="R92" s="121"/>
      <c r="S92" s="121"/>
      <c r="T92" s="121"/>
      <c r="U92" s="121"/>
      <c r="V92" s="121"/>
      <c r="W92" s="121"/>
      <c r="X92" s="121"/>
      <c r="Y92" s="121"/>
      <c r="Z92" s="121"/>
      <c r="AA92" s="121"/>
      <c r="AB92" s="121"/>
      <c r="AC92" s="121"/>
      <c r="AD92" s="121"/>
      <c r="AE92" s="121"/>
      <c r="AF92" s="121"/>
      <c r="AG92" s="121"/>
      <c r="AH92" s="121"/>
      <c r="AI92" s="121"/>
      <c r="AJ92" s="121"/>
      <c r="AK92" s="121"/>
      <c r="AL92" s="121"/>
      <c r="AM92" s="121"/>
      <c r="AN92" s="121"/>
      <c r="AO92" s="121"/>
    </row>
    <row r="93" spans="3:41" x14ac:dyDescent="0.25">
      <c r="Q93" s="121"/>
      <c r="R93" s="121"/>
      <c r="S93" s="121"/>
      <c r="T93" s="121"/>
      <c r="U93" s="121"/>
      <c r="V93" s="121"/>
      <c r="W93" s="121"/>
      <c r="X93" s="121"/>
      <c r="Y93" s="121"/>
      <c r="Z93" s="121"/>
      <c r="AA93" s="121"/>
      <c r="AB93" s="121"/>
      <c r="AC93" s="121"/>
      <c r="AD93" s="121"/>
      <c r="AE93" s="121"/>
      <c r="AF93" s="121"/>
      <c r="AG93" s="121"/>
      <c r="AH93" s="121"/>
      <c r="AI93" s="121"/>
      <c r="AJ93" s="121"/>
      <c r="AK93" s="121"/>
      <c r="AL93" s="121"/>
      <c r="AM93" s="121"/>
      <c r="AN93" s="121"/>
      <c r="AO93" s="121"/>
    </row>
    <row r="94" spans="3:41" x14ac:dyDescent="0.25">
      <c r="Q94" s="121"/>
      <c r="R94" s="121"/>
      <c r="S94" s="121"/>
      <c r="T94" s="121"/>
      <c r="U94" s="121"/>
      <c r="V94" s="121"/>
      <c r="W94" s="121"/>
      <c r="X94" s="121"/>
      <c r="Y94" s="121"/>
      <c r="Z94" s="121"/>
      <c r="AA94" s="121"/>
      <c r="AB94" s="121"/>
      <c r="AC94" s="121"/>
      <c r="AD94" s="121"/>
      <c r="AE94" s="121"/>
      <c r="AF94" s="121"/>
      <c r="AG94" s="121"/>
      <c r="AH94" s="121"/>
      <c r="AI94" s="121"/>
      <c r="AJ94" s="121"/>
      <c r="AK94" s="121"/>
      <c r="AL94" s="121"/>
      <c r="AM94" s="121"/>
      <c r="AN94" s="121"/>
      <c r="AO94" s="121"/>
    </row>
    <row r="95" spans="3:41" x14ac:dyDescent="0.25">
      <c r="Q95" s="121"/>
      <c r="R95" s="121"/>
      <c r="S95" s="121"/>
      <c r="T95" s="121"/>
      <c r="U95" s="121"/>
      <c r="V95" s="121"/>
      <c r="W95" s="121"/>
      <c r="X95" s="121"/>
      <c r="Y95" s="121"/>
      <c r="Z95" s="121"/>
      <c r="AA95" s="121"/>
      <c r="AB95" s="121"/>
      <c r="AC95" s="121"/>
      <c r="AD95" s="121"/>
      <c r="AE95" s="121"/>
      <c r="AF95" s="121"/>
      <c r="AG95" s="121"/>
      <c r="AH95" s="121"/>
      <c r="AI95" s="121"/>
      <c r="AJ95" s="121"/>
      <c r="AK95" s="121"/>
      <c r="AL95" s="121"/>
      <c r="AM95" s="121"/>
      <c r="AN95" s="121"/>
      <c r="AO95" s="121"/>
    </row>
    <row r="96" spans="3:41" x14ac:dyDescent="0.25">
      <c r="Q96" s="121"/>
      <c r="R96" s="121"/>
      <c r="S96" s="121"/>
      <c r="T96" s="121"/>
      <c r="U96" s="121"/>
      <c r="V96" s="121"/>
      <c r="W96" s="121"/>
      <c r="X96" s="121"/>
      <c r="Y96" s="121"/>
      <c r="Z96" s="121"/>
      <c r="AA96" s="121"/>
      <c r="AB96" s="121"/>
      <c r="AC96" s="121"/>
      <c r="AD96" s="121"/>
      <c r="AE96" s="121"/>
      <c r="AF96" s="121"/>
      <c r="AG96" s="121"/>
      <c r="AH96" s="121"/>
      <c r="AI96" s="121"/>
      <c r="AJ96" s="121"/>
      <c r="AK96" s="121"/>
      <c r="AL96" s="121"/>
      <c r="AM96" s="121"/>
      <c r="AN96" s="121"/>
      <c r="AO96" s="121"/>
    </row>
    <row r="97" spans="17:41" x14ac:dyDescent="0.25">
      <c r="Q97" s="121"/>
      <c r="R97" s="121"/>
      <c r="S97" s="121"/>
      <c r="T97" s="121"/>
      <c r="U97" s="121"/>
      <c r="V97" s="121"/>
      <c r="W97" s="121"/>
      <c r="X97" s="121"/>
      <c r="Y97" s="121"/>
      <c r="Z97" s="121"/>
      <c r="AA97" s="121"/>
      <c r="AB97" s="121"/>
      <c r="AC97" s="121"/>
      <c r="AD97" s="121"/>
      <c r="AE97" s="121"/>
      <c r="AF97" s="121"/>
      <c r="AG97" s="121"/>
      <c r="AH97" s="121"/>
      <c r="AI97" s="121"/>
      <c r="AJ97" s="121"/>
      <c r="AK97" s="121"/>
      <c r="AL97" s="121"/>
      <c r="AM97" s="121"/>
      <c r="AN97" s="121"/>
      <c r="AO97" s="121"/>
    </row>
    <row r="98" spans="17:41" x14ac:dyDescent="0.25">
      <c r="Q98" s="121"/>
      <c r="R98" s="121"/>
      <c r="S98" s="121"/>
      <c r="T98" s="121"/>
      <c r="U98" s="121"/>
      <c r="V98" s="121"/>
      <c r="W98" s="121"/>
      <c r="X98" s="121"/>
      <c r="Y98" s="121"/>
      <c r="Z98" s="121"/>
      <c r="AA98" s="121"/>
      <c r="AB98" s="121"/>
      <c r="AC98" s="121"/>
      <c r="AD98" s="121"/>
      <c r="AE98" s="121"/>
      <c r="AF98" s="121"/>
      <c r="AG98" s="121"/>
      <c r="AH98" s="121"/>
      <c r="AI98" s="121"/>
      <c r="AJ98" s="121"/>
      <c r="AK98" s="121"/>
      <c r="AL98" s="121"/>
      <c r="AM98" s="121"/>
      <c r="AN98" s="121"/>
      <c r="AO98" s="121"/>
    </row>
    <row r="99" spans="17:41" x14ac:dyDescent="0.25">
      <c r="Q99" s="121"/>
      <c r="R99" s="121"/>
      <c r="S99" s="121"/>
      <c r="T99" s="121"/>
      <c r="U99" s="121"/>
      <c r="V99" s="121"/>
      <c r="W99" s="121"/>
      <c r="X99" s="121"/>
      <c r="Y99" s="121"/>
      <c r="Z99" s="121"/>
      <c r="AA99" s="121"/>
      <c r="AB99" s="121"/>
      <c r="AC99" s="121"/>
      <c r="AD99" s="121"/>
      <c r="AE99" s="121"/>
      <c r="AF99" s="121"/>
      <c r="AG99" s="121"/>
      <c r="AH99" s="121"/>
      <c r="AI99" s="121"/>
      <c r="AJ99" s="121"/>
      <c r="AK99" s="121"/>
      <c r="AL99" s="121"/>
      <c r="AM99" s="121"/>
      <c r="AN99" s="121"/>
      <c r="AO99" s="121"/>
    </row>
    <row r="100" spans="17:41" x14ac:dyDescent="0.25">
      <c r="Q100" s="121"/>
      <c r="R100" s="121"/>
      <c r="S100" s="121"/>
      <c r="T100" s="121"/>
      <c r="U100" s="121"/>
      <c r="V100" s="121"/>
      <c r="W100" s="121"/>
      <c r="X100" s="121"/>
      <c r="Y100" s="121"/>
      <c r="Z100" s="121"/>
      <c r="AA100" s="121"/>
      <c r="AB100" s="121"/>
      <c r="AC100" s="121"/>
      <c r="AD100" s="121"/>
      <c r="AE100" s="121"/>
      <c r="AF100" s="121"/>
      <c r="AG100" s="121"/>
      <c r="AH100" s="121"/>
      <c r="AI100" s="121"/>
      <c r="AJ100" s="121"/>
      <c r="AK100" s="121"/>
      <c r="AL100" s="121"/>
      <c r="AM100" s="121"/>
      <c r="AN100" s="121"/>
      <c r="AO100" s="121"/>
    </row>
    <row r="101" spans="17:41" x14ac:dyDescent="0.25">
      <c r="Q101" s="121"/>
      <c r="R101" s="121"/>
      <c r="S101" s="121"/>
      <c r="T101" s="121"/>
      <c r="U101" s="121"/>
      <c r="V101" s="121"/>
      <c r="W101" s="121"/>
      <c r="X101" s="121"/>
      <c r="Y101" s="121"/>
      <c r="Z101" s="121"/>
      <c r="AA101" s="121"/>
      <c r="AB101" s="121"/>
      <c r="AC101" s="121"/>
      <c r="AD101" s="121"/>
      <c r="AE101" s="121"/>
      <c r="AF101" s="121"/>
      <c r="AG101" s="121"/>
      <c r="AH101" s="121"/>
      <c r="AI101" s="121"/>
      <c r="AJ101" s="121"/>
      <c r="AK101" s="121"/>
      <c r="AL101" s="121"/>
      <c r="AM101" s="121"/>
      <c r="AN101" s="121"/>
      <c r="AO101" s="121"/>
    </row>
    <row r="102" spans="17:41" x14ac:dyDescent="0.25">
      <c r="Q102" s="121"/>
      <c r="R102" s="121"/>
      <c r="S102" s="121"/>
      <c r="T102" s="121"/>
      <c r="U102" s="121"/>
      <c r="V102" s="121"/>
      <c r="W102" s="121"/>
      <c r="X102" s="121"/>
      <c r="Y102" s="121"/>
      <c r="Z102" s="121"/>
      <c r="AA102" s="121"/>
      <c r="AB102" s="121"/>
      <c r="AC102" s="121"/>
      <c r="AD102" s="121"/>
      <c r="AE102" s="121"/>
      <c r="AF102" s="121"/>
      <c r="AG102" s="121"/>
      <c r="AH102" s="121"/>
      <c r="AI102" s="121"/>
      <c r="AJ102" s="121"/>
      <c r="AK102" s="121"/>
      <c r="AL102" s="121"/>
      <c r="AM102" s="121"/>
      <c r="AN102" s="121"/>
      <c r="AO102" s="121"/>
    </row>
    <row r="103" spans="17:41" x14ac:dyDescent="0.25">
      <c r="Q103" s="121"/>
      <c r="R103" s="121"/>
      <c r="S103" s="121"/>
      <c r="T103" s="121"/>
      <c r="U103" s="121"/>
      <c r="V103" s="121"/>
      <c r="W103" s="121"/>
      <c r="X103" s="121"/>
      <c r="Y103" s="121"/>
      <c r="Z103" s="121"/>
      <c r="AA103" s="121"/>
      <c r="AB103" s="121"/>
      <c r="AC103" s="121"/>
      <c r="AD103" s="121"/>
      <c r="AE103" s="121"/>
      <c r="AF103" s="121"/>
      <c r="AG103" s="121"/>
      <c r="AH103" s="121"/>
      <c r="AI103" s="121"/>
      <c r="AJ103" s="121"/>
      <c r="AK103" s="121"/>
      <c r="AL103" s="121"/>
      <c r="AM103" s="121"/>
      <c r="AN103" s="121"/>
      <c r="AO103" s="121"/>
    </row>
    <row r="104" spans="17:41" x14ac:dyDescent="0.25">
      <c r="Q104" s="121"/>
      <c r="R104" s="121"/>
      <c r="S104" s="121"/>
      <c r="T104" s="121"/>
      <c r="U104" s="121"/>
      <c r="V104" s="121"/>
      <c r="W104" s="121"/>
      <c r="X104" s="121"/>
      <c r="Y104" s="121"/>
      <c r="Z104" s="121"/>
      <c r="AA104" s="121"/>
      <c r="AB104" s="121"/>
      <c r="AC104" s="121"/>
      <c r="AD104" s="121"/>
      <c r="AE104" s="121"/>
      <c r="AF104" s="121"/>
      <c r="AG104" s="121"/>
      <c r="AH104" s="121"/>
      <c r="AI104" s="121"/>
      <c r="AJ104" s="121"/>
      <c r="AK104" s="121"/>
      <c r="AL104" s="121"/>
      <c r="AM104" s="121"/>
      <c r="AN104" s="121"/>
      <c r="AO104" s="121"/>
    </row>
    <row r="105" spans="17:41" x14ac:dyDescent="0.25">
      <c r="Q105" s="121"/>
      <c r="R105" s="121"/>
      <c r="S105" s="121"/>
      <c r="T105" s="121"/>
      <c r="U105" s="121"/>
      <c r="V105" s="121"/>
      <c r="W105" s="121"/>
      <c r="X105" s="121"/>
      <c r="Y105" s="121"/>
      <c r="Z105" s="121"/>
      <c r="AA105" s="121"/>
      <c r="AB105" s="121"/>
      <c r="AC105" s="121"/>
      <c r="AD105" s="121"/>
      <c r="AE105" s="121"/>
      <c r="AF105" s="121"/>
      <c r="AG105" s="121"/>
      <c r="AH105" s="121"/>
      <c r="AI105" s="121"/>
      <c r="AJ105" s="121"/>
      <c r="AK105" s="121"/>
      <c r="AL105" s="121"/>
      <c r="AM105" s="121"/>
      <c r="AN105" s="121"/>
      <c r="AO105" s="121"/>
    </row>
    <row r="106" spans="17:41" x14ac:dyDescent="0.25">
      <c r="Q106" s="121"/>
      <c r="R106" s="121"/>
      <c r="S106" s="121"/>
      <c r="T106" s="121"/>
      <c r="U106" s="121"/>
      <c r="V106" s="121"/>
      <c r="W106" s="121"/>
      <c r="X106" s="121"/>
      <c r="Y106" s="121"/>
      <c r="Z106" s="121"/>
      <c r="AA106" s="121"/>
      <c r="AB106" s="121"/>
      <c r="AC106" s="121"/>
      <c r="AD106" s="121"/>
      <c r="AE106" s="121"/>
      <c r="AF106" s="121"/>
      <c r="AG106" s="121"/>
      <c r="AH106" s="121"/>
      <c r="AI106" s="121"/>
      <c r="AJ106" s="121"/>
      <c r="AK106" s="121"/>
      <c r="AL106" s="121"/>
      <c r="AM106" s="121"/>
      <c r="AN106" s="121"/>
      <c r="AO106" s="121"/>
    </row>
    <row r="107" spans="17:41" x14ac:dyDescent="0.25">
      <c r="Q107" s="121"/>
      <c r="R107" s="121"/>
      <c r="S107" s="121"/>
      <c r="T107" s="121"/>
      <c r="U107" s="121"/>
      <c r="V107" s="121"/>
      <c r="W107" s="121"/>
      <c r="X107" s="121"/>
      <c r="Y107" s="121"/>
      <c r="Z107" s="121"/>
      <c r="AA107" s="121"/>
      <c r="AB107" s="121"/>
      <c r="AC107" s="121"/>
      <c r="AD107" s="121"/>
      <c r="AE107" s="121"/>
      <c r="AF107" s="121"/>
      <c r="AG107" s="121"/>
      <c r="AH107" s="121"/>
      <c r="AI107" s="121"/>
      <c r="AJ107" s="121"/>
      <c r="AK107" s="121"/>
      <c r="AL107" s="121"/>
      <c r="AM107" s="121"/>
      <c r="AN107" s="121"/>
      <c r="AO107" s="121"/>
    </row>
    <row r="108" spans="17:41" x14ac:dyDescent="0.25">
      <c r="Q108" s="121"/>
      <c r="R108" s="121"/>
      <c r="S108" s="121"/>
      <c r="T108" s="121"/>
      <c r="U108" s="121"/>
      <c r="V108" s="121"/>
      <c r="W108" s="121"/>
      <c r="X108" s="121"/>
      <c r="Y108" s="121"/>
      <c r="Z108" s="121"/>
      <c r="AA108" s="121"/>
      <c r="AB108" s="121"/>
      <c r="AC108" s="121"/>
      <c r="AD108" s="121"/>
      <c r="AE108" s="121"/>
      <c r="AF108" s="121"/>
      <c r="AG108" s="121"/>
      <c r="AH108" s="121"/>
      <c r="AI108" s="121"/>
      <c r="AJ108" s="121"/>
      <c r="AK108" s="121"/>
      <c r="AL108" s="121"/>
      <c r="AM108" s="121"/>
      <c r="AN108" s="121"/>
      <c r="AO108" s="121"/>
    </row>
    <row r="109" spans="17:41" x14ac:dyDescent="0.25">
      <c r="Q109" s="121"/>
      <c r="R109" s="121"/>
      <c r="S109" s="121"/>
      <c r="T109" s="121"/>
      <c r="U109" s="121"/>
      <c r="V109" s="121"/>
      <c r="W109" s="121"/>
      <c r="X109" s="121"/>
      <c r="Y109" s="121"/>
      <c r="Z109" s="121"/>
      <c r="AA109" s="121"/>
      <c r="AB109" s="121"/>
      <c r="AC109" s="121"/>
      <c r="AD109" s="121"/>
      <c r="AE109" s="121"/>
      <c r="AF109" s="121"/>
      <c r="AG109" s="121"/>
      <c r="AH109" s="121"/>
      <c r="AI109" s="121"/>
      <c r="AJ109" s="121"/>
      <c r="AK109" s="121"/>
      <c r="AL109" s="121"/>
      <c r="AM109" s="121"/>
      <c r="AN109" s="121"/>
      <c r="AO109" s="121"/>
    </row>
    <row r="110" spans="17:41" x14ac:dyDescent="0.25">
      <c r="Q110" s="121"/>
      <c r="R110" s="121"/>
      <c r="S110" s="121"/>
      <c r="T110" s="121"/>
      <c r="U110" s="121"/>
      <c r="V110" s="121"/>
      <c r="W110" s="121"/>
      <c r="X110" s="121"/>
      <c r="Y110" s="121"/>
      <c r="Z110" s="121"/>
      <c r="AA110" s="121"/>
      <c r="AB110" s="121"/>
      <c r="AC110" s="121"/>
      <c r="AD110" s="121"/>
      <c r="AE110" s="121"/>
      <c r="AF110" s="121"/>
      <c r="AG110" s="121"/>
      <c r="AH110" s="121"/>
      <c r="AI110" s="121"/>
      <c r="AJ110" s="121"/>
      <c r="AK110" s="121"/>
      <c r="AL110" s="121"/>
      <c r="AM110" s="121"/>
      <c r="AN110" s="121"/>
      <c r="AO110" s="121"/>
    </row>
    <row r="111" spans="17:41" x14ac:dyDescent="0.25">
      <c r="Q111" s="121"/>
      <c r="R111" s="121"/>
      <c r="S111" s="121"/>
      <c r="T111" s="121"/>
      <c r="U111" s="121"/>
      <c r="V111" s="121"/>
      <c r="W111" s="121"/>
      <c r="X111" s="121"/>
      <c r="Y111" s="121"/>
      <c r="Z111" s="121"/>
      <c r="AA111" s="121"/>
      <c r="AB111" s="121"/>
      <c r="AC111" s="121"/>
      <c r="AD111" s="121"/>
      <c r="AE111" s="121"/>
      <c r="AF111" s="121"/>
      <c r="AG111" s="121"/>
      <c r="AH111" s="121"/>
      <c r="AI111" s="121"/>
      <c r="AJ111" s="121"/>
      <c r="AK111" s="121"/>
      <c r="AL111" s="121"/>
      <c r="AM111" s="121"/>
      <c r="AN111" s="121"/>
      <c r="AO111" s="121"/>
    </row>
    <row r="112" spans="17:41" x14ac:dyDescent="0.25">
      <c r="Q112" s="121"/>
      <c r="R112" s="121"/>
      <c r="S112" s="121"/>
      <c r="T112" s="121"/>
      <c r="U112" s="121"/>
      <c r="V112" s="121"/>
      <c r="W112" s="121"/>
      <c r="X112" s="121"/>
      <c r="Y112" s="121"/>
      <c r="Z112" s="121"/>
      <c r="AA112" s="121"/>
      <c r="AB112" s="121"/>
      <c r="AC112" s="121"/>
      <c r="AD112" s="121"/>
      <c r="AE112" s="121"/>
      <c r="AF112" s="121"/>
      <c r="AG112" s="121"/>
      <c r="AH112" s="121"/>
      <c r="AI112" s="121"/>
      <c r="AJ112" s="121"/>
      <c r="AK112" s="121"/>
      <c r="AL112" s="121"/>
      <c r="AM112" s="121"/>
      <c r="AN112" s="121"/>
      <c r="AO112" s="121"/>
    </row>
    <row r="113" spans="17:41" x14ac:dyDescent="0.25">
      <c r="Q113" s="121"/>
      <c r="R113" s="121"/>
      <c r="S113" s="121"/>
      <c r="T113" s="121"/>
      <c r="U113" s="121"/>
      <c r="V113" s="121"/>
      <c r="W113" s="121"/>
      <c r="X113" s="121"/>
      <c r="Y113" s="121"/>
      <c r="Z113" s="121"/>
      <c r="AA113" s="121"/>
      <c r="AB113" s="121"/>
      <c r="AC113" s="121"/>
      <c r="AD113" s="121"/>
      <c r="AE113" s="121"/>
      <c r="AF113" s="121"/>
      <c r="AG113" s="121"/>
      <c r="AH113" s="121"/>
      <c r="AI113" s="121"/>
      <c r="AJ113" s="121"/>
      <c r="AK113" s="121"/>
      <c r="AL113" s="121"/>
      <c r="AM113" s="121"/>
      <c r="AN113" s="121"/>
      <c r="AO113" s="121"/>
    </row>
    <row r="114" spans="17:41" x14ac:dyDescent="0.25">
      <c r="Q114" s="121"/>
      <c r="R114" s="121"/>
      <c r="S114" s="121"/>
      <c r="T114" s="121"/>
      <c r="U114" s="121"/>
      <c r="V114" s="121"/>
      <c r="W114" s="121"/>
      <c r="X114" s="121"/>
      <c r="Y114" s="121"/>
      <c r="Z114" s="121"/>
      <c r="AA114" s="121"/>
      <c r="AB114" s="121"/>
      <c r="AC114" s="121"/>
      <c r="AD114" s="121"/>
      <c r="AE114" s="121"/>
      <c r="AF114" s="121"/>
      <c r="AG114" s="121"/>
      <c r="AH114" s="121"/>
      <c r="AI114" s="121"/>
      <c r="AJ114" s="121"/>
      <c r="AK114" s="121"/>
      <c r="AL114" s="121"/>
      <c r="AM114" s="121"/>
      <c r="AN114" s="121"/>
      <c r="AO114" s="121"/>
    </row>
    <row r="115" spans="17:41" x14ac:dyDescent="0.25">
      <c r="Q115" s="121"/>
      <c r="R115" s="121"/>
      <c r="S115" s="121"/>
      <c r="T115" s="121"/>
      <c r="U115" s="121"/>
      <c r="V115" s="121"/>
      <c r="W115" s="121"/>
      <c r="X115" s="121"/>
      <c r="Y115" s="121"/>
      <c r="Z115" s="121"/>
      <c r="AA115" s="121"/>
      <c r="AB115" s="121"/>
      <c r="AC115" s="121"/>
      <c r="AD115" s="121"/>
      <c r="AE115" s="121"/>
      <c r="AF115" s="121"/>
      <c r="AG115" s="121"/>
      <c r="AH115" s="121"/>
      <c r="AI115" s="121"/>
      <c r="AJ115" s="121"/>
      <c r="AK115" s="121"/>
      <c r="AL115" s="121"/>
      <c r="AM115" s="121"/>
      <c r="AN115" s="121"/>
      <c r="AO115" s="121"/>
    </row>
    <row r="116" spans="17:41" x14ac:dyDescent="0.25">
      <c r="Q116" s="121"/>
      <c r="R116" s="121"/>
      <c r="S116" s="121"/>
      <c r="T116" s="121"/>
      <c r="U116" s="121"/>
      <c r="V116" s="121"/>
      <c r="W116" s="121"/>
      <c r="X116" s="121"/>
      <c r="Y116" s="121"/>
      <c r="Z116" s="121"/>
      <c r="AA116" s="121"/>
      <c r="AB116" s="121"/>
      <c r="AC116" s="121"/>
      <c r="AD116" s="121"/>
      <c r="AE116" s="121"/>
      <c r="AF116" s="121"/>
      <c r="AG116" s="121"/>
      <c r="AH116" s="121"/>
      <c r="AI116" s="121"/>
      <c r="AJ116" s="121"/>
      <c r="AK116" s="121"/>
      <c r="AL116" s="121"/>
      <c r="AM116" s="121"/>
      <c r="AN116" s="121"/>
      <c r="AO116" s="121"/>
    </row>
    <row r="117" spans="17:41" x14ac:dyDescent="0.25">
      <c r="Q117" s="121"/>
      <c r="R117" s="121"/>
      <c r="S117" s="121"/>
      <c r="T117" s="121"/>
      <c r="U117" s="121"/>
      <c r="V117" s="121"/>
      <c r="W117" s="121"/>
      <c r="X117" s="121"/>
      <c r="Y117" s="121"/>
      <c r="Z117" s="121"/>
      <c r="AA117" s="121"/>
      <c r="AB117" s="121"/>
      <c r="AC117" s="121"/>
      <c r="AD117" s="121"/>
      <c r="AE117" s="121"/>
      <c r="AF117" s="121"/>
      <c r="AG117" s="121"/>
      <c r="AH117" s="121"/>
      <c r="AI117" s="121"/>
      <c r="AJ117" s="121"/>
      <c r="AK117" s="121"/>
      <c r="AL117" s="121"/>
      <c r="AM117" s="121"/>
      <c r="AN117" s="121"/>
      <c r="AO117" s="121"/>
    </row>
    <row r="118" spans="17:41" x14ac:dyDescent="0.25">
      <c r="Q118" s="121"/>
      <c r="R118" s="121"/>
      <c r="S118" s="121"/>
      <c r="T118" s="121"/>
      <c r="U118" s="121"/>
      <c r="V118" s="121"/>
      <c r="W118" s="121"/>
      <c r="X118" s="121"/>
      <c r="Y118" s="121"/>
      <c r="Z118" s="121"/>
      <c r="AA118" s="121"/>
      <c r="AB118" s="121"/>
      <c r="AC118" s="121"/>
      <c r="AD118" s="121"/>
      <c r="AE118" s="121"/>
      <c r="AF118" s="121"/>
      <c r="AG118" s="121"/>
      <c r="AH118" s="121"/>
      <c r="AI118" s="121"/>
      <c r="AJ118" s="121"/>
      <c r="AK118" s="121"/>
      <c r="AL118" s="121"/>
      <c r="AM118" s="121"/>
      <c r="AN118" s="121"/>
      <c r="AO118" s="121"/>
    </row>
    <row r="119" spans="17:41" x14ac:dyDescent="0.25">
      <c r="Q119" s="121"/>
      <c r="R119" s="121"/>
      <c r="S119" s="121"/>
      <c r="T119" s="121"/>
      <c r="U119" s="121"/>
      <c r="V119" s="121"/>
      <c r="W119" s="121"/>
      <c r="X119" s="121"/>
      <c r="Y119" s="121"/>
      <c r="Z119" s="121"/>
      <c r="AA119" s="121"/>
      <c r="AB119" s="121"/>
      <c r="AC119" s="121"/>
      <c r="AD119" s="121"/>
      <c r="AE119" s="121"/>
      <c r="AF119" s="121"/>
      <c r="AG119" s="121"/>
      <c r="AH119" s="121"/>
      <c r="AI119" s="121"/>
      <c r="AJ119" s="121"/>
      <c r="AK119" s="121"/>
      <c r="AL119" s="121"/>
      <c r="AM119" s="121"/>
      <c r="AN119" s="121"/>
      <c r="AO119" s="121"/>
    </row>
    <row r="120" spans="17:41" x14ac:dyDescent="0.25">
      <c r="Q120" s="121"/>
      <c r="R120" s="121"/>
      <c r="S120" s="121"/>
      <c r="T120" s="121"/>
      <c r="U120" s="121"/>
      <c r="V120" s="121"/>
      <c r="W120" s="121"/>
      <c r="X120" s="121"/>
      <c r="Y120" s="121"/>
      <c r="Z120" s="121"/>
      <c r="AA120" s="121"/>
      <c r="AB120" s="121"/>
      <c r="AC120" s="121"/>
      <c r="AD120" s="121"/>
      <c r="AE120" s="121"/>
      <c r="AF120" s="121"/>
      <c r="AG120" s="121"/>
      <c r="AH120" s="121"/>
      <c r="AI120" s="121"/>
      <c r="AJ120" s="121"/>
      <c r="AK120" s="121"/>
      <c r="AL120" s="121"/>
      <c r="AM120" s="121"/>
      <c r="AN120" s="121"/>
      <c r="AO120" s="121"/>
    </row>
    <row r="121" spans="17:41" x14ac:dyDescent="0.25">
      <c r="Q121" s="121"/>
      <c r="R121" s="121"/>
      <c r="S121" s="121"/>
      <c r="T121" s="121"/>
      <c r="U121" s="121"/>
      <c r="V121" s="121"/>
      <c r="W121" s="121"/>
      <c r="X121" s="121"/>
      <c r="Y121" s="121"/>
      <c r="Z121" s="121"/>
      <c r="AA121" s="121"/>
      <c r="AB121" s="121"/>
      <c r="AC121" s="121"/>
      <c r="AD121" s="121"/>
      <c r="AE121" s="121"/>
      <c r="AF121" s="121"/>
      <c r="AG121" s="121"/>
      <c r="AH121" s="121"/>
      <c r="AI121" s="121"/>
      <c r="AJ121" s="121"/>
      <c r="AK121" s="121"/>
      <c r="AL121" s="121"/>
      <c r="AM121" s="121"/>
      <c r="AN121" s="121"/>
      <c r="AO121" s="121"/>
    </row>
    <row r="122" spans="17:41" x14ac:dyDescent="0.25">
      <c r="Q122" s="121"/>
      <c r="R122" s="121"/>
      <c r="S122" s="121"/>
      <c r="T122" s="121"/>
      <c r="U122" s="121"/>
      <c r="V122" s="121"/>
      <c r="W122" s="121"/>
      <c r="X122" s="121"/>
      <c r="Y122" s="121"/>
      <c r="Z122" s="121"/>
      <c r="AA122" s="121"/>
      <c r="AB122" s="121"/>
      <c r="AC122" s="121"/>
      <c r="AD122" s="121"/>
      <c r="AE122" s="121"/>
      <c r="AF122" s="121"/>
      <c r="AG122" s="121"/>
      <c r="AH122" s="121"/>
      <c r="AI122" s="121"/>
      <c r="AJ122" s="121"/>
      <c r="AK122" s="121"/>
      <c r="AL122" s="121"/>
      <c r="AM122" s="121"/>
      <c r="AN122" s="121"/>
      <c r="AO122" s="121"/>
    </row>
    <row r="123" spans="17:41" x14ac:dyDescent="0.25">
      <c r="Q123" s="121"/>
      <c r="R123" s="121"/>
      <c r="S123" s="121"/>
      <c r="T123" s="121"/>
      <c r="U123" s="121"/>
      <c r="V123" s="121"/>
      <c r="W123" s="121"/>
      <c r="X123" s="121"/>
      <c r="Y123" s="121"/>
      <c r="Z123" s="121"/>
      <c r="AA123" s="121"/>
      <c r="AB123" s="121"/>
      <c r="AC123" s="121"/>
      <c r="AD123" s="121"/>
      <c r="AE123" s="121"/>
      <c r="AF123" s="121"/>
      <c r="AG123" s="121"/>
      <c r="AH123" s="121"/>
      <c r="AI123" s="121"/>
      <c r="AJ123" s="121"/>
      <c r="AK123" s="121"/>
      <c r="AL123" s="121"/>
      <c r="AM123" s="121"/>
      <c r="AN123" s="121"/>
      <c r="AO123" s="121"/>
    </row>
    <row r="124" spans="17:41" x14ac:dyDescent="0.25">
      <c r="Q124" s="121"/>
      <c r="R124" s="121"/>
      <c r="S124" s="121"/>
      <c r="T124" s="121"/>
      <c r="U124" s="121"/>
      <c r="V124" s="121"/>
      <c r="W124" s="121"/>
      <c r="X124" s="121"/>
      <c r="Y124" s="121"/>
      <c r="Z124" s="121"/>
      <c r="AA124" s="121"/>
      <c r="AB124" s="121"/>
      <c r="AC124" s="121"/>
      <c r="AD124" s="121"/>
      <c r="AE124" s="121"/>
      <c r="AF124" s="121"/>
      <c r="AG124" s="121"/>
      <c r="AH124" s="121"/>
      <c r="AI124" s="121"/>
      <c r="AJ124" s="121"/>
      <c r="AK124" s="121"/>
      <c r="AL124" s="121"/>
      <c r="AM124" s="121"/>
      <c r="AN124" s="121"/>
      <c r="AO124" s="121"/>
    </row>
    <row r="125" spans="17:41" x14ac:dyDescent="0.25">
      <c r="Q125" s="121"/>
      <c r="R125" s="121"/>
      <c r="S125" s="121"/>
      <c r="T125" s="121"/>
      <c r="U125" s="121"/>
      <c r="V125" s="121"/>
      <c r="W125" s="121"/>
      <c r="X125" s="121"/>
      <c r="Y125" s="121"/>
      <c r="Z125" s="121"/>
      <c r="AA125" s="121"/>
      <c r="AB125" s="121"/>
      <c r="AC125" s="121"/>
      <c r="AD125" s="121"/>
      <c r="AE125" s="121"/>
      <c r="AF125" s="121"/>
      <c r="AG125" s="121"/>
      <c r="AH125" s="121"/>
      <c r="AI125" s="121"/>
      <c r="AJ125" s="121"/>
      <c r="AK125" s="121"/>
      <c r="AL125" s="121"/>
      <c r="AM125" s="121"/>
      <c r="AN125" s="121"/>
      <c r="AO125" s="121"/>
    </row>
    <row r="126" spans="17:41" x14ac:dyDescent="0.25">
      <c r="Q126" s="121"/>
      <c r="R126" s="121"/>
      <c r="S126" s="121"/>
      <c r="T126" s="121"/>
      <c r="U126" s="121"/>
      <c r="V126" s="121"/>
      <c r="W126" s="121"/>
      <c r="X126" s="121"/>
      <c r="Y126" s="121"/>
      <c r="Z126" s="121"/>
      <c r="AA126" s="121"/>
      <c r="AB126" s="121"/>
      <c r="AC126" s="121"/>
      <c r="AD126" s="121"/>
      <c r="AE126" s="121"/>
      <c r="AF126" s="121"/>
      <c r="AG126" s="121"/>
      <c r="AH126" s="121"/>
      <c r="AI126" s="121"/>
      <c r="AJ126" s="121"/>
      <c r="AK126" s="121"/>
      <c r="AL126" s="121"/>
      <c r="AM126" s="121"/>
      <c r="AN126" s="121"/>
      <c r="AO126" s="121"/>
    </row>
    <row r="127" spans="17:41" x14ac:dyDescent="0.25">
      <c r="Q127" s="121"/>
      <c r="R127" s="121"/>
      <c r="S127" s="121"/>
      <c r="T127" s="121"/>
      <c r="U127" s="121"/>
      <c r="V127" s="121"/>
      <c r="W127" s="121"/>
      <c r="X127" s="121"/>
      <c r="Y127" s="121"/>
      <c r="Z127" s="121"/>
      <c r="AA127" s="121"/>
      <c r="AB127" s="121"/>
      <c r="AC127" s="121"/>
      <c r="AD127" s="121"/>
      <c r="AE127" s="121"/>
      <c r="AF127" s="121"/>
      <c r="AG127" s="121"/>
      <c r="AH127" s="121"/>
      <c r="AI127" s="121"/>
      <c r="AJ127" s="121"/>
      <c r="AK127" s="121"/>
      <c r="AL127" s="121"/>
      <c r="AM127" s="121"/>
      <c r="AN127" s="121"/>
      <c r="AO127" s="121"/>
    </row>
    <row r="128" spans="17:41" x14ac:dyDescent="0.25">
      <c r="Q128" s="121"/>
      <c r="R128" s="121"/>
      <c r="S128" s="121"/>
      <c r="T128" s="121"/>
      <c r="U128" s="121"/>
      <c r="V128" s="121"/>
      <c r="W128" s="121"/>
      <c r="X128" s="121"/>
      <c r="Y128" s="121"/>
      <c r="Z128" s="121"/>
      <c r="AA128" s="121"/>
      <c r="AB128" s="121"/>
      <c r="AC128" s="121"/>
      <c r="AD128" s="121"/>
      <c r="AE128" s="121"/>
      <c r="AF128" s="121"/>
      <c r="AG128" s="121"/>
      <c r="AH128" s="121"/>
      <c r="AI128" s="121"/>
      <c r="AJ128" s="121"/>
      <c r="AK128" s="121"/>
      <c r="AL128" s="121"/>
      <c r="AM128" s="121"/>
      <c r="AN128" s="121"/>
      <c r="AO128" s="121"/>
    </row>
    <row r="129" spans="17:41" x14ac:dyDescent="0.25">
      <c r="Q129" s="121"/>
      <c r="R129" s="121"/>
      <c r="S129" s="121"/>
      <c r="T129" s="121"/>
      <c r="U129" s="121"/>
      <c r="V129" s="121"/>
      <c r="W129" s="121"/>
      <c r="X129" s="121"/>
      <c r="Y129" s="121"/>
      <c r="Z129" s="121"/>
      <c r="AA129" s="121"/>
      <c r="AB129" s="121"/>
      <c r="AC129" s="121"/>
      <c r="AD129" s="121"/>
      <c r="AE129" s="121"/>
      <c r="AF129" s="121"/>
      <c r="AG129" s="121"/>
      <c r="AH129" s="121"/>
      <c r="AI129" s="121"/>
      <c r="AJ129" s="121"/>
      <c r="AK129" s="121"/>
      <c r="AL129" s="121"/>
      <c r="AM129" s="121"/>
      <c r="AN129" s="121"/>
      <c r="AO129" s="121"/>
    </row>
    <row r="130" spans="17:41" x14ac:dyDescent="0.25">
      <c r="Q130" s="121"/>
      <c r="R130" s="121"/>
      <c r="S130" s="121"/>
      <c r="T130" s="121"/>
      <c r="U130" s="121"/>
      <c r="V130" s="121"/>
      <c r="W130" s="121"/>
      <c r="X130" s="121"/>
      <c r="Y130" s="121"/>
      <c r="Z130" s="121"/>
      <c r="AA130" s="121"/>
      <c r="AB130" s="121"/>
      <c r="AC130" s="121"/>
      <c r="AD130" s="121"/>
      <c r="AE130" s="121"/>
      <c r="AF130" s="121"/>
      <c r="AG130" s="121"/>
      <c r="AH130" s="121"/>
      <c r="AI130" s="121"/>
      <c r="AJ130" s="121"/>
      <c r="AK130" s="121"/>
      <c r="AL130" s="121"/>
      <c r="AM130" s="121"/>
      <c r="AN130" s="121"/>
      <c r="AO130" s="121"/>
    </row>
    <row r="131" spans="17:41" x14ac:dyDescent="0.25">
      <c r="Q131" s="121"/>
      <c r="R131" s="121"/>
      <c r="S131" s="121"/>
      <c r="T131" s="121"/>
      <c r="U131" s="121"/>
      <c r="V131" s="121"/>
      <c r="W131" s="121"/>
      <c r="X131" s="121"/>
      <c r="Y131" s="121"/>
      <c r="Z131" s="121"/>
      <c r="AA131" s="121"/>
      <c r="AB131" s="121"/>
      <c r="AC131" s="121"/>
      <c r="AD131" s="121"/>
      <c r="AE131" s="121"/>
      <c r="AF131" s="121"/>
      <c r="AG131" s="121"/>
      <c r="AH131" s="121"/>
      <c r="AI131" s="121"/>
      <c r="AJ131" s="121"/>
      <c r="AK131" s="121"/>
      <c r="AL131" s="121"/>
      <c r="AM131" s="121"/>
      <c r="AN131" s="121"/>
      <c r="AO131" s="121"/>
    </row>
    <row r="132" spans="17:41" x14ac:dyDescent="0.25">
      <c r="Q132" s="121"/>
      <c r="R132" s="121"/>
      <c r="S132" s="121"/>
      <c r="T132" s="121"/>
      <c r="U132" s="121"/>
      <c r="V132" s="121"/>
      <c r="W132" s="121"/>
      <c r="X132" s="121"/>
      <c r="Y132" s="121"/>
      <c r="Z132" s="121"/>
      <c r="AA132" s="121"/>
      <c r="AB132" s="121"/>
      <c r="AC132" s="121"/>
      <c r="AD132" s="121"/>
      <c r="AE132" s="121"/>
      <c r="AF132" s="121"/>
      <c r="AG132" s="121"/>
      <c r="AH132" s="121"/>
      <c r="AI132" s="121"/>
      <c r="AJ132" s="121"/>
      <c r="AK132" s="121"/>
      <c r="AL132" s="121"/>
      <c r="AM132" s="121"/>
      <c r="AN132" s="121"/>
      <c r="AO132" s="121"/>
    </row>
    <row r="133" spans="17:41" x14ac:dyDescent="0.25">
      <c r="Q133" s="121"/>
      <c r="R133" s="121"/>
      <c r="S133" s="121"/>
      <c r="T133" s="121"/>
      <c r="U133" s="121"/>
      <c r="V133" s="121"/>
      <c r="W133" s="121"/>
      <c r="X133" s="121"/>
      <c r="Y133" s="121"/>
      <c r="Z133" s="121"/>
      <c r="AA133" s="121"/>
      <c r="AB133" s="121"/>
      <c r="AC133" s="121"/>
      <c r="AD133" s="121"/>
      <c r="AE133" s="121"/>
      <c r="AF133" s="121"/>
      <c r="AG133" s="121"/>
      <c r="AH133" s="121"/>
      <c r="AI133" s="121"/>
      <c r="AJ133" s="121"/>
      <c r="AK133" s="121"/>
      <c r="AL133" s="121"/>
      <c r="AM133" s="121"/>
      <c r="AN133" s="121"/>
      <c r="AO133" s="121"/>
    </row>
    <row r="134" spans="17:41" x14ac:dyDescent="0.25">
      <c r="Q134" s="121"/>
      <c r="R134" s="121"/>
      <c r="S134" s="121"/>
      <c r="T134" s="121"/>
      <c r="U134" s="121"/>
      <c r="V134" s="121"/>
      <c r="W134" s="121"/>
      <c r="X134" s="121"/>
      <c r="Y134" s="121"/>
      <c r="Z134" s="121"/>
      <c r="AA134" s="121"/>
      <c r="AB134" s="121"/>
      <c r="AC134" s="121"/>
      <c r="AD134" s="121"/>
      <c r="AE134" s="121"/>
      <c r="AF134" s="121"/>
      <c r="AG134" s="121"/>
      <c r="AH134" s="121"/>
      <c r="AI134" s="121"/>
      <c r="AJ134" s="121"/>
      <c r="AK134" s="121"/>
      <c r="AL134" s="121"/>
      <c r="AM134" s="121"/>
      <c r="AN134" s="121"/>
      <c r="AO134" s="121"/>
    </row>
    <row r="135" spans="17:41" x14ac:dyDescent="0.25">
      <c r="Q135" s="121"/>
      <c r="R135" s="121"/>
      <c r="S135" s="121"/>
      <c r="T135" s="121"/>
      <c r="U135" s="121"/>
      <c r="V135" s="121"/>
      <c r="W135" s="121"/>
      <c r="X135" s="121"/>
      <c r="Y135" s="121"/>
      <c r="Z135" s="121"/>
      <c r="AA135" s="121"/>
      <c r="AB135" s="121"/>
      <c r="AC135" s="121"/>
      <c r="AD135" s="121"/>
      <c r="AE135" s="121"/>
      <c r="AF135" s="121"/>
      <c r="AG135" s="121"/>
      <c r="AH135" s="121"/>
      <c r="AI135" s="121"/>
      <c r="AJ135" s="121"/>
      <c r="AK135" s="121"/>
      <c r="AL135" s="121"/>
      <c r="AM135" s="121"/>
      <c r="AN135" s="121"/>
      <c r="AO135" s="121"/>
    </row>
    <row r="136" spans="17:41" x14ac:dyDescent="0.25">
      <c r="Q136" s="121"/>
      <c r="R136" s="121"/>
      <c r="S136" s="121"/>
      <c r="T136" s="121"/>
      <c r="U136" s="121"/>
      <c r="V136" s="121"/>
      <c r="W136" s="121"/>
      <c r="X136" s="121"/>
      <c r="Y136" s="121"/>
      <c r="Z136" s="121"/>
      <c r="AA136" s="121"/>
      <c r="AB136" s="121"/>
      <c r="AC136" s="121"/>
      <c r="AD136" s="121"/>
      <c r="AE136" s="121"/>
      <c r="AF136" s="121"/>
      <c r="AG136" s="121"/>
      <c r="AH136" s="121"/>
      <c r="AI136" s="121"/>
      <c r="AJ136" s="121"/>
      <c r="AK136" s="121"/>
      <c r="AL136" s="121"/>
      <c r="AM136" s="121"/>
      <c r="AN136" s="121"/>
      <c r="AO136" s="121"/>
    </row>
    <row r="137" spans="17:41" x14ac:dyDescent="0.25">
      <c r="Q137" s="121"/>
      <c r="R137" s="121"/>
      <c r="S137" s="121"/>
      <c r="T137" s="121"/>
      <c r="U137" s="121"/>
      <c r="V137" s="121"/>
      <c r="W137" s="121"/>
      <c r="X137" s="121"/>
      <c r="Y137" s="121"/>
      <c r="Z137" s="121"/>
      <c r="AA137" s="121"/>
      <c r="AB137" s="121"/>
      <c r="AC137" s="121"/>
      <c r="AD137" s="121"/>
      <c r="AE137" s="121"/>
      <c r="AF137" s="121"/>
      <c r="AG137" s="121"/>
      <c r="AH137" s="121"/>
      <c r="AI137" s="121"/>
      <c r="AJ137" s="121"/>
      <c r="AK137" s="121"/>
      <c r="AL137" s="121"/>
      <c r="AM137" s="121"/>
      <c r="AN137" s="121"/>
      <c r="AO137" s="121"/>
    </row>
    <row r="138" spans="17:41" x14ac:dyDescent="0.25">
      <c r="Q138" s="121"/>
      <c r="R138" s="121"/>
      <c r="S138" s="121"/>
      <c r="T138" s="121"/>
      <c r="U138" s="121"/>
      <c r="V138" s="121"/>
      <c r="W138" s="121"/>
      <c r="X138" s="121"/>
      <c r="Y138" s="121"/>
      <c r="Z138" s="121"/>
      <c r="AA138" s="121"/>
      <c r="AB138" s="121"/>
      <c r="AC138" s="121"/>
      <c r="AD138" s="121"/>
      <c r="AE138" s="121"/>
      <c r="AF138" s="121"/>
      <c r="AG138" s="121"/>
      <c r="AH138" s="121"/>
      <c r="AI138" s="121"/>
      <c r="AJ138" s="121"/>
      <c r="AK138" s="121"/>
      <c r="AL138" s="121"/>
      <c r="AM138" s="121"/>
      <c r="AN138" s="121"/>
      <c r="AO138" s="121"/>
    </row>
    <row r="139" spans="17:41" x14ac:dyDescent="0.25">
      <c r="Q139" s="121"/>
      <c r="R139" s="121"/>
      <c r="S139" s="121"/>
      <c r="T139" s="121"/>
      <c r="U139" s="121"/>
      <c r="V139" s="121"/>
      <c r="W139" s="121"/>
      <c r="X139" s="121"/>
      <c r="Y139" s="121"/>
      <c r="Z139" s="121"/>
      <c r="AA139" s="121"/>
      <c r="AB139" s="121"/>
      <c r="AC139" s="121"/>
      <c r="AD139" s="121"/>
      <c r="AE139" s="121"/>
      <c r="AF139" s="121"/>
      <c r="AG139" s="121"/>
      <c r="AH139" s="121"/>
      <c r="AI139" s="121"/>
      <c r="AJ139" s="121"/>
      <c r="AK139" s="121"/>
      <c r="AL139" s="121"/>
      <c r="AM139" s="121"/>
      <c r="AN139" s="121"/>
      <c r="AO139" s="121"/>
    </row>
    <row r="140" spans="17:41" x14ac:dyDescent="0.25">
      <c r="Q140" s="121"/>
      <c r="R140" s="121"/>
      <c r="S140" s="121"/>
      <c r="T140" s="121"/>
      <c r="U140" s="121"/>
      <c r="V140" s="121"/>
      <c r="W140" s="121"/>
      <c r="X140" s="121"/>
      <c r="Y140" s="121"/>
      <c r="Z140" s="121"/>
      <c r="AA140" s="121"/>
      <c r="AB140" s="121"/>
      <c r="AC140" s="121"/>
      <c r="AD140" s="121"/>
      <c r="AE140" s="121"/>
      <c r="AF140" s="121"/>
      <c r="AG140" s="121"/>
      <c r="AH140" s="121"/>
      <c r="AI140" s="121"/>
      <c r="AJ140" s="121"/>
      <c r="AK140" s="121"/>
      <c r="AL140" s="121"/>
      <c r="AM140" s="121"/>
      <c r="AN140" s="121"/>
      <c r="AO140" s="121"/>
    </row>
    <row r="141" spans="17:41" x14ac:dyDescent="0.25">
      <c r="Q141" s="121"/>
      <c r="R141" s="121"/>
      <c r="S141" s="121"/>
      <c r="T141" s="121"/>
      <c r="U141" s="121"/>
      <c r="V141" s="121"/>
      <c r="W141" s="121"/>
      <c r="X141" s="121"/>
      <c r="Y141" s="121"/>
      <c r="Z141" s="121"/>
      <c r="AA141" s="121"/>
      <c r="AB141" s="121"/>
      <c r="AC141" s="121"/>
      <c r="AD141" s="121"/>
      <c r="AE141" s="121"/>
      <c r="AF141" s="121"/>
      <c r="AG141" s="121"/>
      <c r="AH141" s="121"/>
      <c r="AI141" s="121"/>
      <c r="AJ141" s="121"/>
      <c r="AK141" s="121"/>
      <c r="AL141" s="121"/>
      <c r="AM141" s="121"/>
      <c r="AN141" s="121"/>
      <c r="AO141" s="121"/>
    </row>
    <row r="142" spans="17:41" x14ac:dyDescent="0.25">
      <c r="Q142" s="121"/>
      <c r="R142" s="121"/>
      <c r="S142" s="121"/>
      <c r="T142" s="121"/>
      <c r="U142" s="121"/>
      <c r="V142" s="121"/>
      <c r="W142" s="121"/>
      <c r="X142" s="121"/>
      <c r="Y142" s="121"/>
      <c r="Z142" s="121"/>
      <c r="AA142" s="121"/>
      <c r="AB142" s="121"/>
      <c r="AC142" s="121"/>
      <c r="AD142" s="121"/>
      <c r="AE142" s="121"/>
      <c r="AF142" s="121"/>
      <c r="AG142" s="121"/>
      <c r="AH142" s="121"/>
      <c r="AI142" s="121"/>
      <c r="AJ142" s="121"/>
      <c r="AK142" s="121"/>
      <c r="AL142" s="121"/>
      <c r="AM142" s="121"/>
      <c r="AN142" s="121"/>
      <c r="AO142" s="121"/>
    </row>
    <row r="143" spans="17:41" x14ac:dyDescent="0.25">
      <c r="Q143" s="121"/>
      <c r="R143" s="121"/>
      <c r="S143" s="121"/>
      <c r="T143" s="121"/>
      <c r="U143" s="121"/>
      <c r="V143" s="121"/>
      <c r="W143" s="121"/>
      <c r="X143" s="121"/>
      <c r="Y143" s="121"/>
      <c r="Z143" s="121"/>
      <c r="AA143" s="121"/>
      <c r="AB143" s="121"/>
      <c r="AC143" s="121"/>
      <c r="AD143" s="121"/>
      <c r="AE143" s="121"/>
      <c r="AF143" s="121"/>
      <c r="AG143" s="121"/>
      <c r="AH143" s="121"/>
      <c r="AI143" s="121"/>
      <c r="AJ143" s="121"/>
      <c r="AK143" s="121"/>
      <c r="AL143" s="121"/>
      <c r="AM143" s="121"/>
      <c r="AN143" s="121"/>
      <c r="AO143" s="121"/>
    </row>
    <row r="144" spans="17:41" x14ac:dyDescent="0.25">
      <c r="Q144" s="121"/>
      <c r="R144" s="121"/>
      <c r="S144" s="121"/>
      <c r="T144" s="121"/>
      <c r="U144" s="121"/>
      <c r="V144" s="121"/>
      <c r="W144" s="121"/>
      <c r="X144" s="121"/>
      <c r="Y144" s="121"/>
      <c r="Z144" s="121"/>
      <c r="AA144" s="121"/>
      <c r="AB144" s="121"/>
      <c r="AC144" s="121"/>
      <c r="AD144" s="121"/>
      <c r="AE144" s="121"/>
      <c r="AF144" s="121"/>
      <c r="AG144" s="121"/>
      <c r="AH144" s="121"/>
      <c r="AI144" s="121"/>
      <c r="AJ144" s="121"/>
      <c r="AK144" s="121"/>
      <c r="AL144" s="121"/>
      <c r="AM144" s="121"/>
      <c r="AN144" s="121"/>
      <c r="AO144" s="121"/>
    </row>
    <row r="145" spans="17:41" x14ac:dyDescent="0.25">
      <c r="Q145" s="121"/>
      <c r="R145" s="121"/>
      <c r="S145" s="121"/>
      <c r="T145" s="121"/>
      <c r="U145" s="121"/>
      <c r="V145" s="121"/>
      <c r="W145" s="121"/>
      <c r="X145" s="121"/>
      <c r="Y145" s="121"/>
      <c r="Z145" s="121"/>
      <c r="AA145" s="121"/>
      <c r="AB145" s="121"/>
      <c r="AC145" s="121"/>
      <c r="AD145" s="121"/>
      <c r="AE145" s="121"/>
      <c r="AF145" s="121"/>
      <c r="AG145" s="121"/>
      <c r="AH145" s="121"/>
      <c r="AI145" s="121"/>
      <c r="AJ145" s="121"/>
      <c r="AK145" s="121"/>
      <c r="AL145" s="121"/>
      <c r="AM145" s="121"/>
      <c r="AN145" s="121"/>
      <c r="AO145" s="121"/>
    </row>
    <row r="146" spans="17:41" x14ac:dyDescent="0.25">
      <c r="Q146" s="121"/>
      <c r="R146" s="121"/>
      <c r="S146" s="121"/>
      <c r="T146" s="121"/>
      <c r="U146" s="121"/>
      <c r="V146" s="121"/>
      <c r="W146" s="121"/>
      <c r="X146" s="121"/>
      <c r="Y146" s="121"/>
      <c r="Z146" s="121"/>
      <c r="AA146" s="121"/>
      <c r="AB146" s="121"/>
      <c r="AC146" s="121"/>
      <c r="AD146" s="121"/>
      <c r="AE146" s="121"/>
      <c r="AF146" s="121"/>
      <c r="AG146" s="121"/>
      <c r="AH146" s="121"/>
      <c r="AI146" s="121"/>
      <c r="AJ146" s="121"/>
      <c r="AK146" s="121"/>
      <c r="AL146" s="121"/>
      <c r="AM146" s="121"/>
      <c r="AN146" s="121"/>
      <c r="AO146" s="121"/>
    </row>
    <row r="147" spans="17:41" x14ac:dyDescent="0.25">
      <c r="Q147" s="121"/>
      <c r="R147" s="121"/>
      <c r="S147" s="121"/>
      <c r="T147" s="121"/>
      <c r="U147" s="121"/>
      <c r="V147" s="121"/>
      <c r="W147" s="121"/>
      <c r="X147" s="121"/>
      <c r="Y147" s="121"/>
      <c r="Z147" s="121"/>
      <c r="AA147" s="121"/>
      <c r="AB147" s="121"/>
      <c r="AC147" s="121"/>
      <c r="AD147" s="121"/>
      <c r="AE147" s="121"/>
      <c r="AF147" s="121"/>
      <c r="AG147" s="121"/>
      <c r="AH147" s="121"/>
      <c r="AI147" s="121"/>
      <c r="AJ147" s="121"/>
      <c r="AK147" s="121"/>
      <c r="AL147" s="121"/>
      <c r="AM147" s="121"/>
      <c r="AN147" s="121"/>
      <c r="AO147" s="121"/>
    </row>
    <row r="148" spans="17:41" x14ac:dyDescent="0.25">
      <c r="Q148" s="121"/>
      <c r="R148" s="121"/>
      <c r="S148" s="121"/>
      <c r="T148" s="121"/>
      <c r="U148" s="121"/>
      <c r="V148" s="121"/>
      <c r="W148" s="121"/>
      <c r="X148" s="121"/>
      <c r="Y148" s="121"/>
      <c r="Z148" s="121"/>
      <c r="AA148" s="121"/>
      <c r="AB148" s="121"/>
      <c r="AC148" s="121"/>
      <c r="AD148" s="121"/>
      <c r="AE148" s="121"/>
      <c r="AF148" s="121"/>
      <c r="AG148" s="121"/>
      <c r="AH148" s="121"/>
      <c r="AI148" s="121"/>
      <c r="AJ148" s="121"/>
      <c r="AK148" s="121"/>
      <c r="AL148" s="121"/>
      <c r="AM148" s="121"/>
      <c r="AN148" s="121"/>
      <c r="AO148" s="121"/>
    </row>
    <row r="149" spans="17:41" x14ac:dyDescent="0.25">
      <c r="Q149" s="121"/>
      <c r="R149" s="121"/>
      <c r="S149" s="121"/>
      <c r="T149" s="121"/>
      <c r="U149" s="121"/>
      <c r="V149" s="121"/>
      <c r="W149" s="121"/>
      <c r="X149" s="121"/>
      <c r="Y149" s="121"/>
      <c r="Z149" s="121"/>
      <c r="AA149" s="121"/>
      <c r="AB149" s="121"/>
      <c r="AC149" s="121"/>
      <c r="AD149" s="121"/>
      <c r="AE149" s="121"/>
      <c r="AF149" s="121"/>
      <c r="AG149" s="121"/>
      <c r="AH149" s="121"/>
      <c r="AI149" s="121"/>
      <c r="AJ149" s="121"/>
      <c r="AK149" s="121"/>
      <c r="AL149" s="121"/>
      <c r="AM149" s="121"/>
      <c r="AN149" s="121"/>
      <c r="AO149" s="121"/>
    </row>
    <row r="150" spans="17:41" x14ac:dyDescent="0.25">
      <c r="Q150" s="121"/>
      <c r="R150" s="121"/>
      <c r="S150" s="121"/>
      <c r="T150" s="121"/>
      <c r="U150" s="121"/>
      <c r="V150" s="121"/>
      <c r="W150" s="121"/>
      <c r="X150" s="121"/>
      <c r="Y150" s="121"/>
      <c r="Z150" s="121"/>
      <c r="AA150" s="121"/>
      <c r="AB150" s="121"/>
      <c r="AC150" s="121"/>
      <c r="AD150" s="121"/>
      <c r="AE150" s="121"/>
      <c r="AF150" s="121"/>
      <c r="AG150" s="121"/>
      <c r="AH150" s="121"/>
      <c r="AI150" s="121"/>
      <c r="AJ150" s="121"/>
      <c r="AK150" s="121"/>
      <c r="AL150" s="121"/>
      <c r="AM150" s="121"/>
      <c r="AN150" s="121"/>
      <c r="AO150" s="121"/>
    </row>
    <row r="151" spans="17:41" x14ac:dyDescent="0.25">
      <c r="Q151" s="121"/>
      <c r="R151" s="121"/>
      <c r="S151" s="121"/>
      <c r="T151" s="121"/>
      <c r="U151" s="121"/>
      <c r="V151" s="121"/>
      <c r="W151" s="121"/>
      <c r="X151" s="121"/>
      <c r="Y151" s="121"/>
      <c r="Z151" s="121"/>
      <c r="AA151" s="121"/>
      <c r="AB151" s="121"/>
      <c r="AC151" s="121"/>
      <c r="AD151" s="121"/>
      <c r="AE151" s="121"/>
      <c r="AF151" s="121"/>
      <c r="AG151" s="121"/>
      <c r="AH151" s="121"/>
      <c r="AI151" s="121"/>
      <c r="AJ151" s="121"/>
      <c r="AK151" s="121"/>
      <c r="AL151" s="121"/>
      <c r="AM151" s="121"/>
      <c r="AN151" s="121"/>
      <c r="AO151" s="121"/>
    </row>
    <row r="152" spans="17:41" x14ac:dyDescent="0.25">
      <c r="Q152" s="121"/>
      <c r="R152" s="121"/>
      <c r="S152" s="121"/>
      <c r="T152" s="121"/>
      <c r="U152" s="121"/>
      <c r="V152" s="121"/>
      <c r="W152" s="121"/>
      <c r="X152" s="121"/>
      <c r="Y152" s="121"/>
      <c r="Z152" s="121"/>
      <c r="AA152" s="121"/>
      <c r="AB152" s="121"/>
      <c r="AC152" s="121"/>
      <c r="AD152" s="121"/>
      <c r="AE152" s="121"/>
      <c r="AF152" s="121"/>
      <c r="AG152" s="121"/>
      <c r="AH152" s="121"/>
      <c r="AI152" s="121"/>
      <c r="AJ152" s="121"/>
      <c r="AK152" s="121"/>
      <c r="AL152" s="121"/>
      <c r="AM152" s="121"/>
      <c r="AN152" s="121"/>
      <c r="AO152" s="121"/>
    </row>
    <row r="153" spans="17:41" x14ac:dyDescent="0.25">
      <c r="Q153" s="121"/>
      <c r="R153" s="121"/>
      <c r="S153" s="121"/>
      <c r="T153" s="121"/>
      <c r="U153" s="121"/>
      <c r="V153" s="121"/>
      <c r="W153" s="121"/>
      <c r="X153" s="121"/>
      <c r="Y153" s="121"/>
      <c r="Z153" s="121"/>
      <c r="AA153" s="121"/>
      <c r="AB153" s="121"/>
      <c r="AC153" s="121"/>
      <c r="AD153" s="121"/>
      <c r="AE153" s="121"/>
      <c r="AF153" s="121"/>
      <c r="AG153" s="121"/>
      <c r="AH153" s="121"/>
      <c r="AI153" s="121"/>
      <c r="AJ153" s="121"/>
      <c r="AK153" s="121"/>
      <c r="AL153" s="121"/>
      <c r="AM153" s="121"/>
      <c r="AN153" s="121"/>
      <c r="AO153" s="121"/>
    </row>
    <row r="154" spans="17:41" x14ac:dyDescent="0.25">
      <c r="Q154" s="121"/>
      <c r="R154" s="121"/>
      <c r="S154" s="121"/>
      <c r="T154" s="121"/>
      <c r="U154" s="121"/>
      <c r="V154" s="121"/>
      <c r="W154" s="121"/>
      <c r="X154" s="121"/>
      <c r="Y154" s="121"/>
      <c r="Z154" s="121"/>
      <c r="AA154" s="121"/>
      <c r="AB154" s="121"/>
      <c r="AC154" s="121"/>
      <c r="AD154" s="121"/>
      <c r="AE154" s="121"/>
      <c r="AF154" s="121"/>
      <c r="AG154" s="121"/>
      <c r="AH154" s="121"/>
      <c r="AI154" s="121"/>
      <c r="AJ154" s="121"/>
      <c r="AK154" s="121"/>
      <c r="AL154" s="121"/>
      <c r="AM154" s="121"/>
      <c r="AN154" s="121"/>
      <c r="AO154" s="121"/>
    </row>
    <row r="155" spans="17:41" x14ac:dyDescent="0.25">
      <c r="Q155" s="121"/>
      <c r="R155" s="121"/>
      <c r="S155" s="121"/>
      <c r="T155" s="121"/>
      <c r="U155" s="121"/>
      <c r="V155" s="121"/>
      <c r="W155" s="121"/>
      <c r="X155" s="121"/>
      <c r="Y155" s="121"/>
      <c r="Z155" s="121"/>
      <c r="AA155" s="121"/>
      <c r="AB155" s="121"/>
      <c r="AC155" s="121"/>
      <c r="AD155" s="121"/>
      <c r="AE155" s="121"/>
      <c r="AF155" s="121"/>
      <c r="AG155" s="121"/>
      <c r="AH155" s="121"/>
      <c r="AI155" s="121"/>
      <c r="AJ155" s="121"/>
      <c r="AK155" s="121"/>
      <c r="AL155" s="121"/>
      <c r="AM155" s="121"/>
      <c r="AN155" s="121"/>
      <c r="AO155" s="121"/>
    </row>
    <row r="156" spans="17:41" x14ac:dyDescent="0.25">
      <c r="Q156" s="121"/>
      <c r="R156" s="121"/>
      <c r="S156" s="121"/>
      <c r="T156" s="121"/>
      <c r="U156" s="121"/>
      <c r="V156" s="121"/>
      <c r="W156" s="121"/>
      <c r="X156" s="121"/>
      <c r="Y156" s="121"/>
      <c r="Z156" s="121"/>
      <c r="AA156" s="121"/>
      <c r="AB156" s="121"/>
      <c r="AC156" s="121"/>
      <c r="AD156" s="121"/>
      <c r="AE156" s="121"/>
      <c r="AF156" s="121"/>
      <c r="AG156" s="121"/>
      <c r="AH156" s="121"/>
      <c r="AI156" s="121"/>
      <c r="AJ156" s="121"/>
      <c r="AK156" s="121"/>
      <c r="AL156" s="121"/>
      <c r="AM156" s="121"/>
      <c r="AN156" s="121"/>
      <c r="AO156" s="121"/>
    </row>
    <row r="157" spans="17:41" x14ac:dyDescent="0.25">
      <c r="Q157" s="121"/>
      <c r="R157" s="121"/>
      <c r="S157" s="121"/>
      <c r="T157" s="121"/>
      <c r="U157" s="121"/>
      <c r="V157" s="121"/>
      <c r="W157" s="121"/>
      <c r="X157" s="121"/>
      <c r="Y157" s="121"/>
      <c r="Z157" s="121"/>
      <c r="AA157" s="121"/>
      <c r="AB157" s="121"/>
      <c r="AC157" s="121"/>
      <c r="AD157" s="121"/>
      <c r="AE157" s="121"/>
      <c r="AF157" s="121"/>
      <c r="AG157" s="121"/>
      <c r="AH157" s="121"/>
      <c r="AI157" s="121"/>
      <c r="AJ157" s="121"/>
      <c r="AK157" s="121"/>
      <c r="AL157" s="121"/>
      <c r="AM157" s="121"/>
      <c r="AN157" s="121"/>
      <c r="AO157" s="121"/>
    </row>
    <row r="158" spans="17:41" x14ac:dyDescent="0.25">
      <c r="Q158" s="121"/>
      <c r="R158" s="121"/>
      <c r="S158" s="121"/>
      <c r="T158" s="121"/>
      <c r="U158" s="121"/>
      <c r="V158" s="121"/>
      <c r="W158" s="121"/>
      <c r="X158" s="121"/>
      <c r="Y158" s="121"/>
      <c r="Z158" s="121"/>
      <c r="AA158" s="121"/>
      <c r="AB158" s="121"/>
      <c r="AC158" s="121"/>
      <c r="AD158" s="121"/>
      <c r="AE158" s="121"/>
      <c r="AF158" s="121"/>
      <c r="AG158" s="121"/>
      <c r="AH158" s="121"/>
      <c r="AI158" s="121"/>
      <c r="AJ158" s="121"/>
      <c r="AK158" s="121"/>
      <c r="AL158" s="121"/>
      <c r="AM158" s="121"/>
      <c r="AN158" s="121"/>
      <c r="AO158" s="121"/>
    </row>
    <row r="159" spans="17:41" x14ac:dyDescent="0.25">
      <c r="Q159" s="121"/>
      <c r="R159" s="121"/>
      <c r="S159" s="121"/>
      <c r="T159" s="121"/>
      <c r="U159" s="121"/>
      <c r="V159" s="121"/>
      <c r="W159" s="121"/>
      <c r="X159" s="121"/>
      <c r="Y159" s="121"/>
      <c r="Z159" s="121"/>
      <c r="AA159" s="121"/>
      <c r="AB159" s="121"/>
      <c r="AC159" s="121"/>
      <c r="AD159" s="121"/>
      <c r="AE159" s="121"/>
      <c r="AF159" s="121"/>
      <c r="AG159" s="121"/>
      <c r="AH159" s="121"/>
      <c r="AI159" s="121"/>
      <c r="AJ159" s="121"/>
      <c r="AK159" s="121"/>
      <c r="AL159" s="121"/>
      <c r="AM159" s="121"/>
      <c r="AN159" s="121"/>
      <c r="AO159" s="121"/>
    </row>
    <row r="160" spans="17:41" x14ac:dyDescent="0.25">
      <c r="Q160" s="121"/>
      <c r="R160" s="121"/>
      <c r="S160" s="121"/>
      <c r="T160" s="121"/>
      <c r="U160" s="121"/>
      <c r="V160" s="121"/>
      <c r="W160" s="121"/>
      <c r="X160" s="121"/>
      <c r="Y160" s="121"/>
      <c r="Z160" s="121"/>
      <c r="AA160" s="121"/>
      <c r="AB160" s="121"/>
      <c r="AC160" s="121"/>
      <c r="AD160" s="121"/>
      <c r="AE160" s="121"/>
      <c r="AF160" s="121"/>
      <c r="AG160" s="121"/>
      <c r="AH160" s="121"/>
      <c r="AI160" s="121"/>
      <c r="AJ160" s="121"/>
      <c r="AK160" s="121"/>
      <c r="AL160" s="121"/>
      <c r="AM160" s="121"/>
      <c r="AN160" s="121"/>
      <c r="AO160" s="121"/>
    </row>
    <row r="161" spans="17:41" x14ac:dyDescent="0.25">
      <c r="Q161" s="121"/>
      <c r="R161" s="121"/>
      <c r="S161" s="121"/>
      <c r="T161" s="121"/>
      <c r="U161" s="121"/>
      <c r="V161" s="121"/>
      <c r="W161" s="121"/>
      <c r="X161" s="121"/>
      <c r="Y161" s="121"/>
      <c r="Z161" s="121"/>
      <c r="AA161" s="121"/>
      <c r="AB161" s="121"/>
      <c r="AC161" s="121"/>
      <c r="AD161" s="121"/>
      <c r="AE161" s="121"/>
      <c r="AF161" s="121"/>
      <c r="AG161" s="121"/>
      <c r="AH161" s="121"/>
      <c r="AI161" s="121"/>
      <c r="AJ161" s="121"/>
      <c r="AK161" s="121"/>
      <c r="AL161" s="121"/>
      <c r="AM161" s="121"/>
      <c r="AN161" s="121"/>
      <c r="AO161" s="121"/>
    </row>
    <row r="162" spans="17:41" x14ac:dyDescent="0.25">
      <c r="Q162" s="121"/>
      <c r="R162" s="121"/>
      <c r="S162" s="121"/>
      <c r="T162" s="121"/>
      <c r="U162" s="121"/>
      <c r="V162" s="121"/>
      <c r="W162" s="121"/>
      <c r="X162" s="121"/>
      <c r="Y162" s="121"/>
      <c r="Z162" s="121"/>
      <c r="AA162" s="121"/>
      <c r="AB162" s="121"/>
      <c r="AC162" s="121"/>
      <c r="AD162" s="121"/>
      <c r="AE162" s="121"/>
      <c r="AF162" s="121"/>
      <c r="AG162" s="121"/>
      <c r="AH162" s="121"/>
      <c r="AI162" s="121"/>
      <c r="AJ162" s="121"/>
      <c r="AK162" s="121"/>
      <c r="AL162" s="121"/>
      <c r="AM162" s="121"/>
      <c r="AN162" s="121"/>
      <c r="AO162" s="121"/>
    </row>
    <row r="163" spans="17:41" x14ac:dyDescent="0.25">
      <c r="Q163" s="121"/>
      <c r="R163" s="121"/>
      <c r="S163" s="121"/>
      <c r="T163" s="121"/>
      <c r="U163" s="121"/>
      <c r="V163" s="121"/>
      <c r="W163" s="121"/>
      <c r="X163" s="121"/>
      <c r="Y163" s="121"/>
      <c r="Z163" s="121"/>
      <c r="AA163" s="121"/>
      <c r="AB163" s="121"/>
      <c r="AC163" s="121"/>
      <c r="AD163" s="121"/>
      <c r="AE163" s="121"/>
      <c r="AF163" s="121"/>
      <c r="AG163" s="121"/>
      <c r="AH163" s="121"/>
      <c r="AI163" s="121"/>
      <c r="AJ163" s="121"/>
      <c r="AK163" s="121"/>
      <c r="AL163" s="121"/>
      <c r="AM163" s="121"/>
      <c r="AN163" s="121"/>
      <c r="AO163" s="121"/>
    </row>
    <row r="164" spans="17:41" x14ac:dyDescent="0.25">
      <c r="Q164" s="121"/>
      <c r="R164" s="121"/>
      <c r="S164" s="121"/>
      <c r="T164" s="121"/>
      <c r="U164" s="121"/>
      <c r="V164" s="121"/>
      <c r="W164" s="121"/>
      <c r="X164" s="121"/>
      <c r="Y164" s="121"/>
      <c r="Z164" s="121"/>
      <c r="AA164" s="121"/>
      <c r="AB164" s="121"/>
      <c r="AC164" s="121"/>
      <c r="AD164" s="121"/>
      <c r="AE164" s="121"/>
      <c r="AF164" s="121"/>
      <c r="AG164" s="121"/>
      <c r="AH164" s="121"/>
      <c r="AI164" s="121"/>
      <c r="AJ164" s="121"/>
      <c r="AK164" s="121"/>
      <c r="AL164" s="121"/>
      <c r="AM164" s="121"/>
      <c r="AN164" s="121"/>
      <c r="AO164" s="121"/>
    </row>
    <row r="165" spans="17:41" x14ac:dyDescent="0.25">
      <c r="Q165" s="121"/>
      <c r="R165" s="121"/>
      <c r="S165" s="121"/>
      <c r="T165" s="121"/>
      <c r="U165" s="121"/>
      <c r="V165" s="121"/>
      <c r="W165" s="121"/>
      <c r="X165" s="121"/>
      <c r="Y165" s="121"/>
      <c r="Z165" s="121"/>
      <c r="AA165" s="121"/>
      <c r="AB165" s="121"/>
      <c r="AC165" s="121"/>
      <c r="AD165" s="121"/>
      <c r="AE165" s="121"/>
      <c r="AF165" s="121"/>
      <c r="AG165" s="121"/>
      <c r="AH165" s="121"/>
      <c r="AI165" s="121"/>
      <c r="AJ165" s="121"/>
      <c r="AK165" s="121"/>
      <c r="AL165" s="121"/>
      <c r="AM165" s="121"/>
      <c r="AN165" s="121"/>
      <c r="AO165" s="121"/>
    </row>
    <row r="166" spans="17:41" x14ac:dyDescent="0.25">
      <c r="Q166" s="121"/>
      <c r="R166" s="121"/>
      <c r="S166" s="121"/>
      <c r="T166" s="121"/>
      <c r="U166" s="121"/>
      <c r="V166" s="121"/>
      <c r="W166" s="121"/>
      <c r="X166" s="121"/>
      <c r="Y166" s="121"/>
      <c r="Z166" s="121"/>
      <c r="AA166" s="121"/>
      <c r="AB166" s="121"/>
      <c r="AC166" s="121"/>
      <c r="AD166" s="121"/>
      <c r="AE166" s="121"/>
      <c r="AF166" s="121"/>
      <c r="AG166" s="121"/>
      <c r="AH166" s="121"/>
      <c r="AI166" s="121"/>
      <c r="AJ166" s="121"/>
      <c r="AK166" s="121"/>
      <c r="AL166" s="121"/>
      <c r="AM166" s="121"/>
      <c r="AN166" s="121"/>
      <c r="AO166" s="121"/>
    </row>
    <row r="167" spans="17:41" x14ac:dyDescent="0.25">
      <c r="Q167" s="121"/>
      <c r="R167" s="121"/>
      <c r="S167" s="121"/>
      <c r="T167" s="121"/>
      <c r="U167" s="121"/>
      <c r="V167" s="121"/>
      <c r="W167" s="121"/>
      <c r="X167" s="121"/>
      <c r="Y167" s="121"/>
      <c r="Z167" s="121"/>
      <c r="AA167" s="121"/>
      <c r="AB167" s="121"/>
      <c r="AC167" s="121"/>
      <c r="AD167" s="121"/>
      <c r="AE167" s="121"/>
      <c r="AF167" s="121"/>
      <c r="AG167" s="121"/>
      <c r="AH167" s="121"/>
      <c r="AI167" s="121"/>
      <c r="AJ167" s="121"/>
      <c r="AK167" s="121"/>
      <c r="AL167" s="121"/>
      <c r="AM167" s="121"/>
      <c r="AN167" s="121"/>
      <c r="AO167" s="121"/>
    </row>
    <row r="168" spans="17:41" x14ac:dyDescent="0.25">
      <c r="Q168" s="121"/>
      <c r="R168" s="121"/>
      <c r="S168" s="121"/>
      <c r="T168" s="121"/>
      <c r="U168" s="121"/>
      <c r="V168" s="121"/>
      <c r="W168" s="121"/>
      <c r="X168" s="121"/>
      <c r="Y168" s="121"/>
      <c r="Z168" s="121"/>
      <c r="AA168" s="121"/>
      <c r="AB168" s="121"/>
      <c r="AC168" s="121"/>
      <c r="AD168" s="121"/>
      <c r="AE168" s="121"/>
      <c r="AF168" s="121"/>
      <c r="AG168" s="121"/>
      <c r="AH168" s="121"/>
      <c r="AI168" s="121"/>
      <c r="AJ168" s="121"/>
      <c r="AK168" s="121"/>
      <c r="AL168" s="121"/>
      <c r="AM168" s="121"/>
      <c r="AN168" s="121"/>
      <c r="AO168" s="121"/>
    </row>
    <row r="169" spans="17:41" x14ac:dyDescent="0.25">
      <c r="Q169" s="121"/>
      <c r="R169" s="121"/>
      <c r="S169" s="121"/>
      <c r="T169" s="121"/>
      <c r="U169" s="121"/>
      <c r="V169" s="121"/>
      <c r="W169" s="121"/>
      <c r="X169" s="121"/>
      <c r="Y169" s="121"/>
      <c r="Z169" s="121"/>
      <c r="AA169" s="121"/>
      <c r="AB169" s="121"/>
      <c r="AC169" s="121"/>
      <c r="AD169" s="121"/>
      <c r="AE169" s="121"/>
      <c r="AF169" s="121"/>
      <c r="AG169" s="121"/>
      <c r="AH169" s="121"/>
      <c r="AI169" s="121"/>
      <c r="AJ169" s="121"/>
      <c r="AK169" s="121"/>
      <c r="AL169" s="121"/>
      <c r="AM169" s="121"/>
      <c r="AN169" s="121"/>
      <c r="AO169" s="121"/>
    </row>
    <row r="170" spans="17:41" x14ac:dyDescent="0.25">
      <c r="Q170" s="121"/>
      <c r="R170" s="121"/>
      <c r="S170" s="121"/>
      <c r="T170" s="121"/>
      <c r="U170" s="121"/>
      <c r="V170" s="121"/>
      <c r="W170" s="121"/>
      <c r="X170" s="121"/>
      <c r="Y170" s="121"/>
      <c r="Z170" s="121"/>
      <c r="AA170" s="121"/>
      <c r="AB170" s="121"/>
      <c r="AC170" s="121"/>
      <c r="AD170" s="121"/>
      <c r="AE170" s="121"/>
      <c r="AF170" s="121"/>
      <c r="AG170" s="121"/>
      <c r="AH170" s="121"/>
      <c r="AI170" s="121"/>
      <c r="AJ170" s="121"/>
      <c r="AK170" s="121"/>
      <c r="AL170" s="121"/>
      <c r="AM170" s="121"/>
      <c r="AN170" s="121"/>
      <c r="AO170" s="121"/>
    </row>
    <row r="171" spans="17:41" x14ac:dyDescent="0.25">
      <c r="Q171" s="121"/>
      <c r="R171" s="121"/>
      <c r="S171" s="121"/>
      <c r="T171" s="121"/>
      <c r="U171" s="121"/>
      <c r="V171" s="121"/>
      <c r="W171" s="121"/>
      <c r="X171" s="121"/>
      <c r="Y171" s="121"/>
      <c r="Z171" s="121"/>
      <c r="AA171" s="121"/>
      <c r="AB171" s="121"/>
      <c r="AC171" s="121"/>
      <c r="AD171" s="121"/>
      <c r="AE171" s="121"/>
      <c r="AF171" s="121"/>
      <c r="AG171" s="121"/>
      <c r="AH171" s="121"/>
      <c r="AI171" s="121"/>
      <c r="AJ171" s="121"/>
      <c r="AK171" s="121"/>
      <c r="AL171" s="121"/>
      <c r="AM171" s="121"/>
      <c r="AN171" s="121"/>
      <c r="AO171" s="121"/>
    </row>
    <row r="172" spans="17:41" x14ac:dyDescent="0.25">
      <c r="Q172" s="121"/>
      <c r="R172" s="121"/>
      <c r="S172" s="121"/>
      <c r="T172" s="121"/>
      <c r="U172" s="121"/>
      <c r="V172" s="121"/>
      <c r="W172" s="121"/>
      <c r="X172" s="121"/>
      <c r="Y172" s="121"/>
      <c r="Z172" s="121"/>
      <c r="AA172" s="121"/>
      <c r="AB172" s="121"/>
      <c r="AC172" s="121"/>
      <c r="AD172" s="121"/>
      <c r="AE172" s="121"/>
      <c r="AF172" s="121"/>
      <c r="AG172" s="121"/>
      <c r="AH172" s="121"/>
      <c r="AI172" s="121"/>
      <c r="AJ172" s="121"/>
      <c r="AK172" s="121"/>
      <c r="AL172" s="121"/>
      <c r="AM172" s="121"/>
      <c r="AN172" s="121"/>
      <c r="AO172" s="121"/>
    </row>
    <row r="173" spans="17:41" x14ac:dyDescent="0.25">
      <c r="Q173" s="121"/>
      <c r="R173" s="121"/>
      <c r="S173" s="121"/>
      <c r="T173" s="121"/>
      <c r="U173" s="121"/>
      <c r="V173" s="121"/>
      <c r="W173" s="121"/>
      <c r="X173" s="121"/>
      <c r="Y173" s="121"/>
      <c r="Z173" s="121"/>
      <c r="AA173" s="121"/>
      <c r="AB173" s="121"/>
      <c r="AC173" s="121"/>
      <c r="AD173" s="121"/>
      <c r="AE173" s="121"/>
      <c r="AF173" s="121"/>
      <c r="AG173" s="121"/>
      <c r="AH173" s="121"/>
      <c r="AI173" s="121"/>
      <c r="AJ173" s="121"/>
      <c r="AK173" s="121"/>
      <c r="AL173" s="121"/>
      <c r="AM173" s="121"/>
      <c r="AN173" s="121"/>
      <c r="AO173" s="121"/>
    </row>
    <row r="174" spans="17:41" x14ac:dyDescent="0.25">
      <c r="Q174" s="121"/>
      <c r="R174" s="121"/>
      <c r="S174" s="121"/>
      <c r="T174" s="121"/>
      <c r="U174" s="121"/>
      <c r="V174" s="121"/>
      <c r="W174" s="121"/>
      <c r="X174" s="121"/>
      <c r="Y174" s="121"/>
      <c r="Z174" s="121"/>
      <c r="AA174" s="121"/>
      <c r="AB174" s="121"/>
      <c r="AC174" s="121"/>
      <c r="AD174" s="121"/>
      <c r="AE174" s="121"/>
      <c r="AF174" s="121"/>
      <c r="AG174" s="121"/>
      <c r="AH174" s="121"/>
      <c r="AI174" s="121"/>
      <c r="AJ174" s="121"/>
      <c r="AK174" s="121"/>
      <c r="AL174" s="121"/>
      <c r="AM174" s="121"/>
      <c r="AN174" s="121"/>
      <c r="AO174" s="121"/>
    </row>
    <row r="175" spans="17:41" x14ac:dyDescent="0.25">
      <c r="Q175" s="121"/>
      <c r="R175" s="121"/>
      <c r="S175" s="121"/>
      <c r="T175" s="121"/>
      <c r="U175" s="121"/>
      <c r="V175" s="121"/>
      <c r="W175" s="121"/>
      <c r="X175" s="121"/>
      <c r="Y175" s="121"/>
      <c r="Z175" s="121"/>
      <c r="AA175" s="121"/>
      <c r="AB175" s="121"/>
      <c r="AC175" s="121"/>
      <c r="AD175" s="121"/>
      <c r="AE175" s="121"/>
      <c r="AF175" s="121"/>
      <c r="AG175" s="121"/>
      <c r="AH175" s="121"/>
      <c r="AI175" s="121"/>
      <c r="AJ175" s="121"/>
      <c r="AK175" s="121"/>
      <c r="AL175" s="121"/>
      <c r="AM175" s="121"/>
      <c r="AN175" s="121"/>
      <c r="AO175" s="121"/>
    </row>
    <row r="176" spans="17:41" x14ac:dyDescent="0.25">
      <c r="Q176" s="121"/>
      <c r="R176" s="121"/>
      <c r="S176" s="121"/>
      <c r="T176" s="121"/>
      <c r="U176" s="121"/>
      <c r="V176" s="121"/>
      <c r="W176" s="121"/>
      <c r="X176" s="121"/>
      <c r="Y176" s="121"/>
      <c r="Z176" s="121"/>
      <c r="AA176" s="121"/>
      <c r="AB176" s="121"/>
      <c r="AC176" s="121"/>
      <c r="AD176" s="121"/>
      <c r="AE176" s="121"/>
      <c r="AF176" s="121"/>
      <c r="AG176" s="121"/>
      <c r="AH176" s="121"/>
      <c r="AI176" s="121"/>
      <c r="AJ176" s="121"/>
      <c r="AK176" s="121"/>
      <c r="AL176" s="121"/>
      <c r="AM176" s="121"/>
      <c r="AN176" s="121"/>
      <c r="AO176" s="121"/>
    </row>
    <row r="177" spans="17:41" x14ac:dyDescent="0.25">
      <c r="Q177" s="121"/>
      <c r="R177" s="121"/>
      <c r="S177" s="121"/>
      <c r="T177" s="121"/>
      <c r="U177" s="121"/>
      <c r="V177" s="121"/>
      <c r="W177" s="121"/>
      <c r="X177" s="121"/>
      <c r="Y177" s="121"/>
      <c r="Z177" s="121"/>
      <c r="AA177" s="121"/>
      <c r="AB177" s="121"/>
      <c r="AC177" s="121"/>
      <c r="AD177" s="121"/>
      <c r="AE177" s="121"/>
      <c r="AF177" s="121"/>
      <c r="AG177" s="121"/>
      <c r="AH177" s="121"/>
      <c r="AI177" s="121"/>
      <c r="AJ177" s="121"/>
      <c r="AK177" s="121"/>
      <c r="AL177" s="121"/>
      <c r="AM177" s="121"/>
      <c r="AN177" s="121"/>
      <c r="AO177" s="121"/>
    </row>
    <row r="178" spans="17:41" x14ac:dyDescent="0.25">
      <c r="Q178" s="121"/>
      <c r="R178" s="121"/>
      <c r="S178" s="121"/>
      <c r="T178" s="121"/>
      <c r="U178" s="121"/>
      <c r="V178" s="121"/>
      <c r="W178" s="121"/>
      <c r="X178" s="121"/>
      <c r="Y178" s="121"/>
      <c r="Z178" s="121"/>
      <c r="AA178" s="121"/>
      <c r="AB178" s="121"/>
      <c r="AC178" s="121"/>
      <c r="AD178" s="121"/>
      <c r="AE178" s="121"/>
      <c r="AF178" s="121"/>
      <c r="AG178" s="121"/>
      <c r="AH178" s="121"/>
      <c r="AI178" s="121"/>
      <c r="AJ178" s="121"/>
      <c r="AK178" s="121"/>
      <c r="AL178" s="121"/>
      <c r="AM178" s="121"/>
      <c r="AN178" s="121"/>
      <c r="AO178" s="121"/>
    </row>
    <row r="179" spans="17:41" x14ac:dyDescent="0.25">
      <c r="Q179" s="121"/>
      <c r="R179" s="121"/>
      <c r="S179" s="121"/>
      <c r="T179" s="121"/>
      <c r="U179" s="121"/>
      <c r="V179" s="121"/>
      <c r="W179" s="121"/>
      <c r="X179" s="121"/>
      <c r="Y179" s="121"/>
      <c r="Z179" s="121"/>
      <c r="AA179" s="121"/>
      <c r="AB179" s="121"/>
      <c r="AC179" s="121"/>
      <c r="AD179" s="121"/>
      <c r="AE179" s="121"/>
      <c r="AF179" s="121"/>
      <c r="AG179" s="121"/>
      <c r="AH179" s="121"/>
      <c r="AI179" s="121"/>
      <c r="AJ179" s="121"/>
      <c r="AK179" s="121"/>
      <c r="AL179" s="121"/>
      <c r="AM179" s="121"/>
      <c r="AN179" s="121"/>
      <c r="AO179" s="121"/>
    </row>
    <row r="180" spans="17:41" x14ac:dyDescent="0.25">
      <c r="Q180" s="121"/>
      <c r="R180" s="121"/>
      <c r="S180" s="121"/>
      <c r="T180" s="121"/>
      <c r="U180" s="121"/>
      <c r="V180" s="121"/>
      <c r="W180" s="121"/>
      <c r="X180" s="121"/>
      <c r="Y180" s="121"/>
      <c r="Z180" s="121"/>
      <c r="AA180" s="121"/>
      <c r="AB180" s="121"/>
      <c r="AC180" s="121"/>
      <c r="AD180" s="121"/>
      <c r="AE180" s="121"/>
      <c r="AF180" s="121"/>
      <c r="AG180" s="121"/>
      <c r="AH180" s="121"/>
      <c r="AI180" s="121"/>
      <c r="AJ180" s="121"/>
      <c r="AK180" s="121"/>
      <c r="AL180" s="121"/>
      <c r="AM180" s="121"/>
      <c r="AN180" s="121"/>
      <c r="AO180" s="121"/>
    </row>
    <row r="181" spans="17:41" x14ac:dyDescent="0.25">
      <c r="Q181" s="121"/>
      <c r="R181" s="121"/>
      <c r="S181" s="121"/>
      <c r="T181" s="121"/>
      <c r="U181" s="121"/>
      <c r="V181" s="121"/>
      <c r="W181" s="121"/>
      <c r="X181" s="121"/>
      <c r="Y181" s="121"/>
      <c r="Z181" s="121"/>
      <c r="AA181" s="121"/>
      <c r="AB181" s="121"/>
      <c r="AC181" s="121"/>
      <c r="AD181" s="121"/>
      <c r="AE181" s="121"/>
      <c r="AF181" s="121"/>
      <c r="AG181" s="121"/>
      <c r="AH181" s="121"/>
      <c r="AI181" s="121"/>
      <c r="AJ181" s="121"/>
      <c r="AK181" s="121"/>
      <c r="AL181" s="121"/>
      <c r="AM181" s="121"/>
      <c r="AN181" s="121"/>
      <c r="AO181" s="121"/>
    </row>
    <row r="182" spans="17:41" x14ac:dyDescent="0.25">
      <c r="Q182" s="121"/>
      <c r="R182" s="121"/>
      <c r="S182" s="121"/>
      <c r="T182" s="121"/>
      <c r="U182" s="121"/>
      <c r="V182" s="121"/>
      <c r="W182" s="121"/>
      <c r="X182" s="121"/>
      <c r="Y182" s="121"/>
      <c r="Z182" s="121"/>
      <c r="AA182" s="121"/>
      <c r="AB182" s="121"/>
      <c r="AC182" s="121"/>
      <c r="AD182" s="121"/>
      <c r="AE182" s="121"/>
      <c r="AF182" s="121"/>
      <c r="AG182" s="121"/>
      <c r="AH182" s="121"/>
      <c r="AI182" s="121"/>
      <c r="AJ182" s="121"/>
      <c r="AK182" s="121"/>
      <c r="AL182" s="121"/>
      <c r="AM182" s="121"/>
      <c r="AN182" s="121"/>
      <c r="AO182" s="121"/>
    </row>
    <row r="183" spans="17:41" x14ac:dyDescent="0.25">
      <c r="Q183" s="121"/>
      <c r="R183" s="121"/>
      <c r="S183" s="121"/>
      <c r="T183" s="121"/>
      <c r="U183" s="121"/>
      <c r="V183" s="121"/>
      <c r="W183" s="121"/>
      <c r="X183" s="121"/>
      <c r="Y183" s="121"/>
      <c r="Z183" s="121"/>
      <c r="AA183" s="121"/>
      <c r="AB183" s="121"/>
      <c r="AC183" s="121"/>
      <c r="AD183" s="121"/>
      <c r="AE183" s="121"/>
      <c r="AF183" s="121"/>
      <c r="AG183" s="121"/>
      <c r="AH183" s="121"/>
      <c r="AI183" s="121"/>
      <c r="AJ183" s="121"/>
      <c r="AK183" s="121"/>
      <c r="AL183" s="121"/>
      <c r="AM183" s="121"/>
      <c r="AN183" s="121"/>
      <c r="AO183" s="121"/>
    </row>
    <row r="184" spans="17:41" x14ac:dyDescent="0.25">
      <c r="Q184" s="121"/>
      <c r="R184" s="121"/>
      <c r="S184" s="121"/>
      <c r="T184" s="121"/>
      <c r="U184" s="121"/>
      <c r="V184" s="121"/>
      <c r="W184" s="121"/>
      <c r="X184" s="121"/>
      <c r="Y184" s="121"/>
      <c r="Z184" s="121"/>
      <c r="AA184" s="121"/>
      <c r="AB184" s="121"/>
      <c r="AC184" s="121"/>
      <c r="AD184" s="121"/>
      <c r="AE184" s="121"/>
      <c r="AF184" s="121"/>
      <c r="AG184" s="121"/>
      <c r="AH184" s="121"/>
      <c r="AI184" s="121"/>
      <c r="AJ184" s="121"/>
      <c r="AK184" s="121"/>
      <c r="AL184" s="121"/>
      <c r="AM184" s="121"/>
      <c r="AN184" s="121"/>
      <c r="AO184" s="121"/>
    </row>
    <row r="185" spans="17:41" x14ac:dyDescent="0.25">
      <c r="Q185" s="121"/>
      <c r="R185" s="121"/>
      <c r="S185" s="121"/>
      <c r="T185" s="121"/>
      <c r="U185" s="121"/>
      <c r="V185" s="121"/>
      <c r="W185" s="121"/>
      <c r="X185" s="121"/>
      <c r="Y185" s="121"/>
      <c r="Z185" s="121"/>
      <c r="AA185" s="121"/>
      <c r="AB185" s="121"/>
      <c r="AC185" s="121"/>
      <c r="AD185" s="121"/>
      <c r="AE185" s="121"/>
      <c r="AF185" s="121"/>
      <c r="AG185" s="121"/>
      <c r="AH185" s="121"/>
      <c r="AI185" s="121"/>
      <c r="AJ185" s="121"/>
      <c r="AK185" s="121"/>
      <c r="AL185" s="121"/>
      <c r="AM185" s="121"/>
      <c r="AN185" s="121"/>
      <c r="AO185" s="121"/>
    </row>
    <row r="186" spans="17:41" x14ac:dyDescent="0.25">
      <c r="Q186" s="121"/>
      <c r="R186" s="121"/>
      <c r="S186" s="121"/>
      <c r="T186" s="121"/>
      <c r="U186" s="121"/>
      <c r="V186" s="121"/>
      <c r="W186" s="121"/>
      <c r="X186" s="121"/>
      <c r="Y186" s="121"/>
      <c r="Z186" s="121"/>
      <c r="AA186" s="121"/>
      <c r="AB186" s="121"/>
      <c r="AC186" s="121"/>
      <c r="AD186" s="121"/>
      <c r="AE186" s="121"/>
      <c r="AF186" s="121"/>
      <c r="AG186" s="121"/>
      <c r="AH186" s="121"/>
      <c r="AI186" s="121"/>
      <c r="AJ186" s="121"/>
      <c r="AK186" s="121"/>
      <c r="AL186" s="121"/>
      <c r="AM186" s="121"/>
      <c r="AN186" s="121"/>
      <c r="AO186" s="121"/>
    </row>
    <row r="187" spans="17:41" x14ac:dyDescent="0.25">
      <c r="Q187" s="121"/>
      <c r="R187" s="121"/>
      <c r="S187" s="121"/>
      <c r="T187" s="121"/>
      <c r="U187" s="121"/>
      <c r="V187" s="121"/>
      <c r="W187" s="121"/>
      <c r="X187" s="121"/>
      <c r="Y187" s="121"/>
      <c r="Z187" s="121"/>
      <c r="AA187" s="121"/>
      <c r="AB187" s="121"/>
      <c r="AC187" s="121"/>
      <c r="AD187" s="121"/>
      <c r="AE187" s="121"/>
      <c r="AF187" s="121"/>
      <c r="AG187" s="121"/>
      <c r="AH187" s="121"/>
      <c r="AI187" s="121"/>
      <c r="AJ187" s="121"/>
      <c r="AK187" s="121"/>
      <c r="AL187" s="121"/>
      <c r="AM187" s="121"/>
      <c r="AN187" s="121"/>
      <c r="AO187" s="121"/>
    </row>
    <row r="188" spans="17:41" x14ac:dyDescent="0.25">
      <c r="Q188" s="121"/>
      <c r="R188" s="121"/>
      <c r="S188" s="121"/>
      <c r="T188" s="121"/>
      <c r="U188" s="121"/>
      <c r="V188" s="121"/>
      <c r="W188" s="121"/>
      <c r="X188" s="121"/>
      <c r="Y188" s="121"/>
      <c r="Z188" s="121"/>
      <c r="AA188" s="121"/>
      <c r="AB188" s="121"/>
      <c r="AC188" s="121"/>
      <c r="AD188" s="121"/>
      <c r="AE188" s="121"/>
      <c r="AF188" s="121"/>
      <c r="AG188" s="121"/>
      <c r="AH188" s="121"/>
      <c r="AI188" s="121"/>
      <c r="AJ188" s="121"/>
      <c r="AK188" s="121"/>
      <c r="AL188" s="121"/>
      <c r="AM188" s="121"/>
      <c r="AN188" s="121"/>
      <c r="AO188" s="121"/>
    </row>
    <row r="189" spans="17:41" x14ac:dyDescent="0.25">
      <c r="Q189" s="121"/>
      <c r="R189" s="121"/>
      <c r="S189" s="121"/>
      <c r="T189" s="121"/>
      <c r="U189" s="121"/>
      <c r="V189" s="121"/>
      <c r="W189" s="121"/>
      <c r="X189" s="121"/>
      <c r="Y189" s="121"/>
      <c r="Z189" s="121"/>
      <c r="AA189" s="121"/>
      <c r="AB189" s="121"/>
      <c r="AC189" s="121"/>
      <c r="AD189" s="121"/>
      <c r="AE189" s="121"/>
      <c r="AF189" s="121"/>
      <c r="AG189" s="121"/>
      <c r="AH189" s="121"/>
      <c r="AI189" s="121"/>
      <c r="AJ189" s="121"/>
      <c r="AK189" s="121"/>
      <c r="AL189" s="121"/>
      <c r="AM189" s="121"/>
      <c r="AN189" s="121"/>
      <c r="AO189" s="121"/>
    </row>
    <row r="190" spans="17:41" x14ac:dyDescent="0.25">
      <c r="Q190" s="121"/>
      <c r="R190" s="121"/>
      <c r="S190" s="121"/>
      <c r="T190" s="121"/>
      <c r="U190" s="121"/>
      <c r="V190" s="121"/>
      <c r="W190" s="121"/>
      <c r="X190" s="121"/>
      <c r="Y190" s="121"/>
      <c r="Z190" s="121"/>
      <c r="AA190" s="121"/>
      <c r="AB190" s="121"/>
      <c r="AC190" s="121"/>
      <c r="AD190" s="121"/>
      <c r="AE190" s="121"/>
      <c r="AF190" s="121"/>
      <c r="AG190" s="121"/>
      <c r="AH190" s="121"/>
      <c r="AI190" s="121"/>
      <c r="AJ190" s="121"/>
      <c r="AK190" s="121"/>
      <c r="AL190" s="121"/>
      <c r="AM190" s="121"/>
      <c r="AN190" s="121"/>
      <c r="AO190" s="121"/>
    </row>
    <row r="191" spans="17:41" x14ac:dyDescent="0.25">
      <c r="Q191" s="121"/>
      <c r="R191" s="121"/>
      <c r="S191" s="121"/>
      <c r="T191" s="121"/>
      <c r="U191" s="121"/>
      <c r="V191" s="121"/>
      <c r="W191" s="121"/>
      <c r="X191" s="121"/>
      <c r="Y191" s="121"/>
      <c r="Z191" s="121"/>
      <c r="AA191" s="121"/>
      <c r="AB191" s="121"/>
      <c r="AC191" s="121"/>
      <c r="AD191" s="121"/>
      <c r="AE191" s="121"/>
      <c r="AF191" s="121"/>
      <c r="AG191" s="121"/>
      <c r="AH191" s="121"/>
      <c r="AI191" s="121"/>
      <c r="AJ191" s="121"/>
      <c r="AK191" s="121"/>
      <c r="AL191" s="121"/>
      <c r="AM191" s="121"/>
      <c r="AN191" s="121"/>
      <c r="AO191" s="121"/>
    </row>
    <row r="192" spans="17:41" x14ac:dyDescent="0.25">
      <c r="Q192" s="121"/>
      <c r="R192" s="121"/>
      <c r="S192" s="121"/>
      <c r="T192" s="121"/>
      <c r="U192" s="121"/>
      <c r="V192" s="121"/>
      <c r="W192" s="121"/>
      <c r="X192" s="121"/>
      <c r="Y192" s="121"/>
      <c r="Z192" s="121"/>
      <c r="AA192" s="121"/>
      <c r="AB192" s="121"/>
      <c r="AC192" s="121"/>
      <c r="AD192" s="121"/>
      <c r="AE192" s="121"/>
      <c r="AF192" s="121"/>
      <c r="AG192" s="121"/>
      <c r="AH192" s="121"/>
      <c r="AI192" s="121"/>
      <c r="AJ192" s="121"/>
      <c r="AK192" s="121"/>
      <c r="AL192" s="121"/>
      <c r="AM192" s="121"/>
      <c r="AN192" s="121"/>
      <c r="AO192" s="121"/>
    </row>
    <row r="193" spans="17:41" x14ac:dyDescent="0.25">
      <c r="Q193" s="121"/>
      <c r="R193" s="121"/>
      <c r="S193" s="121"/>
      <c r="T193" s="121"/>
      <c r="U193" s="121"/>
      <c r="V193" s="121"/>
      <c r="W193" s="121"/>
      <c r="X193" s="121"/>
      <c r="Y193" s="121"/>
      <c r="Z193" s="121"/>
      <c r="AA193" s="121"/>
      <c r="AB193" s="121"/>
      <c r="AC193" s="121"/>
      <c r="AD193" s="121"/>
      <c r="AE193" s="121"/>
      <c r="AF193" s="121"/>
      <c r="AG193" s="121"/>
      <c r="AH193" s="121"/>
      <c r="AI193" s="121"/>
      <c r="AJ193" s="121"/>
      <c r="AK193" s="121"/>
      <c r="AL193" s="121"/>
      <c r="AM193" s="121"/>
      <c r="AN193" s="121"/>
      <c r="AO193" s="121"/>
    </row>
    <row r="194" spans="17:41" x14ac:dyDescent="0.25">
      <c r="Q194" s="121"/>
      <c r="R194" s="121"/>
      <c r="S194" s="121"/>
      <c r="T194" s="121"/>
      <c r="U194" s="121"/>
      <c r="V194" s="121"/>
      <c r="W194" s="121"/>
      <c r="X194" s="121"/>
      <c r="Y194" s="121"/>
      <c r="Z194" s="121"/>
      <c r="AA194" s="121"/>
      <c r="AB194" s="121"/>
      <c r="AC194" s="121"/>
      <c r="AD194" s="121"/>
      <c r="AE194" s="121"/>
      <c r="AF194" s="121"/>
      <c r="AG194" s="121"/>
      <c r="AH194" s="121"/>
      <c r="AI194" s="121"/>
      <c r="AJ194" s="121"/>
      <c r="AK194" s="121"/>
      <c r="AL194" s="121"/>
      <c r="AM194" s="121"/>
      <c r="AN194" s="121"/>
      <c r="AO194" s="121"/>
    </row>
    <row r="195" spans="17:41" x14ac:dyDescent="0.25">
      <c r="Q195" s="121"/>
      <c r="R195" s="121"/>
      <c r="S195" s="121"/>
      <c r="T195" s="121"/>
      <c r="U195" s="121"/>
      <c r="V195" s="121"/>
      <c r="W195" s="121"/>
      <c r="X195" s="121"/>
      <c r="Y195" s="121"/>
      <c r="Z195" s="121"/>
      <c r="AA195" s="121"/>
      <c r="AB195" s="121"/>
      <c r="AC195" s="121"/>
      <c r="AD195" s="121"/>
      <c r="AE195" s="121"/>
      <c r="AF195" s="121"/>
      <c r="AG195" s="121"/>
      <c r="AH195" s="121"/>
      <c r="AI195" s="121"/>
      <c r="AJ195" s="121"/>
      <c r="AK195" s="121"/>
      <c r="AL195" s="121"/>
      <c r="AM195" s="121"/>
      <c r="AN195" s="121"/>
      <c r="AO195" s="121"/>
    </row>
    <row r="196" spans="17:41" x14ac:dyDescent="0.25">
      <c r="Q196" s="121"/>
      <c r="R196" s="121"/>
      <c r="S196" s="121"/>
      <c r="T196" s="121"/>
      <c r="U196" s="121"/>
      <c r="V196" s="121"/>
      <c r="W196" s="121"/>
      <c r="X196" s="121"/>
      <c r="Y196" s="121"/>
      <c r="Z196" s="121"/>
      <c r="AA196" s="121"/>
      <c r="AB196" s="121"/>
      <c r="AC196" s="121"/>
      <c r="AD196" s="121"/>
      <c r="AE196" s="121"/>
      <c r="AF196" s="121"/>
      <c r="AG196" s="121"/>
      <c r="AH196" s="121"/>
      <c r="AI196" s="121"/>
      <c r="AJ196" s="121"/>
      <c r="AK196" s="121"/>
      <c r="AL196" s="121"/>
      <c r="AM196" s="121"/>
      <c r="AN196" s="121"/>
      <c r="AO196" s="121"/>
    </row>
    <row r="197" spans="17:41" x14ac:dyDescent="0.25">
      <c r="Q197" s="121"/>
      <c r="R197" s="121"/>
      <c r="S197" s="121"/>
      <c r="T197" s="121"/>
      <c r="U197" s="121"/>
      <c r="V197" s="121"/>
      <c r="W197" s="121"/>
      <c r="X197" s="121"/>
      <c r="Y197" s="121"/>
      <c r="Z197" s="121"/>
      <c r="AA197" s="121"/>
      <c r="AB197" s="121"/>
      <c r="AC197" s="121"/>
      <c r="AD197" s="121"/>
      <c r="AE197" s="121"/>
      <c r="AF197" s="121"/>
      <c r="AG197" s="121"/>
      <c r="AH197" s="121"/>
      <c r="AI197" s="121"/>
      <c r="AJ197" s="121"/>
      <c r="AK197" s="121"/>
      <c r="AL197" s="121"/>
      <c r="AM197" s="121"/>
      <c r="AN197" s="121"/>
      <c r="AO197" s="121"/>
    </row>
    <row r="198" spans="17:41" x14ac:dyDescent="0.25">
      <c r="Q198" s="121"/>
      <c r="R198" s="121"/>
      <c r="S198" s="121"/>
      <c r="T198" s="121"/>
      <c r="U198" s="121"/>
      <c r="V198" s="121"/>
      <c r="W198" s="121"/>
      <c r="X198" s="121"/>
      <c r="Y198" s="121"/>
      <c r="Z198" s="121"/>
      <c r="AA198" s="121"/>
      <c r="AB198" s="121"/>
      <c r="AC198" s="121"/>
      <c r="AD198" s="121"/>
      <c r="AE198" s="121"/>
      <c r="AF198" s="121"/>
      <c r="AG198" s="121"/>
      <c r="AH198" s="121"/>
      <c r="AI198" s="121"/>
      <c r="AJ198" s="121"/>
      <c r="AK198" s="121"/>
      <c r="AL198" s="121"/>
      <c r="AM198" s="121"/>
      <c r="AN198" s="121"/>
      <c r="AO198" s="121"/>
    </row>
    <row r="199" spans="17:41" x14ac:dyDescent="0.25">
      <c r="Q199" s="121"/>
      <c r="R199" s="121"/>
      <c r="S199" s="121"/>
      <c r="T199" s="121"/>
      <c r="U199" s="121"/>
      <c r="V199" s="121"/>
      <c r="W199" s="121"/>
      <c r="X199" s="121"/>
      <c r="Y199" s="121"/>
      <c r="Z199" s="121"/>
      <c r="AA199" s="121"/>
      <c r="AB199" s="121"/>
      <c r="AC199" s="121"/>
      <c r="AD199" s="121"/>
      <c r="AE199" s="121"/>
      <c r="AF199" s="121"/>
      <c r="AG199" s="121"/>
      <c r="AH199" s="121"/>
      <c r="AI199" s="121"/>
      <c r="AJ199" s="121"/>
      <c r="AK199" s="121"/>
      <c r="AL199" s="121"/>
      <c r="AM199" s="121"/>
      <c r="AN199" s="121"/>
      <c r="AO199" s="121"/>
    </row>
    <row r="200" spans="17:41" x14ac:dyDescent="0.25">
      <c r="Q200" s="121"/>
      <c r="R200" s="121"/>
      <c r="S200" s="121"/>
      <c r="T200" s="121"/>
      <c r="U200" s="121"/>
      <c r="V200" s="121"/>
      <c r="W200" s="121"/>
      <c r="X200" s="121"/>
      <c r="Y200" s="121"/>
      <c r="Z200" s="121"/>
      <c r="AA200" s="121"/>
      <c r="AB200" s="121"/>
      <c r="AC200" s="121"/>
      <c r="AD200" s="121"/>
      <c r="AE200" s="121"/>
      <c r="AF200" s="121"/>
      <c r="AG200" s="121"/>
      <c r="AH200" s="121"/>
      <c r="AI200" s="121"/>
      <c r="AJ200" s="121"/>
      <c r="AK200" s="121"/>
      <c r="AL200" s="121"/>
      <c r="AM200" s="121"/>
      <c r="AN200" s="121"/>
      <c r="AO200" s="121"/>
    </row>
    <row r="201" spans="17:41" x14ac:dyDescent="0.25">
      <c r="Q201" s="121"/>
      <c r="R201" s="121"/>
      <c r="S201" s="121"/>
      <c r="T201" s="121"/>
      <c r="U201" s="121"/>
      <c r="V201" s="121"/>
      <c r="W201" s="121"/>
      <c r="X201" s="121"/>
      <c r="Y201" s="121"/>
      <c r="Z201" s="121"/>
      <c r="AA201" s="121"/>
      <c r="AB201" s="121"/>
      <c r="AC201" s="121"/>
      <c r="AD201" s="121"/>
      <c r="AE201" s="121"/>
      <c r="AF201" s="121"/>
      <c r="AG201" s="121"/>
      <c r="AH201" s="121"/>
      <c r="AI201" s="121"/>
      <c r="AJ201" s="121"/>
      <c r="AK201" s="121"/>
      <c r="AL201" s="121"/>
      <c r="AM201" s="121"/>
      <c r="AN201" s="121"/>
      <c r="AO201" s="121"/>
    </row>
    <row r="202" spans="17:41" x14ac:dyDescent="0.25">
      <c r="Q202" s="121"/>
      <c r="R202" s="121"/>
      <c r="S202" s="121"/>
      <c r="T202" s="121"/>
      <c r="U202" s="121"/>
      <c r="V202" s="121"/>
      <c r="W202" s="121"/>
      <c r="X202" s="121"/>
      <c r="Y202" s="121"/>
      <c r="Z202" s="121"/>
      <c r="AA202" s="121"/>
      <c r="AB202" s="121"/>
      <c r="AC202" s="121"/>
      <c r="AD202" s="121"/>
      <c r="AE202" s="121"/>
      <c r="AF202" s="121"/>
      <c r="AG202" s="121"/>
      <c r="AH202" s="121"/>
      <c r="AI202" s="121"/>
      <c r="AJ202" s="121"/>
      <c r="AK202" s="121"/>
      <c r="AL202" s="121"/>
      <c r="AM202" s="121"/>
      <c r="AN202" s="121"/>
      <c r="AO202" s="121"/>
    </row>
    <row r="203" spans="17:41" x14ac:dyDescent="0.25">
      <c r="Q203" s="121"/>
      <c r="R203" s="121"/>
      <c r="S203" s="121"/>
      <c r="T203" s="121"/>
      <c r="U203" s="121"/>
      <c r="V203" s="121"/>
      <c r="W203" s="121"/>
      <c r="X203" s="121"/>
      <c r="Y203" s="121"/>
      <c r="Z203" s="121"/>
      <c r="AA203" s="121"/>
      <c r="AB203" s="121"/>
      <c r="AC203" s="121"/>
      <c r="AD203" s="121"/>
      <c r="AE203" s="121"/>
      <c r="AF203" s="121"/>
      <c r="AG203" s="121"/>
      <c r="AH203" s="121"/>
      <c r="AI203" s="121"/>
      <c r="AJ203" s="121"/>
      <c r="AK203" s="121"/>
      <c r="AL203" s="121"/>
      <c r="AM203" s="121"/>
      <c r="AN203" s="121"/>
      <c r="AO203" s="121"/>
    </row>
    <row r="204" spans="17:41" x14ac:dyDescent="0.25">
      <c r="Q204" s="121"/>
      <c r="R204" s="121"/>
      <c r="S204" s="121"/>
      <c r="T204" s="121"/>
      <c r="U204" s="121"/>
      <c r="V204" s="121"/>
      <c r="W204" s="121"/>
      <c r="X204" s="121"/>
      <c r="Y204" s="121"/>
      <c r="Z204" s="121"/>
      <c r="AA204" s="121"/>
      <c r="AB204" s="121"/>
      <c r="AC204" s="121"/>
      <c r="AD204" s="121"/>
      <c r="AE204" s="121"/>
      <c r="AF204" s="121"/>
      <c r="AG204" s="121"/>
      <c r="AH204" s="121"/>
      <c r="AI204" s="121"/>
      <c r="AJ204" s="121"/>
      <c r="AK204" s="121"/>
      <c r="AL204" s="121"/>
      <c r="AM204" s="121"/>
      <c r="AN204" s="121"/>
      <c r="AO204" s="121"/>
    </row>
    <row r="205" spans="17:41" x14ac:dyDescent="0.25">
      <c r="Q205" s="121"/>
      <c r="R205" s="121"/>
      <c r="S205" s="121"/>
      <c r="T205" s="121"/>
      <c r="U205" s="121"/>
      <c r="V205" s="121"/>
      <c r="W205" s="121"/>
      <c r="X205" s="121"/>
      <c r="Y205" s="121"/>
      <c r="Z205" s="121"/>
      <c r="AA205" s="121"/>
      <c r="AB205" s="121"/>
      <c r="AC205" s="121"/>
      <c r="AD205" s="121"/>
      <c r="AE205" s="121"/>
      <c r="AF205" s="121"/>
      <c r="AG205" s="121"/>
      <c r="AH205" s="121"/>
      <c r="AI205" s="121"/>
      <c r="AJ205" s="121"/>
      <c r="AK205" s="121"/>
      <c r="AL205" s="121"/>
      <c r="AM205" s="121"/>
      <c r="AN205" s="121"/>
      <c r="AO205" s="121"/>
    </row>
  </sheetData>
  <mergeCells count="16">
    <mergeCell ref="K2:L2"/>
    <mergeCell ref="K4:L4"/>
    <mergeCell ref="D39:I39"/>
    <mergeCell ref="D38:I38"/>
    <mergeCell ref="C2:D3"/>
    <mergeCell ref="D35:I35"/>
    <mergeCell ref="D36:I36"/>
    <mergeCell ref="D37:I37"/>
    <mergeCell ref="C4:H4"/>
    <mergeCell ref="C33:H33"/>
    <mergeCell ref="D6:I6"/>
    <mergeCell ref="D7:I7"/>
    <mergeCell ref="D8:I8"/>
    <mergeCell ref="D10:I10"/>
    <mergeCell ref="C31:D32"/>
    <mergeCell ref="D9:I9"/>
  </mergeCells>
  <conditionalFormatting sqref="E26:P26">
    <cfRule type="cellIs" dxfId="2186" priority="4" operator="lessThan">
      <formula>0</formula>
    </cfRule>
  </conditionalFormatting>
  <conditionalFormatting sqref="D26">
    <cfRule type="cellIs" dxfId="2185" priority="3" operator="lessThan">
      <formula>0</formula>
    </cfRule>
  </conditionalFormatting>
  <conditionalFormatting sqref="D28">
    <cfRule type="cellIs" dxfId="2184" priority="2" operator="lessThan">
      <formula>0</formula>
    </cfRule>
  </conditionalFormatting>
  <conditionalFormatting sqref="D11">
    <cfRule type="cellIs" dxfId="2183" priority="1" operator="greaterThan">
      <formula>0</formula>
    </cfRule>
  </conditionalFormatting>
  <dataValidations count="1">
    <dataValidation type="list" allowBlank="1" showInputMessage="1" showErrorMessage="1" sqref="C5">
      <formula1>$M$6:$M$36</formula1>
    </dataValidation>
  </dataValidations>
  <hyperlinks>
    <hyperlink ref="K2:L2" location="Distribucion_horas!A1" display="Regresar Cuadro Distribucion Horas"/>
    <hyperlink ref="K4:L4" location="Resumen!A1" display="Ir a Resumen de Rentabilidad"/>
  </hyperlinks>
  <pageMargins left="0.7" right="0.7" top="0.75" bottom="0.75" header="0.3" footer="0.3"/>
  <pageSetup paperSize="9" orientation="portrait" r:id="rId1"/>
  <ignoredErrors>
    <ignoredError sqref="E43" evalError="1"/>
  </ignoredError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Datos!$M$8:$M$35</xm:f>
          </x14:formula1>
          <xm:sqref>C34</xm:sqref>
        </x14:dataValidation>
        <x14:dataValidation type="list" allowBlank="1" showInputMessage="1" showErrorMessage="1">
          <x14:formula1>
            <xm:f>Datos!$M$8:$M$53</xm:f>
          </x14:formula1>
          <xm:sqref>C4:H4</xm:sqref>
        </x14:dataValidation>
        <x14:dataValidation type="list" allowBlank="1" showInputMessage="1" showErrorMessage="1">
          <x14:formula1>
            <xm:f>Datos!$M$2:$M$7</xm:f>
          </x14:formula1>
          <xm:sqref>C33:H33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rgb="FF00B050"/>
  </sheetPr>
  <dimension ref="A1:X115"/>
  <sheetViews>
    <sheetView topLeftCell="C1" workbookViewId="0">
      <selection activeCell="D6" sqref="D6"/>
    </sheetView>
  </sheetViews>
  <sheetFormatPr baseColWidth="10" defaultRowHeight="15" x14ac:dyDescent="0.25"/>
  <cols>
    <col min="1" max="1" width="11.42578125" style="247"/>
    <col min="2" max="2" width="13.140625" style="247" bestFit="1" customWidth="1"/>
    <col min="3" max="3" width="12" style="247" bestFit="1" customWidth="1"/>
    <col min="4" max="4" width="31.28515625" style="247" bestFit="1" customWidth="1"/>
    <col min="5" max="5" width="17.42578125" style="247" bestFit="1" customWidth="1"/>
    <col min="6" max="11" width="13.85546875" style="247" bestFit="1" customWidth="1"/>
    <col min="12" max="12" width="11.85546875" style="247" bestFit="1" customWidth="1"/>
    <col min="13" max="13" width="12" style="247" bestFit="1" customWidth="1"/>
    <col min="14" max="14" width="34.42578125" style="247" bestFit="1" customWidth="1"/>
    <col min="15" max="16384" width="11.42578125" style="247"/>
  </cols>
  <sheetData>
    <row r="1" spans="1:24" ht="15.75" thickBot="1" x14ac:dyDescent="0.3">
      <c r="A1" s="121"/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</row>
    <row r="2" spans="1:24" ht="15.75" thickBot="1" x14ac:dyDescent="0.3">
      <c r="A2" s="121"/>
      <c r="B2" s="256" t="s">
        <v>565</v>
      </c>
      <c r="C2" s="257" t="s">
        <v>529</v>
      </c>
      <c r="D2" s="257" t="s">
        <v>566</v>
      </c>
      <c r="E2" s="257" t="s">
        <v>567</v>
      </c>
      <c r="F2" s="257" t="s">
        <v>599</v>
      </c>
      <c r="G2" s="257" t="s">
        <v>600</v>
      </c>
      <c r="H2" s="257" t="s">
        <v>601</v>
      </c>
      <c r="I2" s="257" t="s">
        <v>602</v>
      </c>
      <c r="J2" s="257" t="s">
        <v>603</v>
      </c>
      <c r="K2" s="257" t="s">
        <v>604</v>
      </c>
      <c r="L2" s="257" t="s">
        <v>605</v>
      </c>
      <c r="M2" s="258" t="s">
        <v>574</v>
      </c>
      <c r="N2" s="269" t="s">
        <v>575</v>
      </c>
      <c r="O2" s="121"/>
      <c r="P2" s="121"/>
      <c r="Q2" s="121"/>
      <c r="R2" s="121"/>
      <c r="S2" s="121"/>
      <c r="T2" s="121"/>
      <c r="U2" s="121"/>
      <c r="V2" s="121"/>
      <c r="W2" s="121"/>
      <c r="X2" s="121"/>
    </row>
    <row r="3" spans="1:24" ht="41.25" customHeight="1" x14ac:dyDescent="0.25">
      <c r="A3" s="121"/>
      <c r="B3" s="270" t="s">
        <v>87</v>
      </c>
      <c r="C3" s="271" t="s">
        <v>86</v>
      </c>
      <c r="D3" s="272" t="s">
        <v>125</v>
      </c>
      <c r="E3" s="273" t="s">
        <v>606</v>
      </c>
      <c r="F3" s="274">
        <v>7500</v>
      </c>
      <c r="G3" s="275">
        <v>7500</v>
      </c>
      <c r="H3" s="275">
        <v>7500</v>
      </c>
      <c r="I3" s="275">
        <v>7500</v>
      </c>
      <c r="J3" s="275">
        <v>7500</v>
      </c>
      <c r="K3" s="275">
        <v>7500</v>
      </c>
      <c r="L3" s="276" t="s">
        <v>440</v>
      </c>
      <c r="M3" s="277" t="s">
        <v>576</v>
      </c>
      <c r="N3" s="278" t="s">
        <v>607</v>
      </c>
      <c r="O3" s="121"/>
      <c r="P3" s="121"/>
      <c r="Q3" s="121"/>
      <c r="R3" s="121"/>
      <c r="S3" s="121"/>
      <c r="T3" s="121"/>
      <c r="U3" s="121"/>
      <c r="V3" s="121"/>
      <c r="W3" s="121"/>
      <c r="X3" s="121"/>
    </row>
    <row r="4" spans="1:24" ht="42" customHeight="1" x14ac:dyDescent="0.25">
      <c r="A4" s="121"/>
      <c r="B4" s="279" t="s">
        <v>81</v>
      </c>
      <c r="C4" s="280" t="s">
        <v>80</v>
      </c>
      <c r="D4" s="281" t="s">
        <v>126</v>
      </c>
      <c r="E4" s="282" t="s">
        <v>606</v>
      </c>
      <c r="F4" s="283" t="s">
        <v>440</v>
      </c>
      <c r="G4" s="284">
        <v>4420</v>
      </c>
      <c r="H4" s="284">
        <v>4420</v>
      </c>
      <c r="I4" s="284">
        <v>4420</v>
      </c>
      <c r="J4" s="284">
        <v>4420</v>
      </c>
      <c r="K4" s="284">
        <v>4420</v>
      </c>
      <c r="L4" s="285" t="s">
        <v>440</v>
      </c>
      <c r="M4" s="110" t="s">
        <v>576</v>
      </c>
      <c r="N4" s="267" t="s">
        <v>607</v>
      </c>
      <c r="O4" s="121"/>
      <c r="P4" s="121"/>
      <c r="Q4" s="121"/>
      <c r="R4" s="121"/>
      <c r="S4" s="121"/>
      <c r="T4" s="121"/>
      <c r="U4" s="121"/>
      <c r="V4" s="121"/>
      <c r="W4" s="121"/>
      <c r="X4" s="121"/>
    </row>
    <row r="5" spans="1:24" ht="46.5" customHeight="1" x14ac:dyDescent="0.25">
      <c r="A5" s="121"/>
      <c r="B5" s="279" t="s">
        <v>83</v>
      </c>
      <c r="C5" s="280" t="s">
        <v>82</v>
      </c>
      <c r="D5" s="281" t="s">
        <v>126</v>
      </c>
      <c r="E5" s="282" t="s">
        <v>606</v>
      </c>
      <c r="F5" s="286">
        <v>4003</v>
      </c>
      <c r="G5" s="286">
        <v>4003</v>
      </c>
      <c r="H5" s="286">
        <v>4003</v>
      </c>
      <c r="I5" s="286">
        <v>4003</v>
      </c>
      <c r="J5" s="286">
        <v>4003</v>
      </c>
      <c r="K5" s="286">
        <v>4003</v>
      </c>
      <c r="L5" s="286">
        <v>4003</v>
      </c>
      <c r="M5" s="110" t="s">
        <v>576</v>
      </c>
      <c r="N5" s="267" t="s">
        <v>607</v>
      </c>
      <c r="O5" s="121"/>
      <c r="P5" s="121"/>
      <c r="Q5" s="121"/>
      <c r="R5" s="121"/>
      <c r="S5" s="121"/>
      <c r="T5" s="121"/>
      <c r="U5" s="121"/>
      <c r="V5" s="121"/>
      <c r="W5" s="121"/>
      <c r="X5" s="121"/>
    </row>
    <row r="6" spans="1:24" ht="46.5" customHeight="1" thickBot="1" x14ac:dyDescent="0.3">
      <c r="A6" s="121"/>
      <c r="B6" s="287" t="s">
        <v>42</v>
      </c>
      <c r="C6" s="288" t="s">
        <v>44</v>
      </c>
      <c r="D6" s="289" t="s">
        <v>304</v>
      </c>
      <c r="E6" s="290" t="s">
        <v>593</v>
      </c>
      <c r="F6" s="291">
        <v>263859</v>
      </c>
      <c r="G6" s="291">
        <v>309938.62</v>
      </c>
      <c r="H6" s="291">
        <v>311982.76</v>
      </c>
      <c r="I6" s="291">
        <v>285696</v>
      </c>
      <c r="J6" s="291">
        <v>320788</v>
      </c>
      <c r="K6" s="291">
        <v>306125</v>
      </c>
      <c r="L6" s="292" t="s">
        <v>440</v>
      </c>
      <c r="M6" s="268" t="s">
        <v>576</v>
      </c>
      <c r="N6" s="293" t="s">
        <v>607</v>
      </c>
      <c r="O6" s="121"/>
      <c r="P6" s="121"/>
      <c r="Q6" s="121"/>
      <c r="R6" s="121"/>
      <c r="S6" s="121"/>
      <c r="T6" s="121"/>
      <c r="U6" s="121"/>
      <c r="V6" s="121"/>
      <c r="W6" s="121"/>
      <c r="X6" s="121"/>
    </row>
    <row r="7" spans="1:24" x14ac:dyDescent="0.25">
      <c r="A7" s="121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</row>
    <row r="8" spans="1:24" x14ac:dyDescent="0.25">
      <c r="A8" s="121"/>
      <c r="B8" s="121"/>
      <c r="C8" s="121"/>
      <c r="D8" s="121"/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/>
    </row>
    <row r="9" spans="1:24" x14ac:dyDescent="0.25">
      <c r="A9" s="121"/>
      <c r="B9" s="121"/>
      <c r="C9" s="121"/>
      <c r="D9" s="121"/>
      <c r="E9" s="121"/>
      <c r="F9" s="121"/>
      <c r="G9" s="121"/>
      <c r="H9" s="121"/>
      <c r="I9" s="121"/>
      <c r="J9" s="121"/>
      <c r="K9" s="121"/>
      <c r="L9" s="121"/>
      <c r="M9" s="121"/>
      <c r="N9" s="121"/>
      <c r="O9" s="121"/>
      <c r="P9" s="121"/>
      <c r="Q9" s="121"/>
      <c r="R9" s="121"/>
      <c r="S9" s="121"/>
      <c r="T9" s="121"/>
      <c r="U9" s="121"/>
      <c r="V9" s="121"/>
      <c r="W9" s="121"/>
      <c r="X9" s="121"/>
    </row>
    <row r="10" spans="1:24" x14ac:dyDescent="0.25">
      <c r="A10" s="121"/>
      <c r="B10" s="121"/>
      <c r="C10" s="121"/>
      <c r="D10" s="121"/>
      <c r="E10" s="121"/>
      <c r="F10" s="121"/>
      <c r="G10" s="121"/>
      <c r="H10" s="121"/>
      <c r="I10" s="121"/>
      <c r="J10" s="121"/>
      <c r="K10" s="121"/>
      <c r="L10" s="121"/>
      <c r="M10" s="121"/>
      <c r="N10" s="121"/>
      <c r="O10" s="121"/>
      <c r="P10" s="121"/>
      <c r="Q10" s="121"/>
      <c r="R10" s="121"/>
      <c r="S10" s="121"/>
      <c r="T10" s="121"/>
      <c r="U10" s="121"/>
      <c r="V10" s="121"/>
      <c r="W10" s="121"/>
      <c r="X10" s="121"/>
    </row>
    <row r="11" spans="1:24" x14ac:dyDescent="0.25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121"/>
      <c r="Q11" s="121"/>
      <c r="R11" s="121"/>
      <c r="S11" s="121"/>
      <c r="T11" s="121"/>
      <c r="U11" s="121"/>
      <c r="V11" s="121"/>
      <c r="W11" s="121"/>
      <c r="X11" s="121"/>
    </row>
    <row r="12" spans="1:24" x14ac:dyDescent="0.25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</row>
    <row r="13" spans="1:24" x14ac:dyDescent="0.25">
      <c r="A13" s="121"/>
      <c r="B13" s="121"/>
      <c r="C13" s="121"/>
      <c r="D13" s="121"/>
      <c r="E13" s="121"/>
      <c r="F13" s="121"/>
      <c r="G13" s="121"/>
      <c r="H13" s="121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</row>
    <row r="14" spans="1:24" x14ac:dyDescent="0.25">
      <c r="A14" s="121"/>
      <c r="B14" s="121"/>
      <c r="C14" s="121"/>
      <c r="D14" s="121"/>
      <c r="E14" s="121"/>
      <c r="F14" s="121"/>
      <c r="G14" s="121"/>
      <c r="H14" s="121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1"/>
    </row>
    <row r="15" spans="1:24" x14ac:dyDescent="0.25">
      <c r="A15" s="121"/>
      <c r="B15" s="121"/>
      <c r="C15" s="121"/>
      <c r="D15" s="121"/>
      <c r="E15" s="121"/>
      <c r="F15" s="121"/>
      <c r="G15" s="121"/>
      <c r="H15" s="121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21"/>
      <c r="W15" s="121"/>
      <c r="X15" s="121"/>
    </row>
    <row r="16" spans="1:24" x14ac:dyDescent="0.25">
      <c r="A16" s="121"/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</row>
    <row r="17" spans="1:24" x14ac:dyDescent="0.25">
      <c r="A17" s="121"/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</row>
    <row r="18" spans="1:24" x14ac:dyDescent="0.25">
      <c r="A18" s="121"/>
      <c r="B18" s="121"/>
      <c r="C18" s="121"/>
      <c r="D18" s="121"/>
      <c r="E18" s="121"/>
      <c r="F18" s="121"/>
      <c r="G18" s="121"/>
      <c r="H18" s="121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21"/>
    </row>
    <row r="19" spans="1:24" x14ac:dyDescent="0.25">
      <c r="A19" s="121"/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</row>
    <row r="20" spans="1:24" x14ac:dyDescent="0.25">
      <c r="A20" s="121"/>
      <c r="B20" s="121"/>
      <c r="C20" s="121"/>
      <c r="D20" s="121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</row>
    <row r="21" spans="1:24" x14ac:dyDescent="0.25">
      <c r="A21" s="121"/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</row>
    <row r="22" spans="1:24" x14ac:dyDescent="0.25">
      <c r="A22" s="121"/>
      <c r="B22" s="121"/>
      <c r="C22" s="121"/>
      <c r="D22" s="121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</row>
    <row r="23" spans="1:24" x14ac:dyDescent="0.25">
      <c r="A23" s="121"/>
      <c r="B23" s="121"/>
      <c r="C23" s="121"/>
      <c r="D23" s="121"/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</row>
    <row r="24" spans="1:24" x14ac:dyDescent="0.25">
      <c r="A24" s="121"/>
      <c r="B24" s="121"/>
      <c r="C24" s="121"/>
      <c r="D24" s="121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</row>
    <row r="25" spans="1:24" x14ac:dyDescent="0.25">
      <c r="A25" s="121"/>
      <c r="B25" s="121"/>
      <c r="C25" s="121"/>
      <c r="D25" s="121"/>
      <c r="E25" s="121"/>
      <c r="F25" s="121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</row>
    <row r="26" spans="1:24" x14ac:dyDescent="0.25">
      <c r="A26" s="121"/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</row>
    <row r="27" spans="1:24" x14ac:dyDescent="0.25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</row>
    <row r="28" spans="1:24" x14ac:dyDescent="0.25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</row>
    <row r="29" spans="1:24" x14ac:dyDescent="0.25">
      <c r="A29" s="121"/>
      <c r="B29" s="121"/>
      <c r="C29" s="121"/>
      <c r="D29" s="121"/>
      <c r="E29" s="121"/>
      <c r="F29" s="121"/>
      <c r="G29" s="121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</row>
    <row r="30" spans="1:24" x14ac:dyDescent="0.25">
      <c r="A30" s="121"/>
      <c r="B30" s="121"/>
      <c r="C30" s="121"/>
      <c r="D30" s="121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</row>
    <row r="31" spans="1:24" x14ac:dyDescent="0.25">
      <c r="A31" s="121"/>
      <c r="B31" s="121"/>
      <c r="C31" s="121"/>
      <c r="D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</row>
    <row r="32" spans="1:24" x14ac:dyDescent="0.25">
      <c r="A32" s="121"/>
      <c r="B32" s="121"/>
      <c r="C32" s="121"/>
      <c r="D32" s="121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</row>
    <row r="33" spans="1:24" x14ac:dyDescent="0.25">
      <c r="A33" s="121"/>
      <c r="B33" s="121"/>
      <c r="C33" s="121"/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</row>
    <row r="34" spans="1:24" x14ac:dyDescent="0.25">
      <c r="A34" s="121"/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</row>
    <row r="35" spans="1:24" x14ac:dyDescent="0.25">
      <c r="A35" s="121"/>
      <c r="B35" s="121"/>
      <c r="C35" s="121"/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</row>
    <row r="36" spans="1:24" x14ac:dyDescent="0.25">
      <c r="A36" s="121"/>
      <c r="B36" s="121"/>
      <c r="C36" s="121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</row>
    <row r="37" spans="1:24" x14ac:dyDescent="0.25">
      <c r="A37" s="121"/>
      <c r="B37" s="121"/>
      <c r="C37" s="121"/>
      <c r="D37" s="121"/>
      <c r="E37" s="121"/>
      <c r="F37" s="121"/>
      <c r="G37" s="121"/>
      <c r="H37" s="121"/>
      <c r="I37" s="121"/>
      <c r="J37" s="121"/>
      <c r="K37" s="121"/>
      <c r="L37" s="121"/>
      <c r="M37" s="121"/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1"/>
    </row>
    <row r="38" spans="1:24" x14ac:dyDescent="0.25">
      <c r="A38" s="121"/>
      <c r="B38" s="121"/>
      <c r="C38" s="121"/>
      <c r="D38" s="121"/>
      <c r="E38" s="121"/>
      <c r="F38" s="121"/>
      <c r="G38" s="121"/>
      <c r="H38" s="121"/>
      <c r="I38" s="121"/>
      <c r="J38" s="121"/>
      <c r="K38" s="121"/>
      <c r="L38" s="121"/>
      <c r="M38" s="121"/>
      <c r="N38" s="121"/>
      <c r="O38" s="121"/>
      <c r="P38" s="121"/>
      <c r="Q38" s="121"/>
      <c r="R38" s="121"/>
      <c r="S38" s="121"/>
      <c r="T38" s="121"/>
      <c r="U38" s="121"/>
      <c r="V38" s="121"/>
      <c r="W38" s="121"/>
      <c r="X38" s="121"/>
    </row>
    <row r="39" spans="1:24" x14ac:dyDescent="0.25">
      <c r="A39" s="121"/>
      <c r="B39" s="121"/>
      <c r="C39" s="121"/>
      <c r="D39" s="121"/>
      <c r="E39" s="121"/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</row>
    <row r="40" spans="1:24" x14ac:dyDescent="0.25">
      <c r="A40" s="121"/>
      <c r="B40" s="121"/>
      <c r="C40" s="121"/>
      <c r="D40" s="121"/>
      <c r="E40" s="121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</row>
    <row r="41" spans="1:24" x14ac:dyDescent="0.25">
      <c r="A41" s="121"/>
      <c r="B41" s="121"/>
      <c r="C41" s="121"/>
      <c r="D41" s="121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</row>
    <row r="42" spans="1:24" x14ac:dyDescent="0.25">
      <c r="A42" s="121"/>
      <c r="B42" s="121"/>
      <c r="C42" s="121"/>
      <c r="D42" s="121"/>
      <c r="E42" s="121"/>
      <c r="F42" s="121"/>
      <c r="G42" s="121"/>
      <c r="H42" s="121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21"/>
      <c r="T42" s="121"/>
      <c r="U42" s="121"/>
      <c r="V42" s="121"/>
      <c r="W42" s="121"/>
      <c r="X42" s="121"/>
    </row>
    <row r="43" spans="1:24" x14ac:dyDescent="0.25">
      <c r="A43" s="121"/>
      <c r="B43" s="121"/>
      <c r="C43" s="121"/>
      <c r="D43" s="121"/>
      <c r="E43" s="121"/>
      <c r="F43" s="121"/>
      <c r="G43" s="121"/>
      <c r="H43" s="121"/>
      <c r="I43" s="121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</row>
    <row r="44" spans="1:24" x14ac:dyDescent="0.25">
      <c r="A44" s="121"/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</row>
    <row r="45" spans="1:24" x14ac:dyDescent="0.25">
      <c r="A45" s="121"/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</row>
    <row r="46" spans="1:24" x14ac:dyDescent="0.25">
      <c r="A46" s="121"/>
      <c r="B46" s="121"/>
      <c r="C46" s="121"/>
      <c r="D46" s="121"/>
      <c r="E46" s="121"/>
      <c r="F46" s="121"/>
      <c r="G46" s="121"/>
      <c r="H46" s="121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</row>
    <row r="47" spans="1:24" x14ac:dyDescent="0.25">
      <c r="A47" s="121"/>
      <c r="B47" s="121"/>
      <c r="C47" s="121"/>
      <c r="D47" s="121"/>
      <c r="E47" s="121"/>
      <c r="F47" s="121"/>
      <c r="G47" s="121"/>
      <c r="H47" s="121"/>
      <c r="I47" s="121"/>
      <c r="J47" s="121"/>
      <c r="K47" s="121"/>
      <c r="L47" s="121"/>
      <c r="M47" s="121"/>
      <c r="N47" s="121"/>
      <c r="O47" s="121"/>
      <c r="P47" s="121"/>
      <c r="Q47" s="121"/>
      <c r="R47" s="121"/>
      <c r="S47" s="121"/>
      <c r="T47" s="121"/>
      <c r="U47" s="121"/>
      <c r="V47" s="121"/>
      <c r="W47" s="121"/>
      <c r="X47" s="121"/>
    </row>
    <row r="48" spans="1:24" x14ac:dyDescent="0.25">
      <c r="A48" s="121"/>
      <c r="B48" s="121"/>
      <c r="C48" s="121"/>
      <c r="D48" s="121"/>
      <c r="E48" s="121"/>
      <c r="F48" s="121"/>
      <c r="G48" s="121"/>
      <c r="H48" s="121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T48" s="121"/>
      <c r="U48" s="121"/>
      <c r="V48" s="121"/>
      <c r="W48" s="121"/>
      <c r="X48" s="121"/>
    </row>
    <row r="49" spans="1:24" x14ac:dyDescent="0.25">
      <c r="A49" s="121"/>
      <c r="B49" s="121"/>
      <c r="C49" s="121"/>
      <c r="D49" s="121"/>
      <c r="E49" s="121"/>
      <c r="F49" s="121"/>
      <c r="G49" s="121"/>
      <c r="H49" s="121"/>
      <c r="I49" s="121"/>
      <c r="J49" s="121"/>
      <c r="K49" s="121"/>
      <c r="L49" s="121"/>
      <c r="M49" s="121"/>
      <c r="N49" s="121"/>
      <c r="O49" s="121"/>
      <c r="P49" s="121"/>
      <c r="Q49" s="121"/>
      <c r="R49" s="121"/>
      <c r="S49" s="121"/>
      <c r="T49" s="121"/>
      <c r="U49" s="121"/>
      <c r="V49" s="121"/>
      <c r="W49" s="121"/>
      <c r="X49" s="121"/>
    </row>
    <row r="50" spans="1:24" x14ac:dyDescent="0.25">
      <c r="A50" s="121"/>
      <c r="B50" s="121"/>
      <c r="C50" s="121"/>
      <c r="D50" s="121"/>
      <c r="E50" s="121"/>
      <c r="F50" s="121"/>
      <c r="G50" s="121"/>
      <c r="H50" s="121"/>
      <c r="I50" s="121"/>
      <c r="J50" s="121"/>
      <c r="K50" s="121"/>
      <c r="L50" s="121"/>
      <c r="M50" s="121"/>
      <c r="N50" s="121"/>
      <c r="O50" s="121"/>
      <c r="P50" s="121"/>
      <c r="Q50" s="121"/>
      <c r="R50" s="121"/>
      <c r="S50" s="121"/>
      <c r="T50" s="121"/>
      <c r="U50" s="121"/>
      <c r="V50" s="121"/>
      <c r="W50" s="121"/>
      <c r="X50" s="121"/>
    </row>
    <row r="51" spans="1:24" x14ac:dyDescent="0.25">
      <c r="A51" s="121"/>
      <c r="B51" s="121"/>
      <c r="C51" s="121"/>
      <c r="D51" s="121"/>
      <c r="E51" s="121"/>
      <c r="F51" s="121"/>
      <c r="G51" s="121"/>
      <c r="H51" s="121"/>
      <c r="I51" s="121"/>
      <c r="J51" s="121"/>
      <c r="K51" s="121"/>
      <c r="L51" s="121"/>
      <c r="M51" s="121"/>
      <c r="N51" s="121"/>
      <c r="O51" s="121"/>
      <c r="P51" s="121"/>
      <c r="Q51" s="121"/>
      <c r="R51" s="121"/>
      <c r="S51" s="121"/>
      <c r="T51" s="121"/>
      <c r="U51" s="121"/>
      <c r="V51" s="121"/>
      <c r="W51" s="121"/>
      <c r="X51" s="121"/>
    </row>
    <row r="52" spans="1:24" x14ac:dyDescent="0.25">
      <c r="A52" s="121"/>
      <c r="B52" s="121"/>
      <c r="C52" s="121"/>
      <c r="D52" s="121"/>
      <c r="E52" s="121"/>
      <c r="F52" s="121"/>
      <c r="G52" s="121"/>
      <c r="H52" s="121"/>
      <c r="I52" s="121"/>
      <c r="J52" s="121"/>
      <c r="K52" s="121"/>
      <c r="L52" s="121"/>
      <c r="M52" s="121"/>
      <c r="N52" s="121"/>
      <c r="O52" s="121"/>
      <c r="P52" s="121"/>
      <c r="Q52" s="121"/>
      <c r="R52" s="121"/>
      <c r="S52" s="121"/>
      <c r="T52" s="121"/>
      <c r="U52" s="121"/>
      <c r="V52" s="121"/>
      <c r="W52" s="121"/>
      <c r="X52" s="121"/>
    </row>
    <row r="53" spans="1:24" x14ac:dyDescent="0.25">
      <c r="A53" s="121"/>
      <c r="B53" s="121"/>
      <c r="C53" s="121"/>
      <c r="D53" s="121"/>
      <c r="E53" s="121"/>
      <c r="F53" s="121"/>
      <c r="G53" s="121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T53" s="121"/>
      <c r="U53" s="121"/>
      <c r="V53" s="121"/>
      <c r="W53" s="121"/>
      <c r="X53" s="121"/>
    </row>
    <row r="54" spans="1:24" x14ac:dyDescent="0.25">
      <c r="A54" s="121"/>
      <c r="B54" s="121"/>
      <c r="C54" s="121"/>
      <c r="D54" s="121"/>
      <c r="E54" s="121"/>
      <c r="F54" s="121"/>
      <c r="G54" s="121"/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</row>
    <row r="55" spans="1:24" x14ac:dyDescent="0.25">
      <c r="A55" s="121"/>
      <c r="B55" s="121"/>
      <c r="C55" s="121"/>
      <c r="D55" s="121"/>
      <c r="E55" s="121"/>
      <c r="F55" s="121"/>
      <c r="G55" s="121"/>
      <c r="H55" s="121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</row>
    <row r="56" spans="1:24" x14ac:dyDescent="0.25">
      <c r="A56" s="121"/>
      <c r="B56" s="121"/>
      <c r="C56" s="121"/>
      <c r="D56" s="121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</row>
    <row r="57" spans="1:24" x14ac:dyDescent="0.25">
      <c r="A57" s="121"/>
      <c r="B57" s="121"/>
      <c r="C57" s="121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</row>
    <row r="58" spans="1:24" x14ac:dyDescent="0.25">
      <c r="A58" s="121"/>
      <c r="B58" s="121"/>
      <c r="C58" s="121"/>
      <c r="D58" s="121"/>
      <c r="E58" s="121"/>
      <c r="F58" s="121"/>
      <c r="G58" s="121"/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</row>
    <row r="59" spans="1:24" x14ac:dyDescent="0.25">
      <c r="A59" s="121"/>
      <c r="B59" s="121"/>
      <c r="C59" s="121"/>
      <c r="D59" s="121"/>
      <c r="E59" s="121"/>
      <c r="F59" s="121"/>
      <c r="G59" s="121"/>
      <c r="H59" s="121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</row>
    <row r="60" spans="1:24" x14ac:dyDescent="0.25">
      <c r="A60" s="121"/>
      <c r="B60" s="121"/>
      <c r="C60" s="121"/>
      <c r="D60" s="121"/>
      <c r="E60" s="121"/>
      <c r="F60" s="121"/>
      <c r="G60" s="121"/>
      <c r="H60" s="121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</row>
    <row r="61" spans="1:24" x14ac:dyDescent="0.25">
      <c r="A61" s="121"/>
      <c r="B61" s="121"/>
      <c r="C61" s="121"/>
      <c r="D61" s="121"/>
      <c r="E61" s="121"/>
      <c r="F61" s="121"/>
      <c r="G61" s="121"/>
      <c r="H61" s="121"/>
      <c r="I61" s="121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</row>
    <row r="62" spans="1:24" x14ac:dyDescent="0.25">
      <c r="A62" s="121"/>
      <c r="B62" s="121"/>
      <c r="C62" s="121"/>
      <c r="D62" s="121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1"/>
      <c r="U62" s="121"/>
      <c r="V62" s="121"/>
      <c r="W62" s="121"/>
      <c r="X62" s="121"/>
    </row>
    <row r="63" spans="1:24" x14ac:dyDescent="0.25">
      <c r="A63" s="121"/>
      <c r="B63" s="121"/>
      <c r="C63" s="121"/>
      <c r="D63" s="121"/>
      <c r="E63" s="121"/>
      <c r="F63" s="121"/>
      <c r="G63" s="121"/>
      <c r="H63" s="121"/>
      <c r="I63" s="121"/>
      <c r="J63" s="121"/>
      <c r="K63" s="121"/>
      <c r="L63" s="121"/>
      <c r="M63" s="121"/>
      <c r="N63" s="121"/>
      <c r="O63" s="121"/>
      <c r="P63" s="121"/>
      <c r="Q63" s="121"/>
      <c r="R63" s="121"/>
      <c r="S63" s="121"/>
      <c r="T63" s="121"/>
      <c r="U63" s="121"/>
      <c r="V63" s="121"/>
      <c r="W63" s="121"/>
      <c r="X63" s="121"/>
    </row>
    <row r="64" spans="1:24" x14ac:dyDescent="0.25">
      <c r="A64" s="121"/>
      <c r="B64" s="121"/>
      <c r="C64" s="121"/>
      <c r="D64" s="121"/>
      <c r="E64" s="121"/>
      <c r="F64" s="121"/>
      <c r="G64" s="121"/>
      <c r="H64" s="121"/>
      <c r="I64" s="121"/>
      <c r="J64" s="121"/>
      <c r="K64" s="121"/>
      <c r="L64" s="121"/>
      <c r="M64" s="121"/>
      <c r="N64" s="121"/>
      <c r="O64" s="121"/>
      <c r="P64" s="121"/>
      <c r="Q64" s="121"/>
      <c r="R64" s="121"/>
      <c r="S64" s="121"/>
      <c r="T64" s="121"/>
      <c r="U64" s="121"/>
      <c r="V64" s="121"/>
      <c r="W64" s="121"/>
      <c r="X64" s="121"/>
    </row>
    <row r="65" spans="1:24" x14ac:dyDescent="0.25">
      <c r="A65" s="121"/>
      <c r="B65" s="121"/>
      <c r="C65" s="121"/>
      <c r="D65" s="121"/>
      <c r="E65" s="121"/>
      <c r="F65" s="121"/>
      <c r="G65" s="121"/>
      <c r="H65" s="121"/>
      <c r="I65" s="121"/>
      <c r="J65" s="121"/>
      <c r="K65" s="121"/>
      <c r="L65" s="121"/>
      <c r="M65" s="121"/>
      <c r="N65" s="121"/>
      <c r="O65" s="121"/>
      <c r="P65" s="121"/>
      <c r="Q65" s="121"/>
      <c r="R65" s="121"/>
      <c r="S65" s="121"/>
      <c r="T65" s="121"/>
      <c r="U65" s="121"/>
      <c r="V65" s="121"/>
      <c r="W65" s="121"/>
      <c r="X65" s="121"/>
    </row>
    <row r="66" spans="1:24" x14ac:dyDescent="0.25">
      <c r="A66" s="121"/>
      <c r="B66" s="121"/>
      <c r="C66" s="121"/>
      <c r="D66" s="121"/>
      <c r="E66" s="121"/>
      <c r="F66" s="121"/>
      <c r="G66" s="121"/>
      <c r="H66" s="121"/>
      <c r="I66" s="121"/>
      <c r="J66" s="121"/>
      <c r="K66" s="121"/>
      <c r="L66" s="121"/>
      <c r="M66" s="121"/>
      <c r="N66" s="121"/>
      <c r="O66" s="121"/>
      <c r="P66" s="121"/>
      <c r="Q66" s="121"/>
      <c r="R66" s="121"/>
      <c r="S66" s="121"/>
      <c r="T66" s="121"/>
      <c r="U66" s="121"/>
      <c r="V66" s="121"/>
      <c r="W66" s="121"/>
      <c r="X66" s="121"/>
    </row>
    <row r="67" spans="1:24" x14ac:dyDescent="0.25">
      <c r="A67" s="121"/>
      <c r="B67" s="121"/>
      <c r="C67" s="121"/>
      <c r="D67" s="121"/>
      <c r="E67" s="121"/>
      <c r="F67" s="121"/>
      <c r="G67" s="121"/>
      <c r="H67" s="121"/>
      <c r="I67" s="121"/>
      <c r="J67" s="121"/>
      <c r="K67" s="121"/>
      <c r="L67" s="121"/>
      <c r="M67" s="121"/>
      <c r="N67" s="121"/>
      <c r="O67" s="121"/>
      <c r="P67" s="121"/>
      <c r="Q67" s="121"/>
      <c r="R67" s="121"/>
      <c r="S67" s="121"/>
      <c r="T67" s="121"/>
      <c r="U67" s="121"/>
      <c r="V67" s="121"/>
      <c r="W67" s="121"/>
      <c r="X67" s="121"/>
    </row>
    <row r="68" spans="1:24" x14ac:dyDescent="0.25">
      <c r="A68" s="121"/>
      <c r="B68" s="121"/>
      <c r="C68" s="121"/>
      <c r="D68" s="121"/>
      <c r="E68" s="121"/>
      <c r="F68" s="121"/>
      <c r="G68" s="121"/>
      <c r="H68" s="121"/>
      <c r="I68" s="121"/>
      <c r="J68" s="121"/>
      <c r="K68" s="121"/>
      <c r="L68" s="121"/>
      <c r="M68" s="121"/>
      <c r="N68" s="121"/>
      <c r="O68" s="121"/>
      <c r="P68" s="121"/>
      <c r="Q68" s="121"/>
      <c r="R68" s="121"/>
      <c r="S68" s="121"/>
      <c r="T68" s="121"/>
      <c r="U68" s="121"/>
      <c r="V68" s="121"/>
      <c r="W68" s="121"/>
      <c r="X68" s="121"/>
    </row>
    <row r="69" spans="1:24" x14ac:dyDescent="0.25">
      <c r="A69" s="121"/>
      <c r="B69" s="121"/>
      <c r="C69" s="121"/>
      <c r="D69" s="121"/>
      <c r="E69" s="121"/>
      <c r="F69" s="121"/>
      <c r="G69" s="121"/>
      <c r="H69" s="121"/>
      <c r="I69" s="121"/>
      <c r="J69" s="121"/>
      <c r="K69" s="121"/>
      <c r="L69" s="121"/>
      <c r="M69" s="121"/>
      <c r="N69" s="121"/>
      <c r="O69" s="121"/>
      <c r="P69" s="121"/>
      <c r="Q69" s="121"/>
      <c r="R69" s="121"/>
      <c r="S69" s="121"/>
      <c r="T69" s="121"/>
      <c r="U69" s="121"/>
      <c r="V69" s="121"/>
      <c r="W69" s="121"/>
      <c r="X69" s="121"/>
    </row>
    <row r="70" spans="1:24" x14ac:dyDescent="0.25">
      <c r="A70" s="121"/>
      <c r="B70" s="121"/>
      <c r="C70" s="121"/>
      <c r="D70" s="121"/>
      <c r="E70" s="121"/>
      <c r="F70" s="121"/>
      <c r="G70" s="121"/>
      <c r="H70" s="121"/>
      <c r="I70" s="121"/>
      <c r="J70" s="121"/>
      <c r="K70" s="121"/>
      <c r="L70" s="121"/>
      <c r="M70" s="121"/>
      <c r="N70" s="121"/>
      <c r="O70" s="121"/>
      <c r="P70" s="121"/>
      <c r="Q70" s="121"/>
      <c r="R70" s="121"/>
      <c r="S70" s="121"/>
      <c r="T70" s="121"/>
      <c r="U70" s="121"/>
      <c r="V70" s="121"/>
      <c r="W70" s="121"/>
      <c r="X70" s="121"/>
    </row>
    <row r="71" spans="1:24" x14ac:dyDescent="0.25">
      <c r="A71" s="121"/>
      <c r="B71" s="121"/>
      <c r="C71" s="121"/>
      <c r="D71" s="121"/>
      <c r="E71" s="121"/>
      <c r="F71" s="121"/>
      <c r="G71" s="121"/>
      <c r="H71" s="121"/>
      <c r="I71" s="121"/>
      <c r="J71" s="121"/>
      <c r="K71" s="121"/>
      <c r="L71" s="121"/>
      <c r="M71" s="121"/>
      <c r="N71" s="121"/>
      <c r="O71" s="121"/>
      <c r="P71" s="121"/>
      <c r="Q71" s="121"/>
      <c r="R71" s="121"/>
      <c r="S71" s="121"/>
      <c r="T71" s="121"/>
      <c r="U71" s="121"/>
      <c r="V71" s="121"/>
      <c r="W71" s="121"/>
      <c r="X71" s="121"/>
    </row>
    <row r="72" spans="1:24" x14ac:dyDescent="0.25">
      <c r="A72" s="121"/>
      <c r="B72" s="121"/>
      <c r="C72" s="121"/>
      <c r="D72" s="121"/>
      <c r="E72" s="121"/>
      <c r="F72" s="121"/>
      <c r="G72" s="121"/>
      <c r="H72" s="121"/>
      <c r="I72" s="121"/>
      <c r="J72" s="121"/>
      <c r="K72" s="121"/>
      <c r="L72" s="121"/>
      <c r="M72" s="121"/>
      <c r="N72" s="121"/>
      <c r="O72" s="121"/>
      <c r="P72" s="121"/>
      <c r="Q72" s="121"/>
      <c r="R72" s="121"/>
      <c r="S72" s="121"/>
      <c r="T72" s="121"/>
      <c r="U72" s="121"/>
      <c r="V72" s="121"/>
      <c r="W72" s="121"/>
      <c r="X72" s="121"/>
    </row>
    <row r="73" spans="1:24" x14ac:dyDescent="0.25">
      <c r="A73" s="121"/>
      <c r="B73" s="121"/>
      <c r="C73" s="121"/>
      <c r="D73" s="121"/>
      <c r="E73" s="121"/>
      <c r="F73" s="121"/>
      <c r="G73" s="121"/>
      <c r="H73" s="121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1"/>
      <c r="V73" s="121"/>
      <c r="W73" s="121"/>
      <c r="X73" s="121"/>
    </row>
    <row r="74" spans="1:24" x14ac:dyDescent="0.25">
      <c r="A74" s="121"/>
      <c r="B74" s="121"/>
      <c r="C74" s="121"/>
      <c r="D74" s="121"/>
      <c r="E74" s="121"/>
      <c r="F74" s="121"/>
      <c r="G74" s="121"/>
      <c r="H74" s="121"/>
      <c r="I74" s="121"/>
      <c r="J74" s="121"/>
      <c r="K74" s="121"/>
      <c r="L74" s="121"/>
      <c r="M74" s="121"/>
      <c r="N74" s="121"/>
      <c r="O74" s="121"/>
      <c r="P74" s="121"/>
      <c r="Q74" s="121"/>
      <c r="R74" s="121"/>
      <c r="S74" s="121"/>
      <c r="T74" s="121"/>
      <c r="U74" s="121"/>
      <c r="V74" s="121"/>
      <c r="W74" s="121"/>
      <c r="X74" s="121"/>
    </row>
    <row r="75" spans="1:24" x14ac:dyDescent="0.25">
      <c r="A75" s="121"/>
      <c r="B75" s="121"/>
      <c r="C75" s="121"/>
      <c r="D75" s="121"/>
      <c r="E75" s="121"/>
      <c r="F75" s="121"/>
      <c r="G75" s="121"/>
      <c r="H75" s="121"/>
      <c r="I75" s="121"/>
      <c r="J75" s="121"/>
      <c r="K75" s="121"/>
      <c r="L75" s="121"/>
      <c r="M75" s="121"/>
      <c r="N75" s="121"/>
      <c r="O75" s="121"/>
      <c r="P75" s="121"/>
      <c r="Q75" s="121"/>
      <c r="R75" s="121"/>
      <c r="S75" s="121"/>
      <c r="T75" s="121"/>
      <c r="U75" s="121"/>
      <c r="V75" s="121"/>
      <c r="W75" s="121"/>
      <c r="X75" s="121"/>
    </row>
    <row r="76" spans="1:24" x14ac:dyDescent="0.25">
      <c r="A76" s="121"/>
      <c r="B76" s="121"/>
      <c r="C76" s="121"/>
      <c r="D76" s="121"/>
      <c r="E76" s="121"/>
      <c r="F76" s="121"/>
      <c r="G76" s="121"/>
      <c r="H76" s="121"/>
      <c r="I76" s="121"/>
      <c r="J76" s="121"/>
      <c r="K76" s="121"/>
      <c r="L76" s="121"/>
      <c r="M76" s="121"/>
      <c r="N76" s="121"/>
      <c r="O76" s="121"/>
      <c r="P76" s="121"/>
      <c r="Q76" s="121"/>
      <c r="R76" s="121"/>
      <c r="S76" s="121"/>
      <c r="T76" s="121"/>
      <c r="U76" s="121"/>
      <c r="V76" s="121"/>
      <c r="W76" s="121"/>
      <c r="X76" s="121"/>
    </row>
    <row r="77" spans="1:24" x14ac:dyDescent="0.25">
      <c r="A77" s="121"/>
      <c r="B77" s="121"/>
      <c r="C77" s="121"/>
      <c r="D77" s="121"/>
      <c r="E77" s="121"/>
      <c r="F77" s="121"/>
      <c r="G77" s="121"/>
      <c r="H77" s="121"/>
      <c r="I77" s="121"/>
      <c r="J77" s="121"/>
      <c r="K77" s="121"/>
      <c r="L77" s="121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 s="121"/>
    </row>
    <row r="78" spans="1:24" x14ac:dyDescent="0.25">
      <c r="A78" s="121"/>
      <c r="B78" s="121"/>
      <c r="C78" s="121"/>
      <c r="D78" s="121"/>
      <c r="E78" s="121"/>
      <c r="F78" s="121"/>
      <c r="G78" s="121"/>
      <c r="H78" s="121"/>
      <c r="I78" s="121"/>
      <c r="J78" s="121"/>
      <c r="K78" s="121"/>
      <c r="L78" s="121"/>
      <c r="M78" s="121"/>
      <c r="N78" s="121"/>
      <c r="O78" s="121"/>
      <c r="P78" s="121"/>
      <c r="Q78" s="121"/>
      <c r="R78" s="121"/>
      <c r="S78" s="121"/>
      <c r="T78" s="121"/>
      <c r="U78" s="121"/>
      <c r="V78" s="121"/>
      <c r="W78" s="121"/>
      <c r="X78" s="121"/>
    </row>
    <row r="79" spans="1:24" x14ac:dyDescent="0.25">
      <c r="A79" s="121"/>
      <c r="B79" s="121"/>
      <c r="C79" s="121"/>
      <c r="D79" s="121"/>
      <c r="E79" s="121"/>
      <c r="F79" s="121"/>
      <c r="G79" s="121"/>
      <c r="H79" s="121"/>
      <c r="I79" s="121"/>
      <c r="J79" s="121"/>
      <c r="K79" s="121"/>
      <c r="L79" s="121"/>
      <c r="M79" s="121"/>
      <c r="N79" s="121"/>
      <c r="O79" s="121"/>
      <c r="P79" s="121"/>
      <c r="Q79" s="121"/>
      <c r="R79" s="121"/>
      <c r="S79" s="121"/>
      <c r="T79" s="121"/>
      <c r="U79" s="121"/>
      <c r="V79" s="121"/>
      <c r="W79" s="121"/>
      <c r="X79" s="121"/>
    </row>
    <row r="80" spans="1:24" x14ac:dyDescent="0.25">
      <c r="A80" s="121"/>
      <c r="B80" s="121"/>
      <c r="C80" s="121"/>
      <c r="D80" s="121"/>
      <c r="E80" s="121"/>
      <c r="F80" s="121"/>
      <c r="G80" s="121"/>
      <c r="H80" s="121"/>
      <c r="I80" s="121"/>
      <c r="J80" s="121"/>
      <c r="K80" s="121"/>
      <c r="L80" s="121"/>
      <c r="M80" s="121"/>
      <c r="N80" s="121"/>
      <c r="O80" s="121"/>
      <c r="P80" s="121"/>
      <c r="Q80" s="121"/>
      <c r="R80" s="121"/>
      <c r="S80" s="121"/>
      <c r="T80" s="121"/>
      <c r="U80" s="121"/>
      <c r="V80" s="121"/>
      <c r="W80" s="121"/>
      <c r="X80" s="121"/>
    </row>
    <row r="81" spans="1:24" x14ac:dyDescent="0.25">
      <c r="A81" s="121"/>
      <c r="B81" s="121"/>
      <c r="C81" s="121"/>
      <c r="D81" s="121"/>
      <c r="E81" s="121"/>
      <c r="F81" s="121"/>
      <c r="G81" s="121"/>
      <c r="H81" s="121"/>
      <c r="I81" s="121"/>
      <c r="J81" s="121"/>
      <c r="K81" s="121"/>
      <c r="L81" s="121"/>
      <c r="M81" s="121"/>
      <c r="N81" s="121"/>
      <c r="O81" s="121"/>
      <c r="P81" s="121"/>
      <c r="Q81" s="121"/>
      <c r="R81" s="121"/>
      <c r="S81" s="121"/>
      <c r="T81" s="121"/>
      <c r="U81" s="121"/>
      <c r="V81" s="121"/>
      <c r="W81" s="121"/>
      <c r="X81" s="121"/>
    </row>
    <row r="82" spans="1:24" x14ac:dyDescent="0.25">
      <c r="A82" s="121"/>
      <c r="B82" s="121"/>
      <c r="C82" s="121"/>
      <c r="D82" s="121"/>
      <c r="E82" s="121"/>
      <c r="F82" s="121"/>
      <c r="G82" s="121"/>
      <c r="H82" s="121"/>
      <c r="I82" s="121"/>
      <c r="J82" s="121"/>
      <c r="K82" s="121"/>
      <c r="L82" s="121"/>
      <c r="M82" s="121"/>
      <c r="N82" s="121"/>
      <c r="O82" s="121"/>
      <c r="P82" s="121"/>
      <c r="Q82" s="121"/>
      <c r="R82" s="121"/>
      <c r="S82" s="121"/>
      <c r="T82" s="121"/>
      <c r="U82" s="121"/>
      <c r="V82" s="121"/>
      <c r="W82" s="121"/>
      <c r="X82" s="121"/>
    </row>
    <row r="83" spans="1:24" x14ac:dyDescent="0.25">
      <c r="A83" s="121"/>
      <c r="B83" s="121"/>
      <c r="C83" s="121"/>
      <c r="D83" s="121"/>
      <c r="E83" s="121"/>
      <c r="F83" s="121"/>
      <c r="G83" s="121"/>
      <c r="H83" s="121"/>
      <c r="I83" s="121"/>
      <c r="J83" s="121"/>
      <c r="K83" s="121"/>
      <c r="L83" s="121"/>
      <c r="M83" s="121"/>
      <c r="N83" s="121"/>
      <c r="O83" s="121"/>
      <c r="P83" s="121"/>
      <c r="Q83" s="121"/>
      <c r="R83" s="121"/>
      <c r="S83" s="121"/>
      <c r="T83" s="121"/>
      <c r="U83" s="121"/>
      <c r="V83" s="121"/>
      <c r="W83" s="121"/>
      <c r="X83" s="121"/>
    </row>
    <row r="84" spans="1:24" x14ac:dyDescent="0.25">
      <c r="A84" s="121"/>
      <c r="B84" s="121"/>
      <c r="C84" s="121"/>
      <c r="D84" s="121"/>
      <c r="E84" s="121"/>
      <c r="F84" s="121"/>
      <c r="G84" s="121"/>
      <c r="H84" s="121"/>
      <c r="I84" s="121"/>
      <c r="J84" s="121"/>
      <c r="K84" s="121"/>
      <c r="L84" s="121"/>
      <c r="M84" s="121"/>
      <c r="N84" s="121"/>
      <c r="O84" s="121"/>
      <c r="P84" s="121"/>
      <c r="Q84" s="121"/>
      <c r="R84" s="121"/>
      <c r="S84" s="121"/>
      <c r="T84" s="121"/>
      <c r="U84" s="121"/>
      <c r="V84" s="121"/>
      <c r="W84" s="121"/>
      <c r="X84" s="121"/>
    </row>
    <row r="85" spans="1:24" x14ac:dyDescent="0.25">
      <c r="A85" s="121"/>
      <c r="B85" s="121"/>
      <c r="C85" s="121"/>
      <c r="D85" s="121"/>
      <c r="E85" s="121"/>
      <c r="F85" s="121"/>
      <c r="G85" s="121"/>
      <c r="H85" s="121"/>
      <c r="I85" s="121"/>
      <c r="J85" s="121"/>
      <c r="K85" s="121"/>
      <c r="L85" s="121"/>
      <c r="M85" s="121"/>
      <c r="N85" s="121"/>
      <c r="O85" s="121"/>
      <c r="P85" s="121"/>
      <c r="Q85" s="121"/>
      <c r="R85" s="121"/>
      <c r="S85" s="121"/>
      <c r="T85" s="121"/>
      <c r="U85" s="121"/>
      <c r="V85" s="121"/>
      <c r="W85" s="121"/>
      <c r="X85" s="121"/>
    </row>
    <row r="86" spans="1:24" x14ac:dyDescent="0.25">
      <c r="A86" s="121"/>
      <c r="B86" s="121"/>
      <c r="C86" s="121"/>
      <c r="D86" s="121"/>
      <c r="E86" s="121"/>
      <c r="F86" s="121"/>
      <c r="G86" s="121"/>
      <c r="H86" s="121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 s="121"/>
    </row>
    <row r="87" spans="1:24" x14ac:dyDescent="0.25">
      <c r="A87" s="121"/>
      <c r="B87" s="121"/>
      <c r="C87" s="121"/>
      <c r="D87" s="121"/>
      <c r="E87" s="121"/>
      <c r="F87" s="121"/>
      <c r="G87" s="121"/>
      <c r="H87" s="121"/>
      <c r="I87" s="121"/>
      <c r="J87" s="121"/>
      <c r="K87" s="121"/>
      <c r="L87" s="121"/>
      <c r="M87" s="121"/>
      <c r="N87" s="121"/>
      <c r="O87" s="121"/>
      <c r="P87" s="121"/>
      <c r="Q87" s="121"/>
      <c r="R87" s="121"/>
      <c r="S87" s="121"/>
      <c r="T87" s="121"/>
      <c r="U87" s="121"/>
      <c r="V87" s="121"/>
      <c r="W87" s="121"/>
      <c r="X87" s="121"/>
    </row>
    <row r="88" spans="1:24" x14ac:dyDescent="0.25">
      <c r="A88" s="121"/>
      <c r="B88" s="121"/>
      <c r="C88" s="121"/>
      <c r="D88" s="121"/>
      <c r="E88" s="121"/>
      <c r="F88" s="121"/>
      <c r="G88" s="121"/>
      <c r="H88" s="121"/>
      <c r="I88" s="121"/>
      <c r="J88" s="121"/>
      <c r="K88" s="121"/>
      <c r="L88" s="121"/>
      <c r="M88" s="121"/>
      <c r="N88" s="121"/>
      <c r="O88" s="121"/>
      <c r="P88" s="121"/>
      <c r="Q88" s="121"/>
      <c r="R88" s="121"/>
      <c r="S88" s="121"/>
      <c r="T88" s="121"/>
      <c r="U88" s="121"/>
      <c r="V88" s="121"/>
      <c r="W88" s="121"/>
      <c r="X88" s="121"/>
    </row>
    <row r="89" spans="1:24" x14ac:dyDescent="0.25">
      <c r="A89" s="121"/>
      <c r="B89" s="121"/>
      <c r="C89" s="121"/>
      <c r="D89" s="121"/>
      <c r="E89" s="121"/>
      <c r="F89" s="121"/>
      <c r="G89" s="121"/>
      <c r="H89" s="121"/>
      <c r="I89" s="121"/>
      <c r="J89" s="121"/>
      <c r="K89" s="121"/>
      <c r="L89" s="121"/>
      <c r="M89" s="121"/>
      <c r="N89" s="121"/>
      <c r="O89" s="121"/>
      <c r="P89" s="121"/>
      <c r="Q89" s="121"/>
      <c r="R89" s="121"/>
      <c r="S89" s="121"/>
      <c r="T89" s="121"/>
      <c r="U89" s="121"/>
      <c r="V89" s="121"/>
      <c r="W89" s="121"/>
      <c r="X89" s="121"/>
    </row>
    <row r="90" spans="1:24" x14ac:dyDescent="0.25">
      <c r="A90" s="121"/>
      <c r="B90" s="121"/>
      <c r="C90" s="121"/>
      <c r="D90" s="121"/>
      <c r="E90" s="121"/>
      <c r="F90" s="121"/>
      <c r="G90" s="121"/>
      <c r="H90" s="121"/>
      <c r="I90" s="121"/>
      <c r="J90" s="121"/>
      <c r="K90" s="121"/>
      <c r="L90" s="121"/>
      <c r="M90" s="121"/>
      <c r="N90" s="121"/>
      <c r="O90" s="121"/>
      <c r="P90" s="121"/>
      <c r="Q90" s="121"/>
      <c r="R90" s="121"/>
      <c r="S90" s="121"/>
      <c r="T90" s="121"/>
      <c r="U90" s="121"/>
      <c r="V90" s="121"/>
      <c r="W90" s="121"/>
      <c r="X90" s="121"/>
    </row>
    <row r="91" spans="1:24" x14ac:dyDescent="0.25">
      <c r="A91" s="121"/>
      <c r="B91" s="121"/>
      <c r="C91" s="121"/>
      <c r="D91" s="121"/>
      <c r="E91" s="121"/>
      <c r="F91" s="121"/>
      <c r="G91" s="121"/>
      <c r="H91" s="121"/>
      <c r="I91" s="121"/>
      <c r="J91" s="121"/>
      <c r="K91" s="121"/>
      <c r="L91" s="121"/>
      <c r="M91" s="121"/>
      <c r="N91" s="121"/>
      <c r="O91" s="121"/>
      <c r="P91" s="121"/>
      <c r="Q91" s="121"/>
      <c r="R91" s="121"/>
      <c r="S91" s="121"/>
      <c r="T91" s="121"/>
      <c r="U91" s="121"/>
      <c r="V91" s="121"/>
      <c r="W91" s="121"/>
      <c r="X91" s="121"/>
    </row>
    <row r="92" spans="1:24" x14ac:dyDescent="0.25">
      <c r="A92" s="121"/>
      <c r="B92" s="121"/>
      <c r="C92" s="121"/>
      <c r="D92" s="121"/>
      <c r="E92" s="121"/>
      <c r="F92" s="121"/>
      <c r="G92" s="121"/>
      <c r="H92" s="121"/>
      <c r="I92" s="121"/>
      <c r="J92" s="121"/>
      <c r="K92" s="121"/>
      <c r="L92" s="121"/>
      <c r="M92" s="121"/>
      <c r="N92" s="121"/>
      <c r="O92" s="121"/>
      <c r="P92" s="121"/>
      <c r="Q92" s="121"/>
      <c r="R92" s="121"/>
      <c r="S92" s="121"/>
      <c r="T92" s="121"/>
      <c r="U92" s="121"/>
      <c r="V92" s="121"/>
      <c r="W92" s="121"/>
      <c r="X92" s="121"/>
    </row>
    <row r="93" spans="1:24" x14ac:dyDescent="0.25">
      <c r="A93" s="121"/>
      <c r="B93" s="121"/>
      <c r="C93" s="121"/>
      <c r="D93" s="121"/>
      <c r="E93" s="121"/>
      <c r="F93" s="121"/>
      <c r="G93" s="121"/>
      <c r="H93" s="121"/>
      <c r="I93" s="121"/>
      <c r="J93" s="121"/>
      <c r="K93" s="121"/>
      <c r="L93" s="121"/>
      <c r="M93" s="121"/>
      <c r="N93" s="121"/>
      <c r="O93" s="121"/>
      <c r="P93" s="121"/>
      <c r="Q93" s="121"/>
      <c r="R93" s="121"/>
      <c r="S93" s="121"/>
      <c r="T93" s="121"/>
      <c r="U93" s="121"/>
      <c r="V93" s="121"/>
      <c r="W93" s="121"/>
      <c r="X93" s="121"/>
    </row>
    <row r="94" spans="1:24" x14ac:dyDescent="0.25">
      <c r="A94" s="121"/>
      <c r="B94" s="121"/>
      <c r="C94" s="121"/>
      <c r="D94" s="121"/>
      <c r="E94" s="121"/>
      <c r="F94" s="121"/>
      <c r="G94" s="121"/>
      <c r="H94" s="121"/>
      <c r="I94" s="121"/>
      <c r="J94" s="121"/>
      <c r="K94" s="121"/>
      <c r="L94" s="121"/>
      <c r="M94" s="121"/>
      <c r="N94" s="121"/>
      <c r="O94" s="121"/>
      <c r="P94" s="121"/>
      <c r="Q94" s="121"/>
      <c r="R94" s="121"/>
      <c r="S94" s="121"/>
      <c r="T94" s="121"/>
      <c r="U94" s="121"/>
      <c r="V94" s="121"/>
      <c r="W94" s="121"/>
      <c r="X94" s="121"/>
    </row>
    <row r="95" spans="1:24" x14ac:dyDescent="0.25">
      <c r="A95" s="121"/>
      <c r="B95" s="121"/>
      <c r="C95" s="121"/>
      <c r="D95" s="121"/>
      <c r="E95" s="121"/>
      <c r="F95" s="121"/>
      <c r="G95" s="121"/>
      <c r="H95" s="121"/>
      <c r="I95" s="121"/>
      <c r="J95" s="121"/>
      <c r="K95" s="121"/>
      <c r="L95" s="121"/>
      <c r="M95" s="121"/>
      <c r="N95" s="121"/>
      <c r="O95" s="121"/>
      <c r="P95" s="121"/>
      <c r="Q95" s="121"/>
      <c r="R95" s="121"/>
      <c r="S95" s="121"/>
      <c r="T95" s="121"/>
      <c r="U95" s="121"/>
      <c r="V95" s="121"/>
      <c r="W95" s="121"/>
      <c r="X95" s="121"/>
    </row>
    <row r="96" spans="1:24" x14ac:dyDescent="0.25">
      <c r="A96" s="121"/>
      <c r="B96" s="121"/>
      <c r="C96" s="121"/>
      <c r="D96" s="121"/>
      <c r="E96" s="121"/>
      <c r="F96" s="121"/>
      <c r="G96" s="121"/>
      <c r="H96" s="121"/>
      <c r="I96" s="121"/>
      <c r="J96" s="121"/>
      <c r="K96" s="121"/>
      <c r="L96" s="121"/>
      <c r="M96" s="121"/>
      <c r="N96" s="121"/>
      <c r="O96" s="121"/>
      <c r="P96" s="121"/>
      <c r="Q96" s="121"/>
      <c r="R96" s="121"/>
      <c r="S96" s="121"/>
      <c r="T96" s="121"/>
      <c r="U96" s="121"/>
      <c r="V96" s="121"/>
      <c r="W96" s="121"/>
      <c r="X96" s="121"/>
    </row>
    <row r="97" spans="1:24" x14ac:dyDescent="0.25">
      <c r="A97" s="121"/>
      <c r="B97" s="121"/>
      <c r="C97" s="121"/>
      <c r="D97" s="121"/>
      <c r="E97" s="121"/>
      <c r="F97" s="121"/>
      <c r="G97" s="121"/>
      <c r="H97" s="121"/>
      <c r="I97" s="121"/>
      <c r="J97" s="121"/>
      <c r="K97" s="121"/>
      <c r="L97" s="121"/>
      <c r="M97" s="121"/>
      <c r="N97" s="121"/>
      <c r="O97" s="121"/>
      <c r="P97" s="121"/>
      <c r="Q97" s="121"/>
      <c r="R97" s="121"/>
      <c r="S97" s="121"/>
      <c r="T97" s="121"/>
      <c r="U97" s="121"/>
      <c r="V97" s="121"/>
      <c r="W97" s="121"/>
      <c r="X97" s="121"/>
    </row>
    <row r="98" spans="1:24" x14ac:dyDescent="0.25">
      <c r="A98" s="121"/>
      <c r="B98" s="121"/>
      <c r="C98" s="121"/>
      <c r="D98" s="121"/>
      <c r="E98" s="121"/>
      <c r="F98" s="121"/>
      <c r="G98" s="121"/>
      <c r="H98" s="121"/>
      <c r="I98" s="121"/>
      <c r="J98" s="121"/>
      <c r="K98" s="121"/>
      <c r="L98" s="121"/>
      <c r="M98" s="121"/>
      <c r="N98" s="121"/>
      <c r="O98" s="121"/>
      <c r="P98" s="121"/>
      <c r="Q98" s="121"/>
      <c r="R98" s="121"/>
      <c r="S98" s="121"/>
      <c r="T98" s="121"/>
      <c r="U98" s="121"/>
      <c r="V98" s="121"/>
      <c r="W98" s="121"/>
      <c r="X98" s="121"/>
    </row>
    <row r="99" spans="1:24" x14ac:dyDescent="0.25">
      <c r="A99" s="121"/>
      <c r="B99" s="121"/>
      <c r="C99" s="121"/>
      <c r="D99" s="121"/>
      <c r="E99" s="121"/>
      <c r="F99" s="121"/>
      <c r="G99" s="121"/>
      <c r="H99" s="121"/>
      <c r="I99" s="121"/>
      <c r="J99" s="121"/>
      <c r="K99" s="121"/>
      <c r="L99" s="121"/>
      <c r="M99" s="121"/>
      <c r="N99" s="121"/>
      <c r="O99" s="121"/>
      <c r="P99" s="121"/>
      <c r="Q99" s="121"/>
      <c r="R99" s="121"/>
      <c r="S99" s="121"/>
      <c r="T99" s="121"/>
      <c r="U99" s="121"/>
      <c r="V99" s="121"/>
      <c r="W99" s="121"/>
      <c r="X99" s="121"/>
    </row>
    <row r="100" spans="1:24" x14ac:dyDescent="0.25">
      <c r="A100" s="121"/>
      <c r="B100" s="121"/>
      <c r="C100" s="121"/>
      <c r="D100" s="121"/>
      <c r="E100" s="121"/>
      <c r="F100" s="121"/>
      <c r="G100" s="121"/>
      <c r="H100" s="121"/>
      <c r="I100" s="121"/>
      <c r="J100" s="121"/>
      <c r="K100" s="121"/>
      <c r="L100" s="121"/>
      <c r="M100" s="121"/>
      <c r="N100" s="121"/>
      <c r="O100" s="121"/>
      <c r="P100" s="121"/>
      <c r="Q100" s="121"/>
      <c r="R100" s="121"/>
      <c r="S100" s="121"/>
      <c r="T100" s="121"/>
      <c r="U100" s="121"/>
      <c r="V100" s="121"/>
      <c r="W100" s="121"/>
      <c r="X100" s="121"/>
    </row>
    <row r="101" spans="1:24" x14ac:dyDescent="0.25">
      <c r="A101" s="121"/>
      <c r="B101" s="121"/>
      <c r="C101" s="121"/>
      <c r="D101" s="121"/>
      <c r="E101" s="121"/>
      <c r="F101" s="121"/>
      <c r="G101" s="121"/>
      <c r="H101" s="121"/>
      <c r="I101" s="121"/>
      <c r="J101" s="121"/>
      <c r="K101" s="121"/>
      <c r="L101" s="121"/>
      <c r="M101" s="121"/>
      <c r="N101" s="121"/>
      <c r="O101" s="121"/>
      <c r="P101" s="121"/>
      <c r="Q101" s="121"/>
      <c r="R101" s="121"/>
      <c r="S101" s="121"/>
      <c r="T101" s="121"/>
      <c r="U101" s="121"/>
      <c r="V101" s="121"/>
      <c r="W101" s="121"/>
      <c r="X101" s="121"/>
    </row>
    <row r="102" spans="1:24" x14ac:dyDescent="0.25">
      <c r="A102" s="121"/>
      <c r="B102" s="121"/>
      <c r="C102" s="121"/>
      <c r="D102" s="121"/>
      <c r="E102" s="121"/>
      <c r="F102" s="121"/>
      <c r="G102" s="121"/>
      <c r="H102" s="121"/>
      <c r="I102" s="121"/>
      <c r="J102" s="121"/>
      <c r="K102" s="121"/>
      <c r="L102" s="121"/>
      <c r="M102" s="121"/>
      <c r="N102" s="121"/>
      <c r="O102" s="121"/>
      <c r="P102" s="121"/>
      <c r="Q102" s="121"/>
      <c r="R102" s="121"/>
      <c r="S102" s="121"/>
      <c r="T102" s="121"/>
      <c r="U102" s="121"/>
      <c r="V102" s="121"/>
      <c r="W102" s="121"/>
      <c r="X102" s="121"/>
    </row>
    <row r="103" spans="1:24" x14ac:dyDescent="0.25">
      <c r="A103" s="121"/>
      <c r="B103" s="121"/>
      <c r="C103" s="121"/>
      <c r="D103" s="121"/>
      <c r="E103" s="121"/>
      <c r="F103" s="121"/>
      <c r="G103" s="121"/>
      <c r="H103" s="121"/>
      <c r="I103" s="121"/>
      <c r="J103" s="121"/>
      <c r="K103" s="121"/>
      <c r="L103" s="121"/>
      <c r="M103" s="121"/>
      <c r="N103" s="121"/>
      <c r="O103" s="121"/>
      <c r="P103" s="121"/>
      <c r="Q103" s="121"/>
      <c r="R103" s="121"/>
      <c r="S103" s="121"/>
      <c r="T103" s="121"/>
      <c r="U103" s="121"/>
      <c r="V103" s="121"/>
      <c r="W103" s="121"/>
      <c r="X103" s="121"/>
    </row>
    <row r="104" spans="1:24" x14ac:dyDescent="0.25">
      <c r="A104" s="121"/>
      <c r="B104" s="121"/>
      <c r="C104" s="121"/>
      <c r="D104" s="121"/>
      <c r="E104" s="121"/>
      <c r="F104" s="121"/>
      <c r="G104" s="121"/>
      <c r="H104" s="121"/>
      <c r="I104" s="121"/>
      <c r="J104" s="121"/>
      <c r="K104" s="121"/>
      <c r="L104" s="121"/>
      <c r="M104" s="121"/>
      <c r="N104" s="121"/>
      <c r="O104" s="121"/>
      <c r="P104" s="121"/>
      <c r="Q104" s="121"/>
      <c r="R104" s="121"/>
      <c r="S104" s="121"/>
      <c r="T104" s="121"/>
      <c r="U104" s="121"/>
      <c r="V104" s="121"/>
      <c r="W104" s="121"/>
      <c r="X104" s="121"/>
    </row>
    <row r="105" spans="1:24" x14ac:dyDescent="0.25">
      <c r="A105" s="121"/>
      <c r="B105" s="121"/>
      <c r="C105" s="121"/>
      <c r="D105" s="121"/>
      <c r="E105" s="121"/>
      <c r="F105" s="121"/>
      <c r="G105" s="121"/>
      <c r="H105" s="121"/>
      <c r="I105" s="121"/>
      <c r="J105" s="121"/>
      <c r="K105" s="121"/>
      <c r="L105" s="121"/>
      <c r="M105" s="121"/>
      <c r="N105" s="121"/>
      <c r="O105" s="121"/>
      <c r="P105" s="121"/>
      <c r="Q105" s="121"/>
      <c r="R105" s="121"/>
      <c r="S105" s="121"/>
      <c r="T105" s="121"/>
      <c r="U105" s="121"/>
      <c r="V105" s="121"/>
      <c r="W105" s="121"/>
      <c r="X105" s="121"/>
    </row>
    <row r="106" spans="1:24" x14ac:dyDescent="0.25">
      <c r="A106" s="121"/>
      <c r="B106" s="121"/>
      <c r="C106" s="121"/>
      <c r="D106" s="121"/>
      <c r="E106" s="121"/>
      <c r="F106" s="121"/>
      <c r="G106" s="121"/>
      <c r="H106" s="121"/>
      <c r="I106" s="121"/>
      <c r="J106" s="121"/>
      <c r="K106" s="121"/>
      <c r="L106" s="121"/>
      <c r="M106" s="121"/>
      <c r="N106" s="121"/>
      <c r="O106" s="121"/>
      <c r="P106" s="121"/>
      <c r="Q106" s="121"/>
      <c r="R106" s="121"/>
      <c r="S106" s="121"/>
      <c r="T106" s="121"/>
      <c r="U106" s="121"/>
      <c r="V106" s="121"/>
      <c r="W106" s="121"/>
      <c r="X106" s="121"/>
    </row>
    <row r="107" spans="1:24" x14ac:dyDescent="0.25">
      <c r="A107" s="121"/>
      <c r="B107" s="121"/>
      <c r="C107" s="121"/>
      <c r="D107" s="121"/>
      <c r="E107" s="121"/>
      <c r="F107" s="121"/>
      <c r="G107" s="121"/>
      <c r="H107" s="121"/>
      <c r="I107" s="121"/>
      <c r="J107" s="121"/>
      <c r="K107" s="121"/>
      <c r="L107" s="121"/>
      <c r="M107" s="121"/>
      <c r="N107" s="121"/>
      <c r="O107" s="121"/>
      <c r="P107" s="121"/>
      <c r="Q107" s="121"/>
      <c r="R107" s="121"/>
      <c r="S107" s="121"/>
      <c r="T107" s="121"/>
      <c r="U107" s="121"/>
      <c r="V107" s="121"/>
      <c r="W107" s="121"/>
      <c r="X107" s="121"/>
    </row>
    <row r="108" spans="1:24" x14ac:dyDescent="0.25">
      <c r="A108" s="121"/>
      <c r="B108" s="121"/>
      <c r="C108" s="121"/>
      <c r="D108" s="121"/>
      <c r="E108" s="121"/>
      <c r="F108" s="121"/>
      <c r="G108" s="121"/>
      <c r="H108" s="121"/>
      <c r="I108" s="121"/>
      <c r="J108" s="121"/>
      <c r="K108" s="121"/>
      <c r="L108" s="121"/>
      <c r="M108" s="121"/>
      <c r="N108" s="121"/>
      <c r="O108" s="121"/>
      <c r="P108" s="121"/>
      <c r="Q108" s="121"/>
      <c r="R108" s="121"/>
      <c r="S108" s="121"/>
      <c r="T108" s="121"/>
      <c r="U108" s="121"/>
      <c r="V108" s="121"/>
      <c r="W108" s="121"/>
      <c r="X108" s="121"/>
    </row>
    <row r="109" spans="1:24" x14ac:dyDescent="0.25">
      <c r="A109" s="121"/>
      <c r="B109" s="121"/>
      <c r="C109" s="121"/>
      <c r="D109" s="121"/>
      <c r="E109" s="121"/>
      <c r="F109" s="121"/>
      <c r="G109" s="121"/>
      <c r="H109" s="121"/>
      <c r="I109" s="121"/>
      <c r="J109" s="121"/>
      <c r="K109" s="121"/>
      <c r="L109" s="121"/>
      <c r="M109" s="121"/>
      <c r="N109" s="121"/>
      <c r="O109" s="121"/>
      <c r="P109" s="121"/>
      <c r="Q109" s="121"/>
      <c r="R109" s="121"/>
      <c r="S109" s="121"/>
      <c r="T109" s="121"/>
      <c r="U109" s="121"/>
      <c r="V109" s="121"/>
      <c r="W109" s="121"/>
      <c r="X109" s="121"/>
    </row>
    <row r="110" spans="1:24" x14ac:dyDescent="0.25">
      <c r="A110" s="121"/>
      <c r="O110" s="121"/>
      <c r="P110" s="121"/>
      <c r="Q110" s="121"/>
      <c r="R110" s="121"/>
      <c r="S110" s="121"/>
      <c r="T110" s="121"/>
      <c r="U110" s="121"/>
      <c r="V110" s="121"/>
      <c r="W110" s="121"/>
      <c r="X110" s="121"/>
    </row>
    <row r="111" spans="1:24" x14ac:dyDescent="0.25">
      <c r="A111" s="121"/>
      <c r="O111" s="121"/>
      <c r="P111" s="121"/>
      <c r="Q111" s="121"/>
      <c r="R111" s="121"/>
      <c r="S111" s="121"/>
      <c r="T111" s="121"/>
      <c r="U111" s="121"/>
      <c r="V111" s="121"/>
      <c r="W111" s="121"/>
      <c r="X111" s="121"/>
    </row>
    <row r="112" spans="1:24" x14ac:dyDescent="0.25">
      <c r="A112" s="121"/>
      <c r="O112" s="121"/>
      <c r="P112" s="121"/>
      <c r="Q112" s="121"/>
      <c r="R112" s="121"/>
      <c r="S112" s="121"/>
      <c r="T112" s="121"/>
      <c r="U112" s="121"/>
      <c r="V112" s="121"/>
      <c r="W112" s="121"/>
      <c r="X112" s="121"/>
    </row>
    <row r="113" spans="1:24" x14ac:dyDescent="0.25">
      <c r="A113" s="121"/>
      <c r="O113" s="121"/>
      <c r="P113" s="121"/>
      <c r="Q113" s="121"/>
      <c r="R113" s="121"/>
      <c r="S113" s="121"/>
      <c r="T113" s="121"/>
      <c r="U113" s="121"/>
      <c r="V113" s="121"/>
      <c r="W113" s="121"/>
      <c r="X113" s="121"/>
    </row>
    <row r="114" spans="1:24" x14ac:dyDescent="0.25">
      <c r="A114" s="121"/>
    </row>
    <row r="115" spans="1:24" x14ac:dyDescent="0.25">
      <c r="A115" s="121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4" tint="0.39997558519241921"/>
  </sheetPr>
  <dimension ref="A1:U47"/>
  <sheetViews>
    <sheetView topLeftCell="A10" zoomScale="90" zoomScaleNormal="90" workbookViewId="0">
      <selection activeCell="E34" sqref="E34"/>
    </sheetView>
  </sheetViews>
  <sheetFormatPr baseColWidth="10" defaultRowHeight="15" x14ac:dyDescent="0.25"/>
  <cols>
    <col min="1" max="1" width="11.42578125" style="247"/>
    <col min="3" max="3" width="21.42578125" customWidth="1"/>
    <col min="4" max="4" width="11.42578125" style="247" customWidth="1"/>
    <col min="5" max="5" width="38.42578125" style="247" customWidth="1"/>
    <col min="6" max="6" width="11.42578125" customWidth="1"/>
    <col min="7" max="7" width="12.42578125" style="247" bestFit="1" customWidth="1"/>
    <col min="8" max="8" width="14.28515625" style="247" customWidth="1"/>
    <col min="9" max="15" width="11.42578125" customWidth="1"/>
    <col min="17" max="17" width="11.7109375" customWidth="1"/>
    <col min="21" max="21" width="14.85546875" style="247" customWidth="1"/>
  </cols>
  <sheetData>
    <row r="1" spans="1:21" ht="13.5" customHeight="1" x14ac:dyDescent="0.25">
      <c r="I1">
        <v>3.25</v>
      </c>
      <c r="J1">
        <v>3.25</v>
      </c>
      <c r="K1" s="247">
        <v>3.25</v>
      </c>
      <c r="L1" s="247">
        <v>3.25</v>
      </c>
      <c r="M1" s="247">
        <v>3.25</v>
      </c>
      <c r="N1" s="247">
        <v>3.25</v>
      </c>
      <c r="O1" s="247">
        <v>3.25</v>
      </c>
    </row>
    <row r="2" spans="1:21" ht="27" customHeight="1" x14ac:dyDescent="0.25">
      <c r="B2" s="248" t="s">
        <v>528</v>
      </c>
      <c r="C2" s="249" t="s">
        <v>529</v>
      </c>
      <c r="D2" s="249" t="s">
        <v>908</v>
      </c>
      <c r="E2" s="249" t="s">
        <v>933</v>
      </c>
      <c r="F2" s="248" t="s">
        <v>530</v>
      </c>
      <c r="G2" s="248" t="s">
        <v>918</v>
      </c>
      <c r="H2" s="248" t="s">
        <v>962</v>
      </c>
      <c r="I2" s="250">
        <v>42736</v>
      </c>
      <c r="J2" s="250">
        <v>42767</v>
      </c>
      <c r="K2" s="250">
        <v>42795</v>
      </c>
      <c r="L2" s="250">
        <v>42826</v>
      </c>
      <c r="M2" s="250">
        <v>42856</v>
      </c>
      <c r="N2" s="250">
        <v>42887</v>
      </c>
      <c r="O2" s="250">
        <v>42917</v>
      </c>
      <c r="P2" s="250">
        <v>42948</v>
      </c>
      <c r="Q2" s="250">
        <v>42979</v>
      </c>
      <c r="R2" s="250">
        <v>43009</v>
      </c>
      <c r="S2" s="250">
        <v>43040</v>
      </c>
      <c r="T2" s="250">
        <v>43070</v>
      </c>
      <c r="U2" s="248" t="s">
        <v>906</v>
      </c>
    </row>
    <row r="3" spans="1:21" x14ac:dyDescent="0.25">
      <c r="B3" s="430" t="s">
        <v>87</v>
      </c>
      <c r="C3" s="442" t="s">
        <v>554</v>
      </c>
      <c r="D3" s="441"/>
      <c r="E3" s="442" t="s">
        <v>125</v>
      </c>
      <c r="F3" s="433" t="s">
        <v>534</v>
      </c>
      <c r="G3" s="595">
        <v>0</v>
      </c>
      <c r="H3" s="395"/>
      <c r="I3" s="393">
        <v>7500</v>
      </c>
      <c r="J3" s="393">
        <v>7500</v>
      </c>
      <c r="K3" s="393">
        <v>7500</v>
      </c>
      <c r="L3" s="393">
        <v>7500</v>
      </c>
      <c r="M3" s="393">
        <v>7500</v>
      </c>
      <c r="N3" s="393">
        <v>7500</v>
      </c>
      <c r="O3" s="393">
        <v>9500.8474576271183</v>
      </c>
      <c r="P3" s="393">
        <v>7500</v>
      </c>
      <c r="Q3" s="597">
        <v>42250</v>
      </c>
      <c r="R3" s="394"/>
      <c r="S3" s="394"/>
      <c r="T3" s="394"/>
      <c r="U3" s="401"/>
    </row>
    <row r="4" spans="1:21" x14ac:dyDescent="0.25">
      <c r="B4" s="430" t="s">
        <v>81</v>
      </c>
      <c r="C4" s="443" t="s">
        <v>555</v>
      </c>
      <c r="D4" s="433"/>
      <c r="E4" s="443" t="s">
        <v>126</v>
      </c>
      <c r="F4" s="433" t="s">
        <v>534</v>
      </c>
      <c r="G4" s="595">
        <v>0</v>
      </c>
      <c r="H4" s="395"/>
      <c r="I4" s="393">
        <v>4420.3728813559319</v>
      </c>
      <c r="J4" s="393">
        <v>4420.3220338983056</v>
      </c>
      <c r="K4" s="393">
        <v>4420.3728813559319</v>
      </c>
      <c r="L4" s="393">
        <v>4420.3728813559319</v>
      </c>
      <c r="M4" s="393">
        <v>4420.3728813559319</v>
      </c>
      <c r="N4" s="393">
        <v>4420.3728813559319</v>
      </c>
      <c r="O4" s="393">
        <v>4420</v>
      </c>
      <c r="P4" s="393">
        <v>4420</v>
      </c>
      <c r="Q4" s="597">
        <v>4420</v>
      </c>
      <c r="R4" s="394"/>
      <c r="S4" s="394"/>
      <c r="T4" s="394"/>
      <c r="U4" s="401"/>
    </row>
    <row r="5" spans="1:21" x14ac:dyDescent="0.25">
      <c r="B5" s="430" t="s">
        <v>83</v>
      </c>
      <c r="C5" s="443" t="s">
        <v>556</v>
      </c>
      <c r="D5" s="433"/>
      <c r="E5" s="443" t="s">
        <v>126</v>
      </c>
      <c r="F5" s="433" t="s">
        <v>534</v>
      </c>
      <c r="G5" s="595">
        <v>0</v>
      </c>
      <c r="H5" s="395"/>
      <c r="I5" s="393">
        <v>4002.7033898305085</v>
      </c>
      <c r="J5" s="393">
        <v>4002.7033898305085</v>
      </c>
      <c r="K5" s="393">
        <v>4002.7033898305085</v>
      </c>
      <c r="L5" s="393">
        <v>4002.7033898305085</v>
      </c>
      <c r="M5" s="393">
        <v>4002.7033898305085</v>
      </c>
      <c r="N5" s="393">
        <v>4002.7033898305085</v>
      </c>
      <c r="O5" s="393">
        <v>4002.703389830509</v>
      </c>
      <c r="P5" s="393">
        <v>4203</v>
      </c>
      <c r="Q5" s="597">
        <v>4203</v>
      </c>
      <c r="R5" s="394"/>
      <c r="S5" s="394"/>
      <c r="T5" s="394"/>
      <c r="U5" s="401"/>
    </row>
    <row r="6" spans="1:21" x14ac:dyDescent="0.25">
      <c r="B6" s="430" t="s">
        <v>42</v>
      </c>
      <c r="C6" s="443" t="s">
        <v>557</v>
      </c>
      <c r="D6" s="433"/>
      <c r="E6" s="443" t="s">
        <v>304</v>
      </c>
      <c r="F6" s="433" t="s">
        <v>534</v>
      </c>
      <c r="G6" s="596">
        <v>0</v>
      </c>
      <c r="H6" s="395"/>
      <c r="I6" s="393">
        <v>263859</v>
      </c>
      <c r="J6" s="393">
        <v>309938.62</v>
      </c>
      <c r="K6" s="393">
        <v>311982.76</v>
      </c>
      <c r="L6" s="393">
        <v>285696</v>
      </c>
      <c r="M6" s="393">
        <v>320788</v>
      </c>
      <c r="N6" s="393">
        <v>306125</v>
      </c>
      <c r="O6" s="393">
        <v>255312.28</v>
      </c>
      <c r="P6" s="393">
        <v>246894</v>
      </c>
      <c r="Q6" s="597">
        <v>242544</v>
      </c>
      <c r="R6" s="394"/>
      <c r="S6" s="394"/>
      <c r="T6" s="394"/>
      <c r="U6" s="401"/>
    </row>
    <row r="7" spans="1:21" x14ac:dyDescent="0.25">
      <c r="B7" s="430" t="s">
        <v>558</v>
      </c>
      <c r="C7" s="443" t="s">
        <v>559</v>
      </c>
      <c r="D7" s="433"/>
      <c r="E7" s="443" t="s">
        <v>934</v>
      </c>
      <c r="F7" s="433" t="s">
        <v>534</v>
      </c>
      <c r="G7" s="596">
        <v>0</v>
      </c>
      <c r="H7" s="395"/>
      <c r="I7" s="393">
        <v>16483.152542372882</v>
      </c>
      <c r="J7" s="393">
        <v>11924.813559322034</v>
      </c>
      <c r="K7" s="393">
        <v>7433.0084745762715</v>
      </c>
      <c r="L7" s="395"/>
      <c r="M7" s="393">
        <v>694.88983050847469</v>
      </c>
      <c r="N7" s="395"/>
      <c r="O7" s="395"/>
      <c r="P7" s="395"/>
      <c r="Q7" s="598"/>
      <c r="R7" s="394"/>
      <c r="S7" s="394"/>
      <c r="T7" s="394"/>
      <c r="U7" s="401"/>
    </row>
    <row r="8" spans="1:21" s="247" customFormat="1" x14ac:dyDescent="0.25">
      <c r="B8" s="430" t="s">
        <v>929</v>
      </c>
      <c r="C8" s="443" t="s">
        <v>84</v>
      </c>
      <c r="D8" s="433"/>
      <c r="E8" s="443" t="s">
        <v>123</v>
      </c>
      <c r="F8" s="433" t="s">
        <v>534</v>
      </c>
      <c r="G8" s="438">
        <v>14000</v>
      </c>
      <c r="H8" s="395"/>
      <c r="I8" s="395"/>
      <c r="J8" s="395"/>
      <c r="K8" s="395"/>
      <c r="L8" s="395"/>
      <c r="M8" s="395"/>
      <c r="N8" s="395"/>
      <c r="O8" s="395"/>
      <c r="P8" s="393">
        <v>7000</v>
      </c>
      <c r="Q8" s="598"/>
      <c r="R8" s="394"/>
      <c r="S8" s="394"/>
      <c r="T8" s="394"/>
      <c r="U8" s="401">
        <f>G8-(SUM(I8:T8))</f>
        <v>7000</v>
      </c>
    </row>
    <row r="9" spans="1:21" s="247" customFormat="1" x14ac:dyDescent="0.25">
      <c r="A9" s="485"/>
      <c r="B9" s="430" t="s">
        <v>930</v>
      </c>
      <c r="C9" s="443" t="s">
        <v>50</v>
      </c>
      <c r="D9" s="433"/>
      <c r="E9" s="443" t="s">
        <v>408</v>
      </c>
      <c r="F9" s="433" t="s">
        <v>534</v>
      </c>
      <c r="G9" s="438">
        <v>51000</v>
      </c>
      <c r="H9" s="395"/>
      <c r="I9" s="395"/>
      <c r="J9" s="395"/>
      <c r="K9" s="395"/>
      <c r="L9" s="395"/>
      <c r="M9" s="395"/>
      <c r="N9" s="395"/>
      <c r="O9" s="398">
        <v>25800</v>
      </c>
      <c r="P9" s="395"/>
      <c r="Q9" s="597">
        <v>13200</v>
      </c>
      <c r="R9" s="394"/>
      <c r="S9" s="394"/>
      <c r="T9" s="394"/>
      <c r="U9" s="401">
        <f>G9-(SUM(I9:T9))</f>
        <v>12000</v>
      </c>
    </row>
    <row r="10" spans="1:21" x14ac:dyDescent="0.25">
      <c r="B10" s="431" t="s">
        <v>43</v>
      </c>
      <c r="C10" s="444" t="s">
        <v>531</v>
      </c>
      <c r="D10" s="434" t="s">
        <v>219</v>
      </c>
      <c r="E10" s="444" t="s">
        <v>128</v>
      </c>
      <c r="F10" s="434" t="s">
        <v>532</v>
      </c>
      <c r="G10" s="438">
        <v>71500</v>
      </c>
      <c r="H10" s="395"/>
      <c r="I10" s="396">
        <v>35750</v>
      </c>
      <c r="J10" s="396">
        <v>17875</v>
      </c>
      <c r="K10" s="397"/>
      <c r="L10" s="397"/>
      <c r="M10" s="397"/>
      <c r="N10" s="396">
        <v>17875</v>
      </c>
      <c r="O10" s="395"/>
      <c r="P10" s="395"/>
      <c r="Q10" s="598"/>
      <c r="R10" s="394"/>
      <c r="S10" s="394"/>
      <c r="T10" s="394"/>
      <c r="U10" s="401">
        <f>G10-(SUM(I10:T10))</f>
        <v>0</v>
      </c>
    </row>
    <row r="11" spans="1:21" x14ac:dyDescent="0.25">
      <c r="B11" s="431" t="s">
        <v>90</v>
      </c>
      <c r="C11" s="444" t="s">
        <v>533</v>
      </c>
      <c r="D11" s="434" t="s">
        <v>219</v>
      </c>
      <c r="E11" s="444" t="s">
        <v>113</v>
      </c>
      <c r="F11" s="434" t="s">
        <v>532</v>
      </c>
      <c r="G11" s="438">
        <v>30712.5</v>
      </c>
      <c r="H11" s="395"/>
      <c r="I11" s="396">
        <v>30712.5</v>
      </c>
      <c r="J11" s="397"/>
      <c r="K11" s="397"/>
      <c r="L11" s="397"/>
      <c r="M11" s="397"/>
      <c r="N11" s="395"/>
      <c r="O11" s="395"/>
      <c r="P11" s="395"/>
      <c r="Q11" s="598"/>
      <c r="R11" s="394"/>
      <c r="S11" s="394"/>
      <c r="T11" s="394"/>
      <c r="U11" s="401">
        <f t="shared" ref="U11:U40" si="0">G11-(SUM(I11:T11))</f>
        <v>0</v>
      </c>
    </row>
    <row r="12" spans="1:21" x14ac:dyDescent="0.25">
      <c r="B12" s="431" t="s">
        <v>95</v>
      </c>
      <c r="C12" s="444" t="s">
        <v>533</v>
      </c>
      <c r="D12" s="434" t="s">
        <v>219</v>
      </c>
      <c r="E12" s="444" t="s">
        <v>165</v>
      </c>
      <c r="F12" s="434" t="s">
        <v>532</v>
      </c>
      <c r="G12" s="438">
        <v>73710</v>
      </c>
      <c r="H12" s="395"/>
      <c r="I12" s="396">
        <v>29484</v>
      </c>
      <c r="J12" s="396">
        <v>44226</v>
      </c>
      <c r="K12" s="397"/>
      <c r="L12" s="397"/>
      <c r="M12" s="397"/>
      <c r="N12" s="395"/>
      <c r="O12" s="395"/>
      <c r="P12" s="395"/>
      <c r="Q12" s="598"/>
      <c r="R12" s="394"/>
      <c r="S12" s="394"/>
      <c r="T12" s="394"/>
      <c r="U12" s="401">
        <f t="shared" si="0"/>
        <v>0</v>
      </c>
    </row>
    <row r="13" spans="1:21" x14ac:dyDescent="0.25">
      <c r="B13" s="431" t="s">
        <v>77</v>
      </c>
      <c r="C13" s="444" t="s">
        <v>76</v>
      </c>
      <c r="D13" s="434" t="s">
        <v>219</v>
      </c>
      <c r="E13" s="444" t="s">
        <v>115</v>
      </c>
      <c r="F13" s="434" t="s">
        <v>534</v>
      </c>
      <c r="G13" s="438">
        <v>23200</v>
      </c>
      <c r="H13" s="395"/>
      <c r="I13" s="395"/>
      <c r="J13" s="398">
        <v>11600</v>
      </c>
      <c r="K13" s="397"/>
      <c r="L13" s="397"/>
      <c r="M13" s="397"/>
      <c r="N13" s="397"/>
      <c r="O13" s="395"/>
      <c r="P13" s="395"/>
      <c r="Q13" s="597">
        <v>11600</v>
      </c>
      <c r="R13" s="394"/>
      <c r="S13" s="394"/>
      <c r="T13" s="394"/>
      <c r="U13" s="401">
        <f t="shared" si="0"/>
        <v>0</v>
      </c>
    </row>
    <row r="14" spans="1:21" x14ac:dyDescent="0.25">
      <c r="B14" s="431" t="s">
        <v>94</v>
      </c>
      <c r="C14" s="444" t="s">
        <v>560</v>
      </c>
      <c r="D14" s="434" t="s">
        <v>219</v>
      </c>
      <c r="E14" s="444" t="s">
        <v>116</v>
      </c>
      <c r="F14" s="434" t="s">
        <v>534</v>
      </c>
      <c r="G14" s="438">
        <v>63900</v>
      </c>
      <c r="H14" s="400">
        <v>25560</v>
      </c>
      <c r="I14" s="395"/>
      <c r="J14" s="395"/>
      <c r="K14" s="393">
        <v>12780</v>
      </c>
      <c r="L14" s="393">
        <v>25560</v>
      </c>
      <c r="M14" s="395"/>
      <c r="N14" s="395"/>
      <c r="O14" s="395"/>
      <c r="P14" s="395"/>
      <c r="Q14" s="598"/>
      <c r="R14" s="394"/>
      <c r="S14" s="394"/>
      <c r="T14" s="394"/>
      <c r="U14" s="401">
        <f>G14-(SUM(H14:T14))</f>
        <v>0</v>
      </c>
    </row>
    <row r="15" spans="1:21" x14ac:dyDescent="0.25">
      <c r="B15" s="436" t="s">
        <v>92</v>
      </c>
      <c r="C15" s="445" t="s">
        <v>543</v>
      </c>
      <c r="D15" s="437" t="s">
        <v>217</v>
      </c>
      <c r="E15" s="445" t="s">
        <v>117</v>
      </c>
      <c r="F15" s="437" t="s">
        <v>534</v>
      </c>
      <c r="G15" s="438">
        <v>11675</v>
      </c>
      <c r="H15" s="395"/>
      <c r="I15" s="395"/>
      <c r="J15" s="395"/>
      <c r="K15" s="395"/>
      <c r="L15" s="395"/>
      <c r="M15" s="395"/>
      <c r="N15" s="395"/>
      <c r="O15" s="395"/>
      <c r="P15" s="395"/>
      <c r="Q15" s="598"/>
      <c r="R15" s="394"/>
      <c r="S15" s="394"/>
      <c r="T15" s="394"/>
      <c r="U15" s="401">
        <f t="shared" si="0"/>
        <v>11675</v>
      </c>
    </row>
    <row r="16" spans="1:21" x14ac:dyDescent="0.25">
      <c r="B16" s="431" t="s">
        <v>79</v>
      </c>
      <c r="C16" s="444" t="s">
        <v>535</v>
      </c>
      <c r="D16" s="434" t="s">
        <v>219</v>
      </c>
      <c r="E16" s="444" t="s">
        <v>164</v>
      </c>
      <c r="F16" s="434" t="s">
        <v>534</v>
      </c>
      <c r="G16" s="438">
        <v>25423.73</v>
      </c>
      <c r="H16" s="399"/>
      <c r="I16" s="399"/>
      <c r="J16" s="400">
        <v>7627.1186440677966</v>
      </c>
      <c r="K16" s="399"/>
      <c r="L16" s="399"/>
      <c r="M16" s="400">
        <v>17796.611000000001</v>
      </c>
      <c r="N16" s="395"/>
      <c r="O16" s="395"/>
      <c r="P16" s="395"/>
      <c r="Q16" s="598"/>
      <c r="R16" s="394"/>
      <c r="S16" s="394"/>
      <c r="T16" s="394"/>
      <c r="U16" s="401">
        <f t="shared" si="0"/>
        <v>3.559322030923795E-4</v>
      </c>
    </row>
    <row r="17" spans="1:21" x14ac:dyDescent="0.25">
      <c r="B17" s="431" t="s">
        <v>98</v>
      </c>
      <c r="C17" s="444" t="s">
        <v>539</v>
      </c>
      <c r="D17" s="434" t="s">
        <v>219</v>
      </c>
      <c r="E17" s="444" t="s">
        <v>135</v>
      </c>
      <c r="F17" s="434" t="s">
        <v>534</v>
      </c>
      <c r="G17" s="438">
        <v>27288.14</v>
      </c>
      <c r="H17" s="399"/>
      <c r="I17" s="399"/>
      <c r="J17" s="399"/>
      <c r="K17" s="399"/>
      <c r="L17" s="399"/>
      <c r="M17" s="400">
        <v>5457.6280000000006</v>
      </c>
      <c r="N17" s="400">
        <v>21830.51</v>
      </c>
      <c r="O17" s="395"/>
      <c r="P17" s="395"/>
      <c r="Q17" s="598"/>
      <c r="R17" s="394"/>
      <c r="S17" s="394"/>
      <c r="T17" s="394"/>
      <c r="U17" s="401">
        <f t="shared" si="0"/>
        <v>2.0000000004074536E-3</v>
      </c>
    </row>
    <row r="18" spans="1:21" x14ac:dyDescent="0.25">
      <c r="B18" s="431" t="s">
        <v>85</v>
      </c>
      <c r="C18" s="444" t="s">
        <v>536</v>
      </c>
      <c r="D18" s="434" t="s">
        <v>219</v>
      </c>
      <c r="E18" s="444" t="s">
        <v>123</v>
      </c>
      <c r="F18" s="434" t="s">
        <v>534</v>
      </c>
      <c r="G18" s="438">
        <v>14000</v>
      </c>
      <c r="H18" s="395"/>
      <c r="I18" s="395"/>
      <c r="J18" s="395"/>
      <c r="K18" s="395"/>
      <c r="L18" s="398">
        <v>14000</v>
      </c>
      <c r="M18" s="395"/>
      <c r="N18" s="395"/>
      <c r="O18" s="395"/>
      <c r="P18" s="395"/>
      <c r="Q18" s="598"/>
      <c r="R18" s="394"/>
      <c r="S18" s="394"/>
      <c r="T18" s="394"/>
      <c r="U18" s="401">
        <f t="shared" si="0"/>
        <v>0</v>
      </c>
    </row>
    <row r="19" spans="1:21" x14ac:dyDescent="0.25">
      <c r="B19" s="431" t="s">
        <v>47</v>
      </c>
      <c r="C19" s="444" t="s">
        <v>537</v>
      </c>
      <c r="D19" s="434" t="s">
        <v>219</v>
      </c>
      <c r="E19" s="444" t="s">
        <v>877</v>
      </c>
      <c r="F19" s="434" t="s">
        <v>534</v>
      </c>
      <c r="G19" s="438">
        <v>16800</v>
      </c>
      <c r="H19" s="395"/>
      <c r="I19" s="398">
        <v>12000</v>
      </c>
      <c r="J19" s="398">
        <v>4800</v>
      </c>
      <c r="K19" s="395"/>
      <c r="L19" s="395"/>
      <c r="M19" s="395"/>
      <c r="N19" s="395"/>
      <c r="O19" s="395"/>
      <c r="P19" s="395"/>
      <c r="Q19" s="598"/>
      <c r="R19" s="394"/>
      <c r="S19" s="394"/>
      <c r="T19" s="394"/>
      <c r="U19" s="401">
        <f t="shared" si="0"/>
        <v>0</v>
      </c>
    </row>
    <row r="20" spans="1:21" x14ac:dyDescent="0.25">
      <c r="B20" s="431" t="s">
        <v>88</v>
      </c>
      <c r="C20" s="444" t="s">
        <v>538</v>
      </c>
      <c r="D20" s="434" t="s">
        <v>219</v>
      </c>
      <c r="E20" s="444" t="s">
        <v>121</v>
      </c>
      <c r="F20" s="434" t="s">
        <v>534</v>
      </c>
      <c r="G20" s="438">
        <v>25473</v>
      </c>
      <c r="H20" s="395"/>
      <c r="I20" s="395"/>
      <c r="J20" s="395"/>
      <c r="K20" s="395"/>
      <c r="L20" s="395"/>
      <c r="M20" s="400">
        <v>10200</v>
      </c>
      <c r="N20" s="400">
        <v>15273</v>
      </c>
      <c r="O20" s="395"/>
      <c r="P20" s="395"/>
      <c r="Q20" s="598"/>
      <c r="R20" s="394"/>
      <c r="S20" s="394"/>
      <c r="T20" s="394"/>
      <c r="U20" s="401">
        <f t="shared" si="0"/>
        <v>0</v>
      </c>
    </row>
    <row r="21" spans="1:21" x14ac:dyDescent="0.25">
      <c r="B21" s="431" t="s">
        <v>51</v>
      </c>
      <c r="C21" s="444" t="s">
        <v>540</v>
      </c>
      <c r="D21" s="434" t="s">
        <v>219</v>
      </c>
      <c r="E21" s="444" t="s">
        <v>122</v>
      </c>
      <c r="F21" s="434" t="s">
        <v>534</v>
      </c>
      <c r="G21" s="438">
        <v>42676</v>
      </c>
      <c r="H21" s="395"/>
      <c r="I21" s="395"/>
      <c r="J21" s="395"/>
      <c r="K21" s="395"/>
      <c r="L21" s="395"/>
      <c r="M21" s="400">
        <v>17070</v>
      </c>
      <c r="N21" s="400">
        <v>12803</v>
      </c>
      <c r="O21" s="395"/>
      <c r="P21" s="395"/>
      <c r="Q21" s="599">
        <v>12803</v>
      </c>
      <c r="R21" s="394"/>
      <c r="S21" s="394"/>
      <c r="T21" s="394"/>
      <c r="U21" s="401">
        <f t="shared" si="0"/>
        <v>0</v>
      </c>
    </row>
    <row r="22" spans="1:21" x14ac:dyDescent="0.25">
      <c r="B22" s="431" t="s">
        <v>204</v>
      </c>
      <c r="C22" s="444" t="s">
        <v>531</v>
      </c>
      <c r="D22" s="434" t="s">
        <v>219</v>
      </c>
      <c r="E22" s="444" t="s">
        <v>435</v>
      </c>
      <c r="F22" s="434" t="s">
        <v>534</v>
      </c>
      <c r="G22" s="438">
        <v>15000</v>
      </c>
      <c r="H22" s="395"/>
      <c r="I22" s="395"/>
      <c r="J22" s="395"/>
      <c r="K22" s="398">
        <v>15000</v>
      </c>
      <c r="L22" s="395"/>
      <c r="M22" s="395"/>
      <c r="N22" s="395"/>
      <c r="O22" s="395"/>
      <c r="P22" s="395"/>
      <c r="Q22" s="598"/>
      <c r="R22" s="394"/>
      <c r="S22" s="394"/>
      <c r="T22" s="394"/>
      <c r="U22" s="401">
        <f t="shared" si="0"/>
        <v>0</v>
      </c>
    </row>
    <row r="23" spans="1:21" x14ac:dyDescent="0.25">
      <c r="B23" s="431" t="s">
        <v>104</v>
      </c>
      <c r="C23" s="444" t="s">
        <v>541</v>
      </c>
      <c r="D23" s="434" t="s">
        <v>219</v>
      </c>
      <c r="E23" s="444" t="s">
        <v>166</v>
      </c>
      <c r="F23" s="434" t="s">
        <v>534</v>
      </c>
      <c r="G23" s="438">
        <v>22500</v>
      </c>
      <c r="H23" s="399"/>
      <c r="I23" s="399"/>
      <c r="J23" s="399"/>
      <c r="K23" s="399"/>
      <c r="L23" s="399"/>
      <c r="M23" s="400">
        <v>6750</v>
      </c>
      <c r="N23" s="400">
        <v>15750</v>
      </c>
      <c r="O23" s="395"/>
      <c r="P23" s="395"/>
      <c r="Q23" s="598"/>
      <c r="R23" s="394"/>
      <c r="S23" s="394"/>
      <c r="T23" s="394"/>
      <c r="U23" s="401">
        <f t="shared" si="0"/>
        <v>0</v>
      </c>
    </row>
    <row r="24" spans="1:21" x14ac:dyDescent="0.25">
      <c r="B24" s="436" t="s">
        <v>542</v>
      </c>
      <c r="C24" s="445" t="s">
        <v>543</v>
      </c>
      <c r="D24" s="437" t="s">
        <v>217</v>
      </c>
      <c r="E24" s="445" t="s">
        <v>585</v>
      </c>
      <c r="F24" s="437" t="s">
        <v>534</v>
      </c>
      <c r="G24" s="438">
        <v>3400</v>
      </c>
      <c r="H24" s="399"/>
      <c r="I24" s="399"/>
      <c r="J24" s="399"/>
      <c r="K24" s="399"/>
      <c r="L24" s="399"/>
      <c r="M24" s="398">
        <v>2235</v>
      </c>
      <c r="N24" s="395"/>
      <c r="O24" s="395"/>
      <c r="P24" s="395"/>
      <c r="Q24" s="598"/>
      <c r="R24" s="394"/>
      <c r="S24" s="394"/>
      <c r="T24" s="394"/>
      <c r="U24" s="401">
        <f t="shared" si="0"/>
        <v>1165</v>
      </c>
    </row>
    <row r="25" spans="1:21" x14ac:dyDescent="0.25">
      <c r="B25" s="431" t="s">
        <v>433</v>
      </c>
      <c r="C25" s="444" t="s">
        <v>531</v>
      </c>
      <c r="D25" s="434" t="s">
        <v>219</v>
      </c>
      <c r="E25" s="444" t="s">
        <v>434</v>
      </c>
      <c r="F25" s="434" t="s">
        <v>534</v>
      </c>
      <c r="G25" s="438">
        <v>20520</v>
      </c>
      <c r="H25" s="395"/>
      <c r="I25" s="395"/>
      <c r="J25" s="395"/>
      <c r="K25" s="395"/>
      <c r="L25" s="395"/>
      <c r="M25" s="398">
        <v>10260</v>
      </c>
      <c r="N25" s="395"/>
      <c r="O25" s="395"/>
      <c r="P25" s="393">
        <v>10260</v>
      </c>
      <c r="Q25" s="598"/>
      <c r="R25" s="394"/>
      <c r="S25" s="394"/>
      <c r="T25" s="394"/>
      <c r="U25" s="401">
        <f t="shared" si="0"/>
        <v>0</v>
      </c>
    </row>
    <row r="26" spans="1:21" x14ac:dyDescent="0.25">
      <c r="B26" s="431" t="s">
        <v>203</v>
      </c>
      <c r="C26" s="444" t="s">
        <v>96</v>
      </c>
      <c r="D26" s="434" t="s">
        <v>219</v>
      </c>
      <c r="E26" s="444" t="s">
        <v>156</v>
      </c>
      <c r="F26" s="434" t="s">
        <v>947</v>
      </c>
      <c r="G26" s="438">
        <v>32000</v>
      </c>
      <c r="H26" s="395"/>
      <c r="I26" s="398">
        <v>32000</v>
      </c>
      <c r="J26" s="395"/>
      <c r="K26" s="395"/>
      <c r="L26" s="395"/>
      <c r="M26" s="395"/>
      <c r="N26" s="395"/>
      <c r="O26" s="395"/>
      <c r="P26" s="395"/>
      <c r="Q26" s="598"/>
      <c r="R26" s="394"/>
      <c r="S26" s="394"/>
      <c r="T26" s="394"/>
      <c r="U26" s="401">
        <f t="shared" si="0"/>
        <v>0</v>
      </c>
    </row>
    <row r="27" spans="1:21" x14ac:dyDescent="0.25">
      <c r="B27" s="432" t="s">
        <v>228</v>
      </c>
      <c r="C27" s="446" t="s">
        <v>544</v>
      </c>
      <c r="D27" s="435" t="s">
        <v>218</v>
      </c>
      <c r="E27" s="446" t="s">
        <v>229</v>
      </c>
      <c r="F27" s="435" t="s">
        <v>534</v>
      </c>
      <c r="G27" s="438">
        <v>117600</v>
      </c>
      <c r="H27" s="395"/>
      <c r="I27" s="395"/>
      <c r="J27" s="395"/>
      <c r="K27" s="395"/>
      <c r="L27" s="395"/>
      <c r="M27" s="395"/>
      <c r="N27" s="398">
        <v>9800</v>
      </c>
      <c r="O27" s="398">
        <v>9800</v>
      </c>
      <c r="P27" s="393">
        <v>9800</v>
      </c>
      <c r="Q27" s="599">
        <v>9800</v>
      </c>
      <c r="R27" s="394"/>
      <c r="S27" s="394"/>
      <c r="T27" s="394"/>
      <c r="U27" s="401">
        <f>G27-(SUM(I27:T27))</f>
        <v>78400</v>
      </c>
    </row>
    <row r="28" spans="1:21" x14ac:dyDescent="0.25">
      <c r="A28" s="485"/>
      <c r="B28" s="431" t="s">
        <v>196</v>
      </c>
      <c r="C28" s="444" t="s">
        <v>50</v>
      </c>
      <c r="D28" s="434" t="s">
        <v>219</v>
      </c>
      <c r="E28" s="444" t="s">
        <v>127</v>
      </c>
      <c r="F28" s="434" t="s">
        <v>534</v>
      </c>
      <c r="G28" s="438">
        <v>31258</v>
      </c>
      <c r="H28" s="395"/>
      <c r="I28" s="395"/>
      <c r="J28" s="395"/>
      <c r="K28" s="395"/>
      <c r="L28" s="395"/>
      <c r="M28" s="398">
        <v>6000</v>
      </c>
      <c r="N28" s="395"/>
      <c r="O28" s="398">
        <v>14400</v>
      </c>
      <c r="P28" s="395"/>
      <c r="Q28" s="599">
        <v>15000</v>
      </c>
      <c r="R28" s="394"/>
      <c r="S28" s="394"/>
      <c r="T28" s="394"/>
      <c r="U28" s="401">
        <f>G28-(SUM(I28:T28))</f>
        <v>-4142</v>
      </c>
    </row>
    <row r="29" spans="1:21" x14ac:dyDescent="0.25">
      <c r="B29" s="432" t="s">
        <v>545</v>
      </c>
      <c r="C29" s="446" t="s">
        <v>546</v>
      </c>
      <c r="D29" s="435" t="s">
        <v>218</v>
      </c>
      <c r="E29" s="446" t="s">
        <v>589</v>
      </c>
      <c r="F29" s="435" t="s">
        <v>534</v>
      </c>
      <c r="G29" s="438">
        <v>5800</v>
      </c>
      <c r="H29" s="395"/>
      <c r="I29" s="395"/>
      <c r="J29" s="395"/>
      <c r="K29" s="395"/>
      <c r="L29" s="395"/>
      <c r="M29" s="395"/>
      <c r="N29" s="395"/>
      <c r="O29" s="395"/>
      <c r="P29" s="395"/>
      <c r="Q29" s="598"/>
      <c r="R29" s="394"/>
      <c r="S29" s="394"/>
      <c r="T29" s="251"/>
      <c r="U29" s="401">
        <f t="shared" si="0"/>
        <v>5800</v>
      </c>
    </row>
    <row r="30" spans="1:21" x14ac:dyDescent="0.25">
      <c r="B30" s="476" t="s">
        <v>198</v>
      </c>
      <c r="C30" s="101" t="s">
        <v>541</v>
      </c>
      <c r="D30" s="477" t="s">
        <v>219</v>
      </c>
      <c r="E30" s="101" t="s">
        <v>199</v>
      </c>
      <c r="F30" s="477" t="s">
        <v>532</v>
      </c>
      <c r="G30" s="438">
        <v>22750</v>
      </c>
      <c r="H30" s="395"/>
      <c r="I30" s="395"/>
      <c r="J30" s="395"/>
      <c r="K30" s="395"/>
      <c r="L30" s="395"/>
      <c r="M30" s="395"/>
      <c r="N30" s="395"/>
      <c r="O30" s="396">
        <v>22750</v>
      </c>
      <c r="P30" s="395"/>
      <c r="Q30" s="598"/>
      <c r="R30" s="394"/>
      <c r="S30" s="439"/>
      <c r="T30" s="394"/>
      <c r="U30" s="401">
        <f>G30-(SUM(I30:T30))</f>
        <v>0</v>
      </c>
    </row>
    <row r="31" spans="1:21" x14ac:dyDescent="0.25">
      <c r="A31" s="485"/>
      <c r="B31" s="432" t="s">
        <v>206</v>
      </c>
      <c r="C31" s="446" t="s">
        <v>547</v>
      </c>
      <c r="D31" s="435" t="s">
        <v>218</v>
      </c>
      <c r="E31" s="446" t="s">
        <v>235</v>
      </c>
      <c r="F31" s="435" t="s">
        <v>532</v>
      </c>
      <c r="G31" s="438">
        <v>144625</v>
      </c>
      <c r="H31" s="395"/>
      <c r="I31" s="395"/>
      <c r="J31" s="395"/>
      <c r="K31" s="395"/>
      <c r="L31" s="395"/>
      <c r="M31" s="395"/>
      <c r="N31" s="395"/>
      <c r="O31" s="395"/>
      <c r="P31" s="395"/>
      <c r="Q31" s="598"/>
      <c r="R31" s="394"/>
      <c r="S31" s="394"/>
      <c r="T31" s="394"/>
      <c r="U31" s="401">
        <f t="shared" si="0"/>
        <v>144625</v>
      </c>
    </row>
    <row r="32" spans="1:21" x14ac:dyDescent="0.25">
      <c r="A32" s="485"/>
      <c r="B32" s="476" t="s">
        <v>221</v>
      </c>
      <c r="C32" s="101" t="s">
        <v>548</v>
      </c>
      <c r="D32" s="477" t="s">
        <v>219</v>
      </c>
      <c r="E32" s="101" t="s">
        <v>222</v>
      </c>
      <c r="F32" s="477" t="s">
        <v>534</v>
      </c>
      <c r="G32" s="438">
        <v>9322</v>
      </c>
      <c r="H32" s="395"/>
      <c r="I32" s="395"/>
      <c r="J32" s="395"/>
      <c r="K32" s="395"/>
      <c r="L32" s="395"/>
      <c r="M32" s="395"/>
      <c r="N32" s="395"/>
      <c r="O32" s="395"/>
      <c r="P32" s="395"/>
      <c r="Q32" s="597">
        <v>9322</v>
      </c>
      <c r="R32" s="394"/>
      <c r="S32" s="394"/>
      <c r="T32" s="394"/>
      <c r="U32" s="401">
        <f t="shared" si="0"/>
        <v>0</v>
      </c>
    </row>
    <row r="33" spans="1:21" x14ac:dyDescent="0.25">
      <c r="B33" s="431" t="s">
        <v>306</v>
      </c>
      <c r="C33" s="444" t="s">
        <v>541</v>
      </c>
      <c r="D33" s="434" t="s">
        <v>219</v>
      </c>
      <c r="E33" s="444" t="s">
        <v>437</v>
      </c>
      <c r="F33" s="434" t="s">
        <v>532</v>
      </c>
      <c r="G33" s="438">
        <v>39180</v>
      </c>
      <c r="H33" s="395"/>
      <c r="I33" s="395"/>
      <c r="J33" s="395"/>
      <c r="K33" s="395"/>
      <c r="L33" s="395"/>
      <c r="M33" s="395"/>
      <c r="N33" s="395"/>
      <c r="O33" s="396">
        <v>11700</v>
      </c>
      <c r="P33" s="395"/>
      <c r="Q33" s="599">
        <v>27480</v>
      </c>
      <c r="R33" s="394"/>
      <c r="S33" s="394"/>
      <c r="T33" s="394"/>
      <c r="U33" s="401">
        <f t="shared" si="0"/>
        <v>0</v>
      </c>
    </row>
    <row r="34" spans="1:21" x14ac:dyDescent="0.25">
      <c r="B34" s="431" t="s">
        <v>305</v>
      </c>
      <c r="C34" s="444" t="s">
        <v>541</v>
      </c>
      <c r="D34" s="434" t="s">
        <v>219</v>
      </c>
      <c r="E34" s="444" t="s">
        <v>436</v>
      </c>
      <c r="F34" s="434" t="s">
        <v>532</v>
      </c>
      <c r="G34" s="438">
        <v>17710</v>
      </c>
      <c r="H34" s="395"/>
      <c r="I34" s="395"/>
      <c r="J34" s="395"/>
      <c r="K34" s="395"/>
      <c r="L34" s="395"/>
      <c r="M34" s="395"/>
      <c r="N34" s="395"/>
      <c r="O34" s="395"/>
      <c r="P34" s="395"/>
      <c r="Q34" s="599">
        <v>17710</v>
      </c>
      <c r="R34" s="394"/>
      <c r="S34" s="394"/>
      <c r="T34" s="394"/>
      <c r="U34" s="401">
        <f t="shared" si="0"/>
        <v>0</v>
      </c>
    </row>
    <row r="35" spans="1:21" x14ac:dyDescent="0.25">
      <c r="B35" s="478" t="s">
        <v>361</v>
      </c>
      <c r="C35" s="479" t="s">
        <v>541</v>
      </c>
      <c r="D35" s="480" t="s">
        <v>218</v>
      </c>
      <c r="E35" s="479" t="s">
        <v>362</v>
      </c>
      <c r="F35" s="480" t="s">
        <v>532</v>
      </c>
      <c r="G35" s="438">
        <v>290538.3</v>
      </c>
      <c r="H35" s="395"/>
      <c r="I35" s="395"/>
      <c r="J35" s="395"/>
      <c r="K35" s="395"/>
      <c r="L35" s="395"/>
      <c r="M35" s="395"/>
      <c r="N35" s="395"/>
      <c r="O35" s="396">
        <v>87457.5</v>
      </c>
      <c r="P35" s="395"/>
      <c r="Q35" s="598"/>
      <c r="R35" s="394"/>
      <c r="S35" s="394"/>
      <c r="T35" s="394"/>
      <c r="U35" s="401">
        <f t="shared" si="0"/>
        <v>203080.8</v>
      </c>
    </row>
    <row r="36" spans="1:21" x14ac:dyDescent="0.25">
      <c r="B36" s="431" t="s">
        <v>549</v>
      </c>
      <c r="C36" s="444" t="s">
        <v>227</v>
      </c>
      <c r="D36" s="434" t="s">
        <v>219</v>
      </c>
      <c r="E36" s="444" t="s">
        <v>608</v>
      </c>
      <c r="F36" s="434" t="s">
        <v>534</v>
      </c>
      <c r="G36" s="438">
        <v>9800</v>
      </c>
      <c r="H36" s="395"/>
      <c r="I36" s="395"/>
      <c r="J36" s="395"/>
      <c r="K36" s="395"/>
      <c r="L36" s="395"/>
      <c r="M36" s="395"/>
      <c r="N36" s="395"/>
      <c r="O36" s="395"/>
      <c r="P36" s="398">
        <v>4900</v>
      </c>
      <c r="Q36" s="599">
        <v>4900</v>
      </c>
      <c r="R36" s="394"/>
      <c r="S36" s="394"/>
      <c r="T36" s="394"/>
      <c r="U36" s="401">
        <f t="shared" si="0"/>
        <v>0</v>
      </c>
    </row>
    <row r="37" spans="1:21" x14ac:dyDescent="0.25">
      <c r="B37" s="481" t="s">
        <v>411</v>
      </c>
      <c r="C37" s="482" t="s">
        <v>50</v>
      </c>
      <c r="D37" s="483" t="s">
        <v>219</v>
      </c>
      <c r="E37" s="482" t="s">
        <v>410</v>
      </c>
      <c r="F37" s="483" t="s">
        <v>534</v>
      </c>
      <c r="G37" s="438">
        <v>6000</v>
      </c>
      <c r="H37" s="395"/>
      <c r="I37" s="395"/>
      <c r="J37" s="395"/>
      <c r="K37" s="398">
        <v>6000</v>
      </c>
      <c r="L37" s="395"/>
      <c r="M37" s="395"/>
      <c r="N37" s="395"/>
      <c r="O37" s="395"/>
      <c r="P37" s="395"/>
      <c r="Q37" s="598"/>
      <c r="R37" s="394"/>
      <c r="S37" s="394"/>
      <c r="T37" s="394"/>
      <c r="U37" s="401">
        <f t="shared" si="0"/>
        <v>0</v>
      </c>
    </row>
    <row r="38" spans="1:21" x14ac:dyDescent="0.25">
      <c r="B38" s="476" t="s">
        <v>415</v>
      </c>
      <c r="C38" s="101" t="s">
        <v>45</v>
      </c>
      <c r="D38" s="477" t="s">
        <v>219</v>
      </c>
      <c r="E38" s="101" t="s">
        <v>416</v>
      </c>
      <c r="F38" s="477" t="s">
        <v>534</v>
      </c>
      <c r="G38" s="438">
        <v>12000</v>
      </c>
      <c r="H38" s="395"/>
      <c r="I38" s="395"/>
      <c r="J38" s="395"/>
      <c r="K38" s="395"/>
      <c r="L38" s="395"/>
      <c r="M38" s="395"/>
      <c r="N38" s="395"/>
      <c r="O38" s="395"/>
      <c r="P38" s="395"/>
      <c r="Q38" s="597">
        <v>12000</v>
      </c>
      <c r="R38" s="394"/>
      <c r="S38" s="394"/>
      <c r="T38" s="394"/>
      <c r="U38" s="401">
        <f t="shared" si="0"/>
        <v>0</v>
      </c>
    </row>
    <row r="39" spans="1:21" x14ac:dyDescent="0.25">
      <c r="B39" s="432" t="s">
        <v>562</v>
      </c>
      <c r="C39" s="446" t="s">
        <v>541</v>
      </c>
      <c r="D39" s="435" t="s">
        <v>218</v>
      </c>
      <c r="E39" s="446" t="s">
        <v>563</v>
      </c>
      <c r="F39" s="435" t="s">
        <v>534</v>
      </c>
      <c r="G39" s="438">
        <v>67371</v>
      </c>
      <c r="H39" s="395"/>
      <c r="I39" s="395"/>
      <c r="J39" s="395"/>
      <c r="K39" s="395"/>
      <c r="L39" s="395"/>
      <c r="M39" s="395"/>
      <c r="N39" s="395"/>
      <c r="O39" s="395"/>
      <c r="P39" s="395"/>
      <c r="Q39" s="599">
        <v>16476.080000000002</v>
      </c>
      <c r="R39" s="394"/>
      <c r="S39" s="394"/>
      <c r="T39" s="394"/>
      <c r="U39" s="401">
        <f t="shared" si="0"/>
        <v>50894.92</v>
      </c>
    </row>
    <row r="40" spans="1:21" x14ac:dyDescent="0.25">
      <c r="A40" s="485"/>
      <c r="B40" s="431" t="s">
        <v>639</v>
      </c>
      <c r="C40" s="444" t="s">
        <v>50</v>
      </c>
      <c r="D40" s="434" t="s">
        <v>219</v>
      </c>
      <c r="E40" s="444" t="s">
        <v>640</v>
      </c>
      <c r="F40" s="434" t="s">
        <v>534</v>
      </c>
      <c r="G40" s="438">
        <v>15000</v>
      </c>
      <c r="H40" s="395"/>
      <c r="I40" s="395"/>
      <c r="J40" s="395"/>
      <c r="K40" s="395"/>
      <c r="L40" s="395"/>
      <c r="M40" s="395"/>
      <c r="N40" s="395"/>
      <c r="O40" s="395"/>
      <c r="P40" s="395"/>
      <c r="Q40" s="599">
        <v>15000</v>
      </c>
      <c r="R40" s="394"/>
      <c r="S40" s="394"/>
      <c r="T40" s="394"/>
      <c r="U40" s="401">
        <f t="shared" si="0"/>
        <v>0</v>
      </c>
    </row>
    <row r="41" spans="1:21" x14ac:dyDescent="0.25">
      <c r="B41" s="432" t="s">
        <v>913</v>
      </c>
      <c r="C41" s="446" t="s">
        <v>541</v>
      </c>
      <c r="D41" s="435" t="s">
        <v>218</v>
      </c>
      <c r="E41" s="446" t="s">
        <v>916</v>
      </c>
      <c r="F41" s="435" t="s">
        <v>532</v>
      </c>
      <c r="G41" s="438">
        <v>304466</v>
      </c>
      <c r="H41" s="395"/>
      <c r="I41" s="395"/>
      <c r="J41" s="395"/>
      <c r="K41" s="395"/>
      <c r="L41" s="395"/>
      <c r="M41" s="395"/>
      <c r="N41" s="395"/>
      <c r="O41" s="395"/>
      <c r="P41" s="395"/>
      <c r="Q41" s="599">
        <v>90888.6</v>
      </c>
      <c r="R41" s="394"/>
      <c r="S41" s="394"/>
      <c r="T41" s="394"/>
      <c r="U41" s="401">
        <f>G41-(SUM(I41:T41))</f>
        <v>213577.4</v>
      </c>
    </row>
    <row r="43" spans="1:21" x14ac:dyDescent="0.25">
      <c r="B43" s="391" t="s">
        <v>909</v>
      </c>
    </row>
    <row r="44" spans="1:21" ht="15.75" thickBot="1" x14ac:dyDescent="0.3"/>
    <row r="45" spans="1:21" ht="15.75" thickBot="1" x14ac:dyDescent="0.3">
      <c r="B45" s="427"/>
      <c r="C45" s="402" t="s">
        <v>910</v>
      </c>
    </row>
    <row r="46" spans="1:21" ht="15.75" thickBot="1" x14ac:dyDescent="0.3">
      <c r="B46" s="429"/>
      <c r="C46" s="402" t="s">
        <v>911</v>
      </c>
    </row>
    <row r="47" spans="1:21" ht="15.75" thickBot="1" x14ac:dyDescent="0.3">
      <c r="B47" s="428"/>
      <c r="C47" s="403" t="s">
        <v>912</v>
      </c>
    </row>
  </sheetData>
  <autoFilter ref="B2:U4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rgb="FF00B050"/>
  </sheetPr>
  <dimension ref="A1:AN203"/>
  <sheetViews>
    <sheetView topLeftCell="A4" zoomScale="70" zoomScaleNormal="70" workbookViewId="0">
      <selection activeCell="B35" sqref="B35"/>
    </sheetView>
  </sheetViews>
  <sheetFormatPr baseColWidth="10" defaultRowHeight="15" x14ac:dyDescent="0.25"/>
  <cols>
    <col min="1" max="1" width="11.28515625" style="247" customWidth="1"/>
    <col min="2" max="2" width="17.140625" style="247" customWidth="1"/>
    <col min="3" max="3" width="10.42578125" style="247" customWidth="1"/>
    <col min="4" max="4" width="53.28515625" style="247" customWidth="1"/>
    <col min="5" max="5" width="39.28515625" style="247" customWidth="1"/>
    <col min="6" max="6" width="25.42578125" style="247" customWidth="1"/>
    <col min="7" max="7" width="14.42578125" style="247" customWidth="1"/>
    <col min="8" max="8" width="14" style="247" customWidth="1"/>
    <col min="9" max="9" width="14.7109375" style="247" customWidth="1"/>
    <col min="10" max="10" width="12.7109375" style="247" customWidth="1"/>
    <col min="11" max="11" width="13.5703125" style="247" customWidth="1"/>
    <col min="12" max="12" width="12.140625" style="247" customWidth="1"/>
    <col min="13" max="13" width="11.85546875" style="247" customWidth="1"/>
    <col min="14" max="14" width="73.85546875" style="247" bestFit="1" customWidth="1"/>
    <col min="15" max="16384" width="11.42578125" style="247"/>
  </cols>
  <sheetData>
    <row r="1" spans="1:40" x14ac:dyDescent="0.25">
      <c r="A1" s="121"/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  <c r="AD1" s="121"/>
      <c r="AE1" s="121"/>
      <c r="AF1" s="121"/>
      <c r="AG1" s="121"/>
      <c r="AH1" s="121"/>
      <c r="AI1" s="121"/>
      <c r="AJ1" s="121"/>
      <c r="AK1" s="121"/>
      <c r="AL1" s="121"/>
      <c r="AM1" s="121"/>
      <c r="AN1" s="121"/>
    </row>
    <row r="2" spans="1:40" x14ac:dyDescent="0.25">
      <c r="A2" s="121"/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  <c r="AK2" s="121"/>
      <c r="AL2" s="121"/>
      <c r="AM2" s="121"/>
      <c r="AN2" s="121"/>
    </row>
    <row r="3" spans="1:40" ht="15.75" thickBot="1" x14ac:dyDescent="0.3">
      <c r="A3" s="121"/>
      <c r="B3" s="121"/>
      <c r="C3" s="121"/>
      <c r="D3" s="121"/>
      <c r="E3" s="121"/>
      <c r="F3" s="121"/>
      <c r="G3" s="629" t="s">
        <v>564</v>
      </c>
      <c r="H3" s="629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</row>
    <row r="4" spans="1:40" ht="30" x14ac:dyDescent="0.25">
      <c r="A4" s="121"/>
      <c r="B4" s="256" t="s">
        <v>565</v>
      </c>
      <c r="C4" s="320" t="s">
        <v>211</v>
      </c>
      <c r="D4" s="257" t="s">
        <v>529</v>
      </c>
      <c r="E4" s="257" t="s">
        <v>566</v>
      </c>
      <c r="F4" s="257" t="s">
        <v>567</v>
      </c>
      <c r="G4" s="257" t="s">
        <v>568</v>
      </c>
      <c r="H4" s="257" t="s">
        <v>569</v>
      </c>
      <c r="I4" s="335" t="s">
        <v>570</v>
      </c>
      <c r="J4" s="335" t="s">
        <v>571</v>
      </c>
      <c r="K4" s="335" t="s">
        <v>572</v>
      </c>
      <c r="L4" s="335" t="s">
        <v>573</v>
      </c>
      <c r="M4" s="335" t="s">
        <v>574</v>
      </c>
      <c r="N4" s="258" t="s">
        <v>575</v>
      </c>
      <c r="O4" s="121"/>
      <c r="P4" s="121"/>
      <c r="Q4" s="121"/>
      <c r="R4" s="121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1"/>
      <c r="AM4" s="121"/>
      <c r="AN4" s="121"/>
    </row>
    <row r="5" spans="1:40" x14ac:dyDescent="0.25">
      <c r="A5" s="121"/>
      <c r="B5" s="517" t="s">
        <v>87</v>
      </c>
      <c r="C5" s="517" t="s">
        <v>218</v>
      </c>
      <c r="D5" s="259" t="s">
        <v>86</v>
      </c>
      <c r="E5" s="260" t="s">
        <v>125</v>
      </c>
      <c r="F5" s="261" t="s">
        <v>596</v>
      </c>
      <c r="G5" s="518"/>
      <c r="H5" s="518"/>
      <c r="I5" s="319" t="s">
        <v>440</v>
      </c>
      <c r="J5" s="319" t="s">
        <v>440</v>
      </c>
      <c r="K5" s="319" t="s">
        <v>440</v>
      </c>
      <c r="L5" s="319" t="s">
        <v>440</v>
      </c>
      <c r="M5" s="263" t="s">
        <v>584</v>
      </c>
      <c r="N5" s="519" t="s">
        <v>626</v>
      </c>
      <c r="O5" s="121"/>
      <c r="P5" s="121"/>
      <c r="Q5" s="121"/>
      <c r="R5" s="121"/>
      <c r="S5" s="121"/>
      <c r="T5" s="121"/>
      <c r="U5" s="121"/>
      <c r="V5" s="121"/>
      <c r="W5" s="121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  <c r="AI5" s="121"/>
      <c r="AJ5" s="121"/>
      <c r="AK5" s="121"/>
      <c r="AL5" s="121"/>
      <c r="AM5" s="121"/>
      <c r="AN5" s="121"/>
    </row>
    <row r="6" spans="1:40" x14ac:dyDescent="0.25">
      <c r="A6" s="121"/>
      <c r="B6" s="517" t="s">
        <v>81</v>
      </c>
      <c r="C6" s="517" t="s">
        <v>218</v>
      </c>
      <c r="D6" s="259" t="s">
        <v>80</v>
      </c>
      <c r="E6" s="260" t="s">
        <v>126</v>
      </c>
      <c r="F6" s="261" t="s">
        <v>596</v>
      </c>
      <c r="G6" s="518"/>
      <c r="H6" s="518"/>
      <c r="I6" s="319" t="s">
        <v>440</v>
      </c>
      <c r="J6" s="319" t="s">
        <v>440</v>
      </c>
      <c r="K6" s="319" t="s">
        <v>440</v>
      </c>
      <c r="L6" s="319" t="s">
        <v>440</v>
      </c>
      <c r="M6" s="263" t="s">
        <v>584</v>
      </c>
      <c r="N6" s="519" t="s">
        <v>626</v>
      </c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</row>
    <row r="7" spans="1:40" x14ac:dyDescent="0.25">
      <c r="A7" s="121"/>
      <c r="B7" s="517" t="s">
        <v>83</v>
      </c>
      <c r="C7" s="517" t="s">
        <v>218</v>
      </c>
      <c r="D7" s="259" t="s">
        <v>82</v>
      </c>
      <c r="E7" s="260" t="s">
        <v>126</v>
      </c>
      <c r="F7" s="261" t="s">
        <v>596</v>
      </c>
      <c r="G7" s="518"/>
      <c r="H7" s="518"/>
      <c r="I7" s="319" t="s">
        <v>440</v>
      </c>
      <c r="J7" s="319" t="s">
        <v>440</v>
      </c>
      <c r="K7" s="319" t="s">
        <v>440</v>
      </c>
      <c r="L7" s="319" t="s">
        <v>440</v>
      </c>
      <c r="M7" s="263" t="s">
        <v>584</v>
      </c>
      <c r="N7" s="519" t="s">
        <v>626</v>
      </c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</row>
    <row r="8" spans="1:40" ht="14.25" customHeight="1" x14ac:dyDescent="0.25">
      <c r="A8" s="121"/>
      <c r="B8" s="517" t="s">
        <v>42</v>
      </c>
      <c r="C8" s="517" t="s">
        <v>218</v>
      </c>
      <c r="D8" s="259" t="s">
        <v>44</v>
      </c>
      <c r="E8" s="260" t="s">
        <v>304</v>
      </c>
      <c r="F8" s="261" t="s">
        <v>593</v>
      </c>
      <c r="G8" s="518"/>
      <c r="H8" s="518"/>
      <c r="I8" s="319" t="s">
        <v>440</v>
      </c>
      <c r="J8" s="319" t="s">
        <v>440</v>
      </c>
      <c r="K8" s="319" t="s">
        <v>440</v>
      </c>
      <c r="L8" s="319" t="s">
        <v>440</v>
      </c>
      <c r="M8" s="263" t="s">
        <v>584</v>
      </c>
      <c r="N8" s="519" t="s">
        <v>626</v>
      </c>
      <c r="O8" s="121"/>
      <c r="P8" s="121"/>
      <c r="Q8" s="121"/>
      <c r="R8" s="121"/>
      <c r="S8" s="121"/>
      <c r="T8" s="121"/>
      <c r="U8" s="121"/>
      <c r="V8" s="121"/>
      <c r="W8" s="121"/>
      <c r="X8" s="121"/>
      <c r="Y8" s="121"/>
      <c r="Z8" s="121"/>
      <c r="AA8" s="121"/>
      <c r="AB8" s="121"/>
      <c r="AC8" s="121"/>
      <c r="AD8" s="121"/>
      <c r="AE8" s="121"/>
      <c r="AF8" s="121"/>
      <c r="AG8" s="121"/>
      <c r="AH8" s="121"/>
      <c r="AI8" s="121"/>
      <c r="AJ8" s="121"/>
      <c r="AK8" s="121"/>
      <c r="AL8" s="121"/>
      <c r="AM8" s="121"/>
      <c r="AN8" s="121"/>
    </row>
    <row r="9" spans="1:40" ht="15" customHeight="1" x14ac:dyDescent="0.25">
      <c r="A9" s="121"/>
      <c r="B9" s="517" t="s">
        <v>929</v>
      </c>
      <c r="C9" s="517" t="s">
        <v>218</v>
      </c>
      <c r="D9" s="259" t="s">
        <v>84</v>
      </c>
      <c r="E9" s="260" t="s">
        <v>123</v>
      </c>
      <c r="F9" s="261" t="s">
        <v>596</v>
      </c>
      <c r="G9" s="518">
        <v>14000</v>
      </c>
      <c r="H9" s="518">
        <v>7200</v>
      </c>
      <c r="I9" s="262">
        <v>42956</v>
      </c>
      <c r="J9" s="319">
        <v>42961</v>
      </c>
      <c r="K9" s="262">
        <v>43016</v>
      </c>
      <c r="L9" s="297" t="s">
        <v>440</v>
      </c>
      <c r="M9" s="110" t="s">
        <v>584</v>
      </c>
      <c r="N9" s="520" t="s">
        <v>664</v>
      </c>
      <c r="O9" s="121"/>
      <c r="P9" s="121"/>
      <c r="Q9" s="121"/>
      <c r="R9" s="121"/>
      <c r="S9" s="121"/>
      <c r="T9" s="121"/>
      <c r="U9" s="121"/>
      <c r="V9" s="121"/>
      <c r="W9" s="121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21"/>
      <c r="AL9" s="121"/>
      <c r="AM9" s="121"/>
      <c r="AN9" s="121"/>
    </row>
    <row r="10" spans="1:40" ht="14.25" customHeight="1" x14ac:dyDescent="0.25">
      <c r="A10" s="121"/>
      <c r="B10" s="517" t="s">
        <v>930</v>
      </c>
      <c r="C10" s="517" t="s">
        <v>218</v>
      </c>
      <c r="D10" s="259" t="s">
        <v>50</v>
      </c>
      <c r="E10" s="260" t="s">
        <v>598</v>
      </c>
      <c r="F10" s="261" t="s">
        <v>578</v>
      </c>
      <c r="G10" s="518">
        <v>51000</v>
      </c>
      <c r="H10" s="518">
        <v>29750</v>
      </c>
      <c r="I10" s="262">
        <v>42870</v>
      </c>
      <c r="J10" s="319">
        <v>42870</v>
      </c>
      <c r="K10" s="262">
        <v>42962</v>
      </c>
      <c r="L10" s="319" t="s">
        <v>440</v>
      </c>
      <c r="M10" s="110" t="s">
        <v>584</v>
      </c>
      <c r="N10" s="520" t="s">
        <v>664</v>
      </c>
      <c r="O10" s="121"/>
      <c r="P10" s="121"/>
      <c r="Q10" s="121"/>
      <c r="R10" s="121"/>
      <c r="S10" s="121"/>
      <c r="T10" s="121"/>
      <c r="U10" s="121"/>
      <c r="V10" s="121"/>
      <c r="W10" s="121"/>
      <c r="X10" s="121"/>
      <c r="Y10" s="121"/>
      <c r="Z10" s="121"/>
      <c r="AA10" s="121"/>
      <c r="AB10" s="121"/>
      <c r="AC10" s="121"/>
      <c r="AD10" s="121"/>
      <c r="AE10" s="121"/>
      <c r="AF10" s="121"/>
      <c r="AG10" s="121"/>
      <c r="AH10" s="121"/>
      <c r="AI10" s="121"/>
      <c r="AJ10" s="121"/>
      <c r="AK10" s="121"/>
      <c r="AL10" s="121"/>
      <c r="AM10" s="121"/>
      <c r="AN10" s="121"/>
    </row>
    <row r="11" spans="1:40" ht="35.25" customHeight="1" x14ac:dyDescent="0.25">
      <c r="A11" s="121"/>
      <c r="B11" s="517" t="s">
        <v>43</v>
      </c>
      <c r="C11" s="517" t="s">
        <v>219</v>
      </c>
      <c r="D11" s="259" t="s">
        <v>531</v>
      </c>
      <c r="E11" s="260" t="s">
        <v>128</v>
      </c>
      <c r="F11" s="261" t="s">
        <v>581</v>
      </c>
      <c r="G11" s="518">
        <v>71500</v>
      </c>
      <c r="H11" s="518">
        <v>25336</v>
      </c>
      <c r="I11" s="262">
        <v>42734</v>
      </c>
      <c r="J11" s="262">
        <v>42737</v>
      </c>
      <c r="K11" s="262">
        <v>42797</v>
      </c>
      <c r="L11" s="262">
        <v>42793</v>
      </c>
      <c r="M11" s="263" t="s">
        <v>576</v>
      </c>
      <c r="N11" s="521" t="s">
        <v>637</v>
      </c>
      <c r="O11" s="121"/>
      <c r="P11" s="121"/>
      <c r="Q11" s="121"/>
      <c r="R11" s="121"/>
      <c r="S11" s="121"/>
      <c r="T11" s="121"/>
      <c r="U11" s="121"/>
      <c r="V11" s="121"/>
      <c r="W11" s="121"/>
      <c r="X11" s="121"/>
      <c r="Y11" s="121"/>
      <c r="Z11" s="121"/>
      <c r="AA11" s="121"/>
      <c r="AB11" s="121"/>
      <c r="AC11" s="121"/>
      <c r="AD11" s="121"/>
      <c r="AE11" s="121"/>
      <c r="AF11" s="121"/>
      <c r="AG11" s="121"/>
      <c r="AH11" s="121"/>
      <c r="AI11" s="121"/>
      <c r="AJ11" s="121"/>
      <c r="AK11" s="121"/>
      <c r="AL11" s="121"/>
      <c r="AM11" s="121"/>
      <c r="AN11" s="121"/>
    </row>
    <row r="12" spans="1:40" ht="45" x14ac:dyDescent="0.25">
      <c r="A12" s="121"/>
      <c r="B12" s="517" t="s">
        <v>90</v>
      </c>
      <c r="C12" s="517" t="s">
        <v>219</v>
      </c>
      <c r="D12" s="259" t="s">
        <v>533</v>
      </c>
      <c r="E12" s="264" t="s">
        <v>113</v>
      </c>
      <c r="F12" s="265" t="s">
        <v>578</v>
      </c>
      <c r="G12" s="518">
        <v>30712.5</v>
      </c>
      <c r="H12" s="518">
        <v>16080</v>
      </c>
      <c r="I12" s="262">
        <v>42711</v>
      </c>
      <c r="J12" s="262">
        <v>42711</v>
      </c>
      <c r="K12" s="262">
        <v>42735</v>
      </c>
      <c r="L12" s="262">
        <v>42794</v>
      </c>
      <c r="M12" s="263" t="s">
        <v>576</v>
      </c>
      <c r="N12" s="521" t="s">
        <v>637</v>
      </c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</row>
    <row r="13" spans="1:40" ht="60" x14ac:dyDescent="0.25">
      <c r="A13" s="121"/>
      <c r="B13" s="517" t="s">
        <v>95</v>
      </c>
      <c r="C13" s="517" t="s">
        <v>219</v>
      </c>
      <c r="D13" s="259" t="s">
        <v>533</v>
      </c>
      <c r="E13" s="260" t="s">
        <v>114</v>
      </c>
      <c r="F13" s="261" t="s">
        <v>578</v>
      </c>
      <c r="G13" s="518">
        <v>73710</v>
      </c>
      <c r="H13" s="518">
        <v>20545</v>
      </c>
      <c r="I13" s="262">
        <v>42751</v>
      </c>
      <c r="J13" s="262">
        <v>42751</v>
      </c>
      <c r="K13" s="262">
        <v>42786</v>
      </c>
      <c r="L13" s="262">
        <v>42794</v>
      </c>
      <c r="M13" s="263" t="s">
        <v>576</v>
      </c>
      <c r="N13" s="521" t="s">
        <v>637</v>
      </c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1"/>
      <c r="AM13" s="121"/>
      <c r="AN13" s="121"/>
    </row>
    <row r="14" spans="1:40" ht="32.25" customHeight="1" x14ac:dyDescent="0.25">
      <c r="A14" s="121"/>
      <c r="B14" s="522" t="s">
        <v>77</v>
      </c>
      <c r="C14" s="522" t="s">
        <v>219</v>
      </c>
      <c r="D14" s="266" t="s">
        <v>76</v>
      </c>
      <c r="E14" s="264" t="s">
        <v>115</v>
      </c>
      <c r="F14" s="261" t="s">
        <v>579</v>
      </c>
      <c r="G14" s="518">
        <v>23200</v>
      </c>
      <c r="H14" s="518">
        <v>11600</v>
      </c>
      <c r="I14" s="262">
        <v>42793</v>
      </c>
      <c r="J14" s="262">
        <v>42793</v>
      </c>
      <c r="K14" s="262">
        <v>42820</v>
      </c>
      <c r="L14" s="297" t="s">
        <v>440</v>
      </c>
      <c r="M14" s="263" t="s">
        <v>576</v>
      </c>
      <c r="N14" s="521" t="s">
        <v>637</v>
      </c>
      <c r="O14" s="121"/>
      <c r="P14" s="121"/>
      <c r="Q14" s="121"/>
      <c r="R14" s="121"/>
      <c r="S14" s="121"/>
      <c r="T14" s="121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1"/>
      <c r="AM14" s="121"/>
      <c r="AN14" s="121"/>
    </row>
    <row r="15" spans="1:40" ht="30" x14ac:dyDescent="0.25">
      <c r="A15" s="121"/>
      <c r="B15" s="517" t="s">
        <v>94</v>
      </c>
      <c r="C15" s="517" t="s">
        <v>219</v>
      </c>
      <c r="D15" s="259" t="s">
        <v>560</v>
      </c>
      <c r="E15" s="264" t="s">
        <v>116</v>
      </c>
      <c r="F15" s="265" t="s">
        <v>578</v>
      </c>
      <c r="G15" s="518">
        <v>63900</v>
      </c>
      <c r="H15" s="518">
        <v>44730</v>
      </c>
      <c r="I15" s="262">
        <v>42615</v>
      </c>
      <c r="J15" s="262">
        <v>42615</v>
      </c>
      <c r="K15" s="262">
        <v>42853</v>
      </c>
      <c r="L15" s="262">
        <v>42766</v>
      </c>
      <c r="M15" s="263" t="s">
        <v>576</v>
      </c>
      <c r="N15" s="521" t="s">
        <v>637</v>
      </c>
      <c r="O15" s="121"/>
      <c r="P15" s="121"/>
      <c r="Q15" s="121"/>
      <c r="R15" s="121"/>
      <c r="S15" s="121"/>
      <c r="T15" s="121"/>
      <c r="U15" s="121"/>
      <c r="V15" s="121"/>
      <c r="W15" s="121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1"/>
      <c r="AM15" s="121"/>
      <c r="AN15" s="121"/>
    </row>
    <row r="16" spans="1:40" ht="30.75" customHeight="1" x14ac:dyDescent="0.25">
      <c r="A16" s="121"/>
      <c r="B16" s="517" t="s">
        <v>92</v>
      </c>
      <c r="C16" s="517" t="s">
        <v>217</v>
      </c>
      <c r="D16" s="259" t="s">
        <v>580</v>
      </c>
      <c r="E16" s="260" t="s">
        <v>117</v>
      </c>
      <c r="F16" s="261" t="s">
        <v>578</v>
      </c>
      <c r="G16" s="518">
        <v>11675</v>
      </c>
      <c r="H16" s="518">
        <v>4798.32</v>
      </c>
      <c r="I16" s="262">
        <v>42705</v>
      </c>
      <c r="J16" s="319">
        <v>42720</v>
      </c>
      <c r="K16" s="319">
        <v>42751</v>
      </c>
      <c r="L16" s="319" t="s">
        <v>440</v>
      </c>
      <c r="M16" s="263" t="s">
        <v>576</v>
      </c>
      <c r="N16" s="521" t="s">
        <v>637</v>
      </c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</row>
    <row r="17" spans="1:40" ht="45" x14ac:dyDescent="0.25">
      <c r="A17" s="121"/>
      <c r="B17" s="517" t="s">
        <v>79</v>
      </c>
      <c r="C17" s="517" t="s">
        <v>219</v>
      </c>
      <c r="D17" s="259" t="s">
        <v>535</v>
      </c>
      <c r="E17" s="264" t="s">
        <v>164</v>
      </c>
      <c r="F17" s="261" t="s">
        <v>578</v>
      </c>
      <c r="G17" s="518">
        <v>25423.73</v>
      </c>
      <c r="H17" s="518">
        <v>14275.199999999999</v>
      </c>
      <c r="I17" s="262">
        <v>42755</v>
      </c>
      <c r="J17" s="262">
        <v>42755</v>
      </c>
      <c r="K17" s="262">
        <v>42786</v>
      </c>
      <c r="L17" s="262">
        <v>42825</v>
      </c>
      <c r="M17" s="263" t="s">
        <v>576</v>
      </c>
      <c r="N17" s="523" t="s">
        <v>577</v>
      </c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  <c r="AN17" s="121"/>
    </row>
    <row r="18" spans="1:40" x14ac:dyDescent="0.25">
      <c r="A18" s="121"/>
      <c r="B18" s="517" t="s">
        <v>98</v>
      </c>
      <c r="C18" s="517" t="s">
        <v>219</v>
      </c>
      <c r="D18" s="259" t="s">
        <v>539</v>
      </c>
      <c r="E18" s="264" t="s">
        <v>135</v>
      </c>
      <c r="F18" s="265" t="s">
        <v>578</v>
      </c>
      <c r="G18" s="518">
        <v>27288.14</v>
      </c>
      <c r="H18" s="518">
        <v>11566.27</v>
      </c>
      <c r="I18" s="262">
        <v>42830</v>
      </c>
      <c r="J18" s="262">
        <v>42830</v>
      </c>
      <c r="K18" s="262">
        <v>42914</v>
      </c>
      <c r="L18" s="319" t="s">
        <v>440</v>
      </c>
      <c r="M18" s="263" t="s">
        <v>576</v>
      </c>
      <c r="N18" s="523" t="s">
        <v>577</v>
      </c>
      <c r="O18" s="121"/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1"/>
      <c r="AM18" s="121"/>
      <c r="AN18" s="121"/>
    </row>
    <row r="19" spans="1:40" x14ac:dyDescent="0.25">
      <c r="A19" s="121"/>
      <c r="B19" s="517" t="s">
        <v>85</v>
      </c>
      <c r="C19" s="517" t="s">
        <v>219</v>
      </c>
      <c r="D19" s="259" t="s">
        <v>536</v>
      </c>
      <c r="E19" s="260" t="s">
        <v>123</v>
      </c>
      <c r="F19" s="261" t="s">
        <v>579</v>
      </c>
      <c r="G19" s="518">
        <v>14000</v>
      </c>
      <c r="H19" s="518">
        <v>7000</v>
      </c>
      <c r="I19" s="262">
        <v>42826</v>
      </c>
      <c r="J19" s="262">
        <v>42826</v>
      </c>
      <c r="K19" s="262">
        <v>42885</v>
      </c>
      <c r="L19" s="262">
        <v>42885</v>
      </c>
      <c r="M19" s="263" t="s">
        <v>576</v>
      </c>
      <c r="N19" s="523" t="s">
        <v>577</v>
      </c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</row>
    <row r="20" spans="1:40" ht="30" x14ac:dyDescent="0.25">
      <c r="A20" s="121"/>
      <c r="B20" s="517" t="s">
        <v>47</v>
      </c>
      <c r="C20" s="517" t="s">
        <v>219</v>
      </c>
      <c r="D20" s="259" t="s">
        <v>537</v>
      </c>
      <c r="E20" s="264" t="s">
        <v>120</v>
      </c>
      <c r="F20" s="261" t="s">
        <v>581</v>
      </c>
      <c r="G20" s="518">
        <v>16800</v>
      </c>
      <c r="H20" s="518">
        <v>9450</v>
      </c>
      <c r="I20" s="262">
        <v>42736</v>
      </c>
      <c r="J20" s="262">
        <v>42736</v>
      </c>
      <c r="K20" s="262">
        <v>42765</v>
      </c>
      <c r="L20" s="262">
        <v>42794</v>
      </c>
      <c r="M20" s="263" t="s">
        <v>576</v>
      </c>
      <c r="N20" s="523" t="s">
        <v>577</v>
      </c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1"/>
      <c r="AM20" s="121"/>
      <c r="AN20" s="121"/>
    </row>
    <row r="21" spans="1:40" x14ac:dyDescent="0.25">
      <c r="A21" s="121"/>
      <c r="B21" s="517" t="s">
        <v>88</v>
      </c>
      <c r="C21" s="517" t="s">
        <v>219</v>
      </c>
      <c r="D21" s="259" t="s">
        <v>538</v>
      </c>
      <c r="E21" s="264" t="s">
        <v>121</v>
      </c>
      <c r="F21" s="265" t="s">
        <v>581</v>
      </c>
      <c r="G21" s="518">
        <v>25473</v>
      </c>
      <c r="H21" s="518">
        <v>17820</v>
      </c>
      <c r="I21" s="262">
        <v>42825</v>
      </c>
      <c r="J21" s="262">
        <v>42825</v>
      </c>
      <c r="K21" s="262">
        <v>42855</v>
      </c>
      <c r="L21" s="262">
        <v>42855</v>
      </c>
      <c r="M21" s="263" t="s">
        <v>576</v>
      </c>
      <c r="N21" s="523" t="s">
        <v>577</v>
      </c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</row>
    <row r="22" spans="1:40" x14ac:dyDescent="0.25">
      <c r="A22" s="121"/>
      <c r="B22" s="517" t="s">
        <v>51</v>
      </c>
      <c r="C22" s="517" t="s">
        <v>219</v>
      </c>
      <c r="D22" s="259" t="s">
        <v>540</v>
      </c>
      <c r="E22" s="260" t="s">
        <v>122</v>
      </c>
      <c r="F22" s="261" t="s">
        <v>581</v>
      </c>
      <c r="G22" s="518">
        <v>42676</v>
      </c>
      <c r="H22" s="518">
        <v>27500</v>
      </c>
      <c r="I22" s="262">
        <v>42857</v>
      </c>
      <c r="J22" s="262">
        <v>42857</v>
      </c>
      <c r="K22" s="262">
        <v>42871</v>
      </c>
      <c r="L22" s="297" t="s">
        <v>440</v>
      </c>
      <c r="M22" s="263" t="s">
        <v>576</v>
      </c>
      <c r="N22" s="523" t="s">
        <v>577</v>
      </c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</row>
    <row r="23" spans="1:40" ht="45" x14ac:dyDescent="0.25">
      <c r="A23" s="121"/>
      <c r="B23" s="517" t="s">
        <v>204</v>
      </c>
      <c r="C23" s="517" t="s">
        <v>219</v>
      </c>
      <c r="D23" s="259" t="s">
        <v>531</v>
      </c>
      <c r="E23" s="264" t="s">
        <v>435</v>
      </c>
      <c r="F23" s="261" t="s">
        <v>581</v>
      </c>
      <c r="G23" s="518">
        <v>15000</v>
      </c>
      <c r="H23" s="518"/>
      <c r="I23" s="262">
        <v>42795</v>
      </c>
      <c r="J23" s="262">
        <v>42795</v>
      </c>
      <c r="K23" s="319">
        <v>42916</v>
      </c>
      <c r="L23" s="319">
        <v>42916</v>
      </c>
      <c r="M23" s="263" t="s">
        <v>576</v>
      </c>
      <c r="N23" s="523" t="s">
        <v>577</v>
      </c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  <c r="AN23" s="121"/>
    </row>
    <row r="24" spans="1:40" ht="30" x14ac:dyDescent="0.25">
      <c r="A24" s="121"/>
      <c r="B24" s="517" t="s">
        <v>104</v>
      </c>
      <c r="C24" s="517" t="s">
        <v>219</v>
      </c>
      <c r="D24" s="259" t="s">
        <v>541</v>
      </c>
      <c r="E24" s="264" t="s">
        <v>582</v>
      </c>
      <c r="F24" s="265" t="s">
        <v>583</v>
      </c>
      <c r="G24" s="518">
        <v>22500</v>
      </c>
      <c r="H24" s="518">
        <v>7920</v>
      </c>
      <c r="I24" s="262">
        <v>42863</v>
      </c>
      <c r="J24" s="262">
        <v>42863</v>
      </c>
      <c r="K24" s="262">
        <v>42902</v>
      </c>
      <c r="L24" s="262">
        <v>42902</v>
      </c>
      <c r="M24" s="110" t="s">
        <v>584</v>
      </c>
      <c r="N24" s="520" t="s">
        <v>664</v>
      </c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1"/>
      <c r="AM24" s="121"/>
      <c r="AN24" s="121"/>
    </row>
    <row r="25" spans="1:40" ht="30" x14ac:dyDescent="0.25">
      <c r="A25" s="121"/>
      <c r="B25" s="517" t="s">
        <v>542</v>
      </c>
      <c r="C25" s="517" t="s">
        <v>217</v>
      </c>
      <c r="D25" s="259" t="s">
        <v>580</v>
      </c>
      <c r="E25" s="260" t="s">
        <v>585</v>
      </c>
      <c r="F25" s="261" t="s">
        <v>578</v>
      </c>
      <c r="G25" s="518">
        <v>3400</v>
      </c>
      <c r="H25" s="518"/>
      <c r="I25" s="262">
        <v>42865</v>
      </c>
      <c r="J25" s="319">
        <v>42866</v>
      </c>
      <c r="K25" s="262">
        <v>42896</v>
      </c>
      <c r="L25" s="319" t="s">
        <v>440</v>
      </c>
      <c r="M25" s="263" t="s">
        <v>576</v>
      </c>
      <c r="N25" s="524" t="s">
        <v>638</v>
      </c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</row>
    <row r="26" spans="1:40" x14ac:dyDescent="0.25">
      <c r="A26" s="121"/>
      <c r="B26" s="522" t="s">
        <v>433</v>
      </c>
      <c r="C26" s="522" t="s">
        <v>219</v>
      </c>
      <c r="D26" s="266" t="s">
        <v>531</v>
      </c>
      <c r="E26" s="264" t="s">
        <v>434</v>
      </c>
      <c r="F26" s="261" t="s">
        <v>581</v>
      </c>
      <c r="G26" s="518">
        <v>20520</v>
      </c>
      <c r="H26" s="518">
        <v>6332.7999999999993</v>
      </c>
      <c r="I26" s="262">
        <v>42884</v>
      </c>
      <c r="J26" s="319">
        <v>42884</v>
      </c>
      <c r="K26" s="262">
        <v>42911</v>
      </c>
      <c r="L26" s="319">
        <v>42911</v>
      </c>
      <c r="M26" s="110" t="s">
        <v>584</v>
      </c>
      <c r="N26" s="520" t="s">
        <v>664</v>
      </c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</row>
    <row r="27" spans="1:40" ht="39" customHeight="1" x14ac:dyDescent="0.25">
      <c r="A27" s="121"/>
      <c r="B27" s="517" t="s">
        <v>228</v>
      </c>
      <c r="C27" s="517" t="s">
        <v>218</v>
      </c>
      <c r="D27" s="318" t="s">
        <v>227</v>
      </c>
      <c r="E27" s="264" t="s">
        <v>229</v>
      </c>
      <c r="F27" s="261" t="s">
        <v>578</v>
      </c>
      <c r="G27" s="518">
        <v>117600</v>
      </c>
      <c r="H27" s="518">
        <v>72364.799999999988</v>
      </c>
      <c r="I27" s="262">
        <v>42888</v>
      </c>
      <c r="J27" s="486">
        <v>42888</v>
      </c>
      <c r="K27" s="262">
        <v>43222</v>
      </c>
      <c r="L27" s="319" t="s">
        <v>440</v>
      </c>
      <c r="M27" s="110" t="s">
        <v>588</v>
      </c>
      <c r="N27" s="520" t="s">
        <v>664</v>
      </c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</row>
    <row r="28" spans="1:40" ht="30" x14ac:dyDescent="0.25">
      <c r="A28" s="121"/>
      <c r="B28" s="517" t="s">
        <v>203</v>
      </c>
      <c r="C28" s="517" t="s">
        <v>219</v>
      </c>
      <c r="D28" s="259" t="s">
        <v>96</v>
      </c>
      <c r="E28" s="264" t="s">
        <v>156</v>
      </c>
      <c r="F28" s="265" t="s">
        <v>586</v>
      </c>
      <c r="G28" s="518">
        <v>32000</v>
      </c>
      <c r="H28" s="518">
        <v>44700</v>
      </c>
      <c r="I28" s="262">
        <v>42786</v>
      </c>
      <c r="J28" s="319" t="s">
        <v>440</v>
      </c>
      <c r="K28" s="262">
        <v>42846</v>
      </c>
      <c r="L28" s="297" t="s">
        <v>440</v>
      </c>
      <c r="M28" s="110" t="s">
        <v>584</v>
      </c>
      <c r="N28" s="525" t="s">
        <v>663</v>
      </c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1"/>
      <c r="AM28" s="121"/>
      <c r="AN28" s="121"/>
    </row>
    <row r="29" spans="1:40" ht="15" customHeight="1" x14ac:dyDescent="0.25">
      <c r="A29" s="121"/>
      <c r="B29" s="522" t="s">
        <v>196</v>
      </c>
      <c r="C29" s="522" t="s">
        <v>219</v>
      </c>
      <c r="D29" s="266" t="s">
        <v>50</v>
      </c>
      <c r="E29" s="264" t="s">
        <v>587</v>
      </c>
      <c r="F29" s="261" t="s">
        <v>578</v>
      </c>
      <c r="G29" s="518">
        <v>31258</v>
      </c>
      <c r="H29" s="518">
        <v>34125</v>
      </c>
      <c r="I29" s="262">
        <v>42736</v>
      </c>
      <c r="J29" s="319">
        <v>42736</v>
      </c>
      <c r="K29" s="262">
        <v>42947</v>
      </c>
      <c r="L29" s="319">
        <v>42947</v>
      </c>
      <c r="M29" s="110" t="s">
        <v>588</v>
      </c>
      <c r="N29" s="520" t="s">
        <v>664</v>
      </c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1"/>
      <c r="AM29" s="121"/>
      <c r="AN29" s="121"/>
    </row>
    <row r="30" spans="1:40" x14ac:dyDescent="0.25">
      <c r="A30" s="121"/>
      <c r="B30" s="517" t="s">
        <v>545</v>
      </c>
      <c r="C30" s="517" t="s">
        <v>218</v>
      </c>
      <c r="D30" s="259" t="s">
        <v>546</v>
      </c>
      <c r="E30" s="264" t="s">
        <v>589</v>
      </c>
      <c r="F30" s="265" t="s">
        <v>578</v>
      </c>
      <c r="G30" s="518">
        <v>5800</v>
      </c>
      <c r="H30" s="518">
        <v>2919.84</v>
      </c>
      <c r="I30" s="262">
        <v>42867</v>
      </c>
      <c r="J30" s="319">
        <v>42962</v>
      </c>
      <c r="K30" s="262">
        <v>42877</v>
      </c>
      <c r="L30" s="319" t="s">
        <v>440</v>
      </c>
      <c r="M30" s="110" t="s">
        <v>584</v>
      </c>
      <c r="N30" s="520" t="s">
        <v>664</v>
      </c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1"/>
      <c r="AM30" s="121"/>
      <c r="AN30" s="121"/>
    </row>
    <row r="31" spans="1:40" x14ac:dyDescent="0.25">
      <c r="A31" s="121"/>
      <c r="B31" s="517" t="s">
        <v>198</v>
      </c>
      <c r="C31" s="517" t="s">
        <v>219</v>
      </c>
      <c r="D31" s="259" t="s">
        <v>541</v>
      </c>
      <c r="E31" s="260" t="s">
        <v>199</v>
      </c>
      <c r="F31" s="261" t="s">
        <v>583</v>
      </c>
      <c r="G31" s="518">
        <v>22750</v>
      </c>
      <c r="H31" s="518">
        <v>5416</v>
      </c>
      <c r="I31" s="262">
        <v>42898</v>
      </c>
      <c r="J31" s="319">
        <v>42898</v>
      </c>
      <c r="K31" s="262">
        <v>42930</v>
      </c>
      <c r="L31" s="319" t="s">
        <v>440</v>
      </c>
      <c r="M31" s="110" t="s">
        <v>584</v>
      </c>
      <c r="N31" s="520" t="s">
        <v>664</v>
      </c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  <c r="AN31" s="121"/>
    </row>
    <row r="32" spans="1:40" ht="45" x14ac:dyDescent="0.25">
      <c r="A32" s="485"/>
      <c r="B32" s="517" t="s">
        <v>206</v>
      </c>
      <c r="C32" s="517" t="s">
        <v>218</v>
      </c>
      <c r="D32" s="259" t="s">
        <v>590</v>
      </c>
      <c r="E32" s="264" t="s">
        <v>591</v>
      </c>
      <c r="F32" s="261" t="s">
        <v>586</v>
      </c>
      <c r="G32" s="518">
        <v>144625</v>
      </c>
      <c r="H32" s="518">
        <v>64800</v>
      </c>
      <c r="I32" s="262">
        <v>42920</v>
      </c>
      <c r="J32" s="319" t="s">
        <v>440</v>
      </c>
      <c r="K32" s="262">
        <v>43104</v>
      </c>
      <c r="L32" s="297" t="s">
        <v>440</v>
      </c>
      <c r="M32" s="110" t="s">
        <v>588</v>
      </c>
      <c r="N32" s="520" t="s">
        <v>664</v>
      </c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21"/>
      <c r="AH32" s="121"/>
      <c r="AI32" s="121"/>
      <c r="AJ32" s="121"/>
      <c r="AK32" s="121"/>
      <c r="AL32" s="121"/>
      <c r="AM32" s="121"/>
      <c r="AN32" s="121"/>
    </row>
    <row r="33" spans="1:40" x14ac:dyDescent="0.25">
      <c r="A33" s="121"/>
      <c r="B33" s="517" t="s">
        <v>221</v>
      </c>
      <c r="C33" s="517" t="s">
        <v>219</v>
      </c>
      <c r="D33" s="259" t="s">
        <v>548</v>
      </c>
      <c r="E33" s="264" t="s">
        <v>592</v>
      </c>
      <c r="F33" s="265" t="s">
        <v>578</v>
      </c>
      <c r="G33" s="518">
        <v>9322</v>
      </c>
      <c r="H33" s="518">
        <v>4375</v>
      </c>
      <c r="I33" s="262">
        <v>42908</v>
      </c>
      <c r="J33" s="319">
        <v>42968</v>
      </c>
      <c r="K33" s="262">
        <v>42938</v>
      </c>
      <c r="L33" s="319" t="s">
        <v>440</v>
      </c>
      <c r="M33" s="110" t="s">
        <v>588</v>
      </c>
      <c r="N33" s="520" t="s">
        <v>664</v>
      </c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  <c r="AN33" s="121"/>
    </row>
    <row r="34" spans="1:40" ht="30" x14ac:dyDescent="0.25">
      <c r="A34" s="121"/>
      <c r="B34" s="517" t="s">
        <v>306</v>
      </c>
      <c r="C34" s="517" t="s">
        <v>219</v>
      </c>
      <c r="D34" s="259" t="s">
        <v>541</v>
      </c>
      <c r="E34" s="260" t="s">
        <v>437</v>
      </c>
      <c r="F34" s="261" t="s">
        <v>593</v>
      </c>
      <c r="G34" s="518">
        <v>39180</v>
      </c>
      <c r="H34" s="518"/>
      <c r="I34" s="262">
        <v>42947</v>
      </c>
      <c r="J34" s="319">
        <v>42947</v>
      </c>
      <c r="K34" s="262">
        <v>43003</v>
      </c>
      <c r="L34" s="319" t="s">
        <v>440</v>
      </c>
      <c r="M34" s="110" t="s">
        <v>584</v>
      </c>
      <c r="N34" s="520" t="s">
        <v>594</v>
      </c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</row>
    <row r="35" spans="1:40" ht="30" x14ac:dyDescent="0.25">
      <c r="A35" s="121"/>
      <c r="B35" s="522" t="s">
        <v>305</v>
      </c>
      <c r="C35" s="522" t="s">
        <v>219</v>
      </c>
      <c r="D35" s="266" t="s">
        <v>541</v>
      </c>
      <c r="E35" s="264" t="s">
        <v>436</v>
      </c>
      <c r="F35" s="261" t="s">
        <v>579</v>
      </c>
      <c r="G35" s="518">
        <v>17710</v>
      </c>
      <c r="H35" s="518"/>
      <c r="I35" s="262">
        <v>42933</v>
      </c>
      <c r="J35" s="262">
        <v>42933</v>
      </c>
      <c r="K35" s="262">
        <v>42964</v>
      </c>
      <c r="L35" s="319" t="s">
        <v>440</v>
      </c>
      <c r="M35" s="110" t="s">
        <v>584</v>
      </c>
      <c r="N35" s="520" t="s">
        <v>594</v>
      </c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</row>
    <row r="36" spans="1:40" ht="30" x14ac:dyDescent="0.25">
      <c r="A36" s="121"/>
      <c r="B36" s="517" t="s">
        <v>361</v>
      </c>
      <c r="C36" s="517" t="s">
        <v>218</v>
      </c>
      <c r="D36" s="259" t="s">
        <v>541</v>
      </c>
      <c r="E36" s="264" t="s">
        <v>595</v>
      </c>
      <c r="F36" s="265" t="s">
        <v>583</v>
      </c>
      <c r="G36" s="518">
        <v>290538.3</v>
      </c>
      <c r="H36" s="518">
        <v>139748</v>
      </c>
      <c r="I36" s="262">
        <v>42933</v>
      </c>
      <c r="J36" s="319">
        <v>42947</v>
      </c>
      <c r="K36" s="262">
        <v>43082</v>
      </c>
      <c r="L36" s="319" t="s">
        <v>440</v>
      </c>
      <c r="M36" s="110" t="s">
        <v>588</v>
      </c>
      <c r="N36" s="520" t="s">
        <v>664</v>
      </c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  <c r="AN36" s="121"/>
    </row>
    <row r="37" spans="1:40" ht="30" x14ac:dyDescent="0.25">
      <c r="A37" s="121"/>
      <c r="B37" s="517" t="s">
        <v>549</v>
      </c>
      <c r="C37" s="517" t="s">
        <v>219</v>
      </c>
      <c r="D37" s="259" t="s">
        <v>227</v>
      </c>
      <c r="E37" s="260" t="s">
        <v>608</v>
      </c>
      <c r="F37" s="261" t="s">
        <v>578</v>
      </c>
      <c r="G37" s="518">
        <v>9800</v>
      </c>
      <c r="H37" s="518">
        <v>6500</v>
      </c>
      <c r="I37" s="262">
        <v>42948</v>
      </c>
      <c r="J37" s="486">
        <v>42948</v>
      </c>
      <c r="K37" s="262">
        <v>42978</v>
      </c>
      <c r="L37" s="319" t="s">
        <v>440</v>
      </c>
      <c r="M37" s="110" t="s">
        <v>584</v>
      </c>
      <c r="N37" s="520" t="s">
        <v>664</v>
      </c>
      <c r="O37" s="121"/>
      <c r="P37" s="121"/>
      <c r="Q37" s="121"/>
      <c r="R37" s="121"/>
      <c r="S37" s="121"/>
      <c r="T37" s="121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21"/>
      <c r="AH37" s="121"/>
      <c r="AI37" s="121"/>
      <c r="AJ37" s="121"/>
      <c r="AK37" s="121"/>
      <c r="AL37" s="121"/>
      <c r="AM37" s="121"/>
      <c r="AN37" s="121"/>
    </row>
    <row r="38" spans="1:40" x14ac:dyDescent="0.25">
      <c r="A38" s="121"/>
      <c r="B38" s="517" t="s">
        <v>411</v>
      </c>
      <c r="C38" s="517" t="s">
        <v>219</v>
      </c>
      <c r="D38" s="259" t="s">
        <v>50</v>
      </c>
      <c r="E38" s="264" t="s">
        <v>597</v>
      </c>
      <c r="F38" s="265" t="s">
        <v>578</v>
      </c>
      <c r="G38" s="518">
        <v>6000</v>
      </c>
      <c r="H38" s="518"/>
      <c r="I38" s="262">
        <v>42826</v>
      </c>
      <c r="J38" s="262">
        <v>42840</v>
      </c>
      <c r="K38" s="262">
        <v>42855</v>
      </c>
      <c r="L38" s="262">
        <v>42855</v>
      </c>
      <c r="M38" s="110" t="s">
        <v>584</v>
      </c>
      <c r="N38" s="520" t="s">
        <v>664</v>
      </c>
      <c r="O38" s="121"/>
      <c r="P38" s="121"/>
      <c r="Q38" s="121"/>
      <c r="R38" s="121"/>
      <c r="S38" s="121"/>
      <c r="T38" s="121"/>
      <c r="U38" s="121"/>
      <c r="V38" s="121"/>
      <c r="W38" s="121"/>
      <c r="X38" s="121"/>
      <c r="Y38" s="121"/>
      <c r="Z38" s="121"/>
      <c r="AA38" s="121"/>
      <c r="AB38" s="121"/>
      <c r="AC38" s="121"/>
      <c r="AD38" s="121"/>
      <c r="AE38" s="121"/>
      <c r="AF38" s="121"/>
      <c r="AG38" s="121"/>
      <c r="AH38" s="121"/>
      <c r="AI38" s="121"/>
      <c r="AJ38" s="121"/>
      <c r="AK38" s="121"/>
      <c r="AL38" s="121"/>
      <c r="AM38" s="121"/>
      <c r="AN38" s="121"/>
    </row>
    <row r="39" spans="1:40" x14ac:dyDescent="0.25">
      <c r="A39" s="121"/>
      <c r="B39" s="522" t="s">
        <v>415</v>
      </c>
      <c r="C39" s="522" t="s">
        <v>219</v>
      </c>
      <c r="D39" s="266" t="s">
        <v>45</v>
      </c>
      <c r="E39" s="264" t="s">
        <v>416</v>
      </c>
      <c r="F39" s="261" t="s">
        <v>581</v>
      </c>
      <c r="G39" s="518">
        <v>12000</v>
      </c>
      <c r="H39" s="518"/>
      <c r="I39" s="319">
        <v>42940</v>
      </c>
      <c r="J39" s="319">
        <v>42940</v>
      </c>
      <c r="K39" s="319">
        <v>42971</v>
      </c>
      <c r="L39" s="319">
        <v>42971</v>
      </c>
      <c r="M39" s="110" t="s">
        <v>584</v>
      </c>
      <c r="N39" s="520" t="s">
        <v>664</v>
      </c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1"/>
      <c r="AI39" s="121"/>
      <c r="AJ39" s="121"/>
      <c r="AK39" s="121"/>
      <c r="AL39" s="121"/>
      <c r="AM39" s="121"/>
      <c r="AN39" s="121"/>
    </row>
    <row r="40" spans="1:40" x14ac:dyDescent="0.25">
      <c r="A40" s="121"/>
      <c r="B40" s="522" t="s">
        <v>562</v>
      </c>
      <c r="C40" s="522" t="s">
        <v>218</v>
      </c>
      <c r="D40" s="266" t="s">
        <v>541</v>
      </c>
      <c r="E40" s="264" t="s">
        <v>624</v>
      </c>
      <c r="F40" s="261" t="s">
        <v>583</v>
      </c>
      <c r="G40" s="518">
        <v>67371</v>
      </c>
      <c r="H40" s="518">
        <v>36689</v>
      </c>
      <c r="I40" s="319">
        <v>42951</v>
      </c>
      <c r="J40" s="319">
        <v>42951</v>
      </c>
      <c r="K40" s="319">
        <v>43082</v>
      </c>
      <c r="L40" s="319" t="s">
        <v>440</v>
      </c>
      <c r="M40" s="110" t="s">
        <v>584</v>
      </c>
      <c r="N40" s="520" t="s">
        <v>664</v>
      </c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1"/>
      <c r="AI40" s="121"/>
      <c r="AJ40" s="121"/>
      <c r="AK40" s="121"/>
      <c r="AL40" s="121"/>
      <c r="AM40" s="121"/>
      <c r="AN40" s="121"/>
    </row>
    <row r="41" spans="1:40" x14ac:dyDescent="0.25">
      <c r="A41" s="485"/>
      <c r="B41" s="522" t="s">
        <v>639</v>
      </c>
      <c r="C41" s="522" t="s">
        <v>219</v>
      </c>
      <c r="D41" s="266" t="s">
        <v>50</v>
      </c>
      <c r="E41" s="264" t="s">
        <v>640</v>
      </c>
      <c r="F41" s="261" t="s">
        <v>578</v>
      </c>
      <c r="G41" s="518">
        <v>15000</v>
      </c>
      <c r="H41" s="518">
        <v>10192.32</v>
      </c>
      <c r="I41" s="319">
        <v>42931</v>
      </c>
      <c r="J41" s="486">
        <v>42929</v>
      </c>
      <c r="K41" s="319">
        <v>42962</v>
      </c>
      <c r="L41" s="486">
        <v>42975</v>
      </c>
      <c r="M41" s="110" t="s">
        <v>584</v>
      </c>
      <c r="N41" s="520" t="s">
        <v>664</v>
      </c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21"/>
      <c r="AM41" s="121"/>
      <c r="AN41" s="121"/>
    </row>
    <row r="42" spans="1:40" x14ac:dyDescent="0.25">
      <c r="A42" s="121"/>
      <c r="B42" s="522" t="s">
        <v>913</v>
      </c>
      <c r="C42" s="522" t="s">
        <v>218</v>
      </c>
      <c r="D42" s="266" t="s">
        <v>541</v>
      </c>
      <c r="E42" s="264" t="s">
        <v>916</v>
      </c>
      <c r="F42" s="261" t="s">
        <v>583</v>
      </c>
      <c r="G42" s="518">
        <v>304466</v>
      </c>
      <c r="H42" s="518">
        <v>91028</v>
      </c>
      <c r="I42" s="319">
        <v>42976</v>
      </c>
      <c r="J42" s="319">
        <v>42979</v>
      </c>
      <c r="K42" s="319">
        <v>43140</v>
      </c>
      <c r="L42" s="319" t="s">
        <v>440</v>
      </c>
      <c r="M42" s="110" t="s">
        <v>584</v>
      </c>
      <c r="N42" s="520" t="s">
        <v>664</v>
      </c>
      <c r="O42" s="121"/>
      <c r="P42" s="121"/>
      <c r="Q42" s="121"/>
      <c r="R42" s="121"/>
      <c r="S42" s="121"/>
      <c r="T42" s="121"/>
      <c r="U42" s="121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/>
      <c r="AH42" s="121"/>
      <c r="AI42" s="121"/>
      <c r="AJ42" s="121"/>
      <c r="AK42" s="121"/>
      <c r="AL42" s="121"/>
      <c r="AM42" s="121"/>
      <c r="AN42" s="121"/>
    </row>
    <row r="43" spans="1:40" x14ac:dyDescent="0.25">
      <c r="A43" s="121"/>
      <c r="B43" s="121"/>
      <c r="C43" s="121"/>
      <c r="D43" s="121"/>
      <c r="E43" s="121"/>
      <c r="F43" s="121"/>
      <c r="G43" s="121"/>
      <c r="H43" s="121"/>
      <c r="I43" s="121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</row>
    <row r="44" spans="1:40" x14ac:dyDescent="0.25">
      <c r="A44" s="121"/>
      <c r="B44" s="121"/>
      <c r="C44" s="121"/>
      <c r="D44" s="121" t="s">
        <v>917</v>
      </c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</row>
    <row r="45" spans="1:40" x14ac:dyDescent="0.25">
      <c r="A45" s="121"/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21"/>
      <c r="AH45" s="121"/>
      <c r="AI45" s="121"/>
      <c r="AJ45" s="121"/>
      <c r="AK45" s="121"/>
      <c r="AL45" s="121"/>
      <c r="AM45" s="121"/>
      <c r="AN45" s="121"/>
    </row>
    <row r="46" spans="1:40" x14ac:dyDescent="0.25">
      <c r="A46" s="121"/>
      <c r="B46" s="121"/>
      <c r="C46" s="121"/>
      <c r="D46" s="121"/>
      <c r="E46" s="121"/>
      <c r="F46" s="121"/>
      <c r="G46" s="121"/>
      <c r="H46" s="121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  <c r="Y46" s="121"/>
      <c r="Z46" s="121"/>
      <c r="AA46" s="121"/>
      <c r="AB46" s="121"/>
      <c r="AC46" s="121"/>
      <c r="AD46" s="121"/>
      <c r="AE46" s="121"/>
      <c r="AF46" s="121"/>
      <c r="AG46" s="121"/>
      <c r="AH46" s="121"/>
      <c r="AI46" s="121"/>
      <c r="AJ46" s="121"/>
      <c r="AK46" s="121"/>
      <c r="AL46" s="121"/>
      <c r="AM46" s="121"/>
      <c r="AN46" s="121"/>
    </row>
    <row r="47" spans="1:40" x14ac:dyDescent="0.25">
      <c r="A47" s="121"/>
      <c r="B47" s="121"/>
      <c r="C47" s="121"/>
      <c r="D47" s="121"/>
      <c r="E47" s="121"/>
      <c r="F47" s="121"/>
      <c r="G47" s="121"/>
      <c r="H47" s="121"/>
      <c r="I47" s="121"/>
      <c r="J47" s="121"/>
      <c r="K47" s="121"/>
      <c r="L47" s="121"/>
      <c r="M47" s="121"/>
      <c r="N47" s="121"/>
      <c r="O47" s="121"/>
      <c r="P47" s="121"/>
      <c r="Q47" s="121"/>
      <c r="R47" s="121"/>
      <c r="S47" s="121"/>
      <c r="T47" s="121"/>
      <c r="U47" s="121"/>
      <c r="V47" s="121"/>
      <c r="W47" s="121"/>
      <c r="X47" s="121"/>
      <c r="Y47" s="121"/>
      <c r="Z47" s="121"/>
      <c r="AA47" s="121"/>
      <c r="AB47" s="121"/>
      <c r="AC47" s="121"/>
      <c r="AD47" s="121"/>
      <c r="AE47" s="121"/>
      <c r="AF47" s="121"/>
      <c r="AG47" s="121"/>
      <c r="AH47" s="121"/>
      <c r="AI47" s="121"/>
      <c r="AJ47" s="121"/>
      <c r="AK47" s="121"/>
      <c r="AL47" s="121"/>
      <c r="AM47" s="121"/>
      <c r="AN47" s="121"/>
    </row>
    <row r="48" spans="1:40" x14ac:dyDescent="0.25">
      <c r="A48" s="121"/>
      <c r="B48" s="121"/>
      <c r="C48" s="121"/>
      <c r="D48" s="121"/>
      <c r="E48" s="121"/>
      <c r="F48" s="121"/>
      <c r="G48" s="121"/>
      <c r="H48" s="121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T48" s="121"/>
      <c r="U48" s="121"/>
      <c r="V48" s="121"/>
      <c r="W48" s="121"/>
      <c r="X48" s="121"/>
      <c r="Y48" s="121"/>
      <c r="Z48" s="121"/>
      <c r="AA48" s="121"/>
      <c r="AB48" s="121"/>
      <c r="AC48" s="121"/>
      <c r="AD48" s="121"/>
      <c r="AE48" s="121"/>
      <c r="AF48" s="121"/>
      <c r="AG48" s="121"/>
      <c r="AH48" s="121"/>
      <c r="AI48" s="121"/>
      <c r="AJ48" s="121"/>
      <c r="AK48" s="121"/>
      <c r="AL48" s="121"/>
      <c r="AM48" s="121"/>
      <c r="AN48" s="121"/>
    </row>
    <row r="49" spans="1:40" x14ac:dyDescent="0.25">
      <c r="A49" s="121"/>
      <c r="B49" s="121"/>
      <c r="C49" s="121"/>
      <c r="D49" s="121"/>
      <c r="E49" s="121"/>
      <c r="F49" s="121"/>
      <c r="G49" s="121"/>
      <c r="H49" s="121"/>
      <c r="I49" s="121"/>
      <c r="J49" s="121"/>
      <c r="K49" s="121"/>
      <c r="L49" s="121"/>
      <c r="M49" s="121"/>
      <c r="N49" s="121"/>
      <c r="O49" s="121"/>
      <c r="P49" s="121"/>
      <c r="Q49" s="121"/>
      <c r="R49" s="121"/>
      <c r="S49" s="121"/>
      <c r="T49" s="121"/>
      <c r="U49" s="121"/>
      <c r="V49" s="121"/>
      <c r="W49" s="121"/>
      <c r="X49" s="121"/>
      <c r="Y49" s="121"/>
      <c r="Z49" s="121"/>
      <c r="AA49" s="121"/>
      <c r="AB49" s="121"/>
      <c r="AC49" s="121"/>
      <c r="AD49" s="121"/>
      <c r="AE49" s="121"/>
      <c r="AF49" s="121"/>
      <c r="AG49" s="121"/>
      <c r="AH49" s="121"/>
      <c r="AI49" s="121"/>
      <c r="AJ49" s="121"/>
      <c r="AK49" s="121"/>
      <c r="AL49" s="121"/>
      <c r="AM49" s="121"/>
      <c r="AN49" s="121"/>
    </row>
    <row r="50" spans="1:40" x14ac:dyDescent="0.25">
      <c r="A50" s="121"/>
      <c r="B50" s="121"/>
      <c r="C50" s="121"/>
      <c r="D50" s="121"/>
      <c r="E50" s="121"/>
      <c r="F50" s="121"/>
      <c r="G50" s="121"/>
      <c r="H50" s="121"/>
      <c r="I50" s="121"/>
      <c r="J50" s="121"/>
      <c r="K50" s="121"/>
      <c r="L50" s="121"/>
      <c r="M50" s="121"/>
      <c r="N50" s="121"/>
      <c r="O50" s="121"/>
      <c r="P50" s="121"/>
      <c r="Q50" s="121"/>
      <c r="R50" s="121"/>
      <c r="S50" s="121"/>
      <c r="T50" s="121"/>
      <c r="U50" s="121"/>
      <c r="V50" s="121"/>
      <c r="W50" s="121"/>
      <c r="X50" s="121"/>
      <c r="Y50" s="121"/>
      <c r="Z50" s="121"/>
      <c r="AA50" s="121"/>
      <c r="AB50" s="121"/>
      <c r="AC50" s="121"/>
      <c r="AD50" s="121"/>
      <c r="AE50" s="121"/>
      <c r="AF50" s="121"/>
      <c r="AG50" s="121"/>
      <c r="AH50" s="121"/>
      <c r="AI50" s="121"/>
      <c r="AJ50" s="121"/>
      <c r="AK50" s="121"/>
      <c r="AL50" s="121"/>
      <c r="AM50" s="121"/>
      <c r="AN50" s="121"/>
    </row>
    <row r="51" spans="1:40" x14ac:dyDescent="0.25">
      <c r="A51" s="121"/>
      <c r="B51" s="121"/>
      <c r="C51" s="121"/>
      <c r="D51" s="121"/>
      <c r="E51" s="121"/>
      <c r="F51" s="121"/>
      <c r="G51" s="121"/>
      <c r="H51" s="121"/>
      <c r="I51" s="121"/>
      <c r="J51" s="121"/>
      <c r="K51" s="121"/>
      <c r="L51" s="121"/>
      <c r="M51" s="121"/>
      <c r="N51" s="121"/>
      <c r="O51" s="121"/>
      <c r="P51" s="121"/>
      <c r="Q51" s="121"/>
      <c r="R51" s="121"/>
      <c r="S51" s="121"/>
      <c r="T51" s="121"/>
      <c r="U51" s="121"/>
      <c r="V51" s="121"/>
      <c r="W51" s="121"/>
      <c r="X51" s="121"/>
      <c r="Y51" s="121"/>
      <c r="Z51" s="121"/>
      <c r="AA51" s="121"/>
      <c r="AB51" s="121"/>
      <c r="AC51" s="121"/>
      <c r="AD51" s="121"/>
      <c r="AE51" s="121"/>
      <c r="AF51" s="121"/>
      <c r="AG51" s="121"/>
      <c r="AH51" s="121"/>
      <c r="AI51" s="121"/>
      <c r="AJ51" s="121"/>
      <c r="AK51" s="121"/>
      <c r="AL51" s="121"/>
      <c r="AM51" s="121"/>
      <c r="AN51" s="121"/>
    </row>
    <row r="52" spans="1:40" x14ac:dyDescent="0.25">
      <c r="A52" s="121"/>
      <c r="B52" s="121"/>
      <c r="C52" s="121"/>
      <c r="D52" s="121"/>
      <c r="E52" s="121"/>
      <c r="F52" s="121"/>
      <c r="G52" s="121"/>
      <c r="H52" s="121"/>
      <c r="I52" s="121"/>
      <c r="J52" s="121"/>
      <c r="K52" s="121"/>
      <c r="L52" s="121"/>
      <c r="M52" s="121"/>
      <c r="N52" s="121"/>
      <c r="O52" s="121"/>
      <c r="P52" s="121"/>
      <c r="Q52" s="121"/>
      <c r="R52" s="121"/>
      <c r="S52" s="121"/>
      <c r="T52" s="121"/>
      <c r="U52" s="121"/>
      <c r="V52" s="121"/>
      <c r="W52" s="121"/>
      <c r="X52" s="121"/>
      <c r="Y52" s="121"/>
      <c r="Z52" s="121"/>
      <c r="AA52" s="121"/>
      <c r="AB52" s="121"/>
      <c r="AC52" s="121"/>
      <c r="AD52" s="121"/>
      <c r="AE52" s="121"/>
      <c r="AF52" s="121"/>
      <c r="AG52" s="121"/>
      <c r="AH52" s="121"/>
      <c r="AI52" s="121"/>
      <c r="AJ52" s="121"/>
      <c r="AK52" s="121"/>
      <c r="AL52" s="121"/>
      <c r="AM52" s="121"/>
      <c r="AN52" s="121"/>
    </row>
    <row r="53" spans="1:40" x14ac:dyDescent="0.25">
      <c r="A53" s="121"/>
      <c r="B53" s="121"/>
      <c r="C53" s="121"/>
      <c r="D53" s="121"/>
      <c r="E53" s="121"/>
      <c r="F53" s="121"/>
      <c r="G53" s="121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T53" s="121"/>
      <c r="U53" s="121"/>
      <c r="V53" s="121"/>
      <c r="W53" s="121"/>
      <c r="X53" s="121"/>
      <c r="Y53" s="121"/>
      <c r="Z53" s="121"/>
      <c r="AA53" s="121"/>
      <c r="AB53" s="121"/>
      <c r="AC53" s="121"/>
      <c r="AD53" s="121"/>
      <c r="AE53" s="121"/>
      <c r="AF53" s="121"/>
      <c r="AG53" s="121"/>
      <c r="AH53" s="121"/>
      <c r="AI53" s="121"/>
      <c r="AJ53" s="121"/>
      <c r="AK53" s="121"/>
      <c r="AL53" s="121"/>
      <c r="AM53" s="121"/>
      <c r="AN53" s="121"/>
    </row>
    <row r="54" spans="1:40" x14ac:dyDescent="0.25">
      <c r="A54" s="121"/>
      <c r="B54" s="121"/>
      <c r="C54" s="121"/>
      <c r="D54" s="121"/>
      <c r="E54" s="121"/>
      <c r="F54" s="121"/>
      <c r="G54" s="121"/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  <c r="AA54" s="121"/>
      <c r="AB54" s="121"/>
      <c r="AC54" s="121"/>
      <c r="AD54" s="121"/>
      <c r="AE54" s="121"/>
      <c r="AF54" s="121"/>
      <c r="AG54" s="121"/>
      <c r="AH54" s="121"/>
      <c r="AI54" s="121"/>
      <c r="AJ54" s="121"/>
      <c r="AK54" s="121"/>
      <c r="AL54" s="121"/>
      <c r="AM54" s="121"/>
      <c r="AN54" s="121"/>
    </row>
    <row r="55" spans="1:40" x14ac:dyDescent="0.25">
      <c r="A55" s="121"/>
      <c r="B55" s="121"/>
      <c r="C55" s="121"/>
      <c r="D55" s="121"/>
      <c r="E55" s="121"/>
      <c r="F55" s="121"/>
      <c r="G55" s="121"/>
      <c r="H55" s="121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  <c r="Z55" s="121"/>
      <c r="AA55" s="121"/>
      <c r="AB55" s="121"/>
      <c r="AC55" s="121"/>
      <c r="AD55" s="121"/>
      <c r="AE55" s="121"/>
      <c r="AF55" s="121"/>
      <c r="AG55" s="121"/>
      <c r="AH55" s="121"/>
      <c r="AI55" s="121"/>
      <c r="AJ55" s="121"/>
      <c r="AK55" s="121"/>
      <c r="AL55" s="121"/>
      <c r="AM55" s="121"/>
      <c r="AN55" s="121"/>
    </row>
    <row r="56" spans="1:40" x14ac:dyDescent="0.25">
      <c r="A56" s="121"/>
      <c r="B56" s="121"/>
      <c r="C56" s="121"/>
      <c r="D56" s="121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/>
      <c r="AG56" s="121"/>
      <c r="AH56" s="121"/>
      <c r="AI56" s="121"/>
      <c r="AJ56" s="121"/>
      <c r="AK56" s="121"/>
      <c r="AL56" s="121"/>
      <c r="AM56" s="121"/>
      <c r="AN56" s="121"/>
    </row>
    <row r="57" spans="1:40" x14ac:dyDescent="0.25">
      <c r="A57" s="121"/>
      <c r="B57" s="121"/>
      <c r="C57" s="121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</row>
    <row r="58" spans="1:40" x14ac:dyDescent="0.25">
      <c r="A58" s="121"/>
      <c r="B58" s="121"/>
      <c r="C58" s="121"/>
      <c r="D58" s="121"/>
      <c r="E58" s="121"/>
      <c r="F58" s="121"/>
      <c r="G58" s="121"/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  <c r="AA58" s="121"/>
      <c r="AB58" s="121"/>
      <c r="AC58" s="121"/>
      <c r="AD58" s="121"/>
      <c r="AE58" s="121"/>
      <c r="AF58" s="121"/>
      <c r="AG58" s="121"/>
      <c r="AH58" s="121"/>
      <c r="AI58" s="121"/>
      <c r="AJ58" s="121"/>
      <c r="AK58" s="121"/>
      <c r="AL58" s="121"/>
      <c r="AM58" s="121"/>
      <c r="AN58" s="121"/>
    </row>
    <row r="59" spans="1:40" x14ac:dyDescent="0.25">
      <c r="A59" s="121"/>
      <c r="B59" s="121"/>
      <c r="C59" s="121"/>
      <c r="D59" s="121"/>
      <c r="E59" s="121"/>
      <c r="F59" s="121"/>
      <c r="G59" s="121"/>
      <c r="H59" s="121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21"/>
      <c r="AH59" s="121"/>
      <c r="AI59" s="121"/>
      <c r="AJ59" s="121"/>
      <c r="AK59" s="121"/>
      <c r="AL59" s="121"/>
      <c r="AM59" s="121"/>
      <c r="AN59" s="121"/>
    </row>
    <row r="60" spans="1:40" x14ac:dyDescent="0.25">
      <c r="A60" s="121"/>
      <c r="B60" s="121"/>
      <c r="C60" s="121"/>
      <c r="D60" s="121"/>
      <c r="E60" s="121"/>
      <c r="F60" s="121"/>
      <c r="G60" s="121"/>
      <c r="H60" s="121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21"/>
      <c r="AH60" s="121"/>
      <c r="AI60" s="121"/>
      <c r="AJ60" s="121"/>
      <c r="AK60" s="121"/>
      <c r="AL60" s="121"/>
      <c r="AM60" s="121"/>
      <c r="AN60" s="121"/>
    </row>
    <row r="61" spans="1:40" x14ac:dyDescent="0.25">
      <c r="A61" s="121"/>
      <c r="B61" s="121"/>
      <c r="C61" s="121"/>
      <c r="D61" s="121"/>
      <c r="E61" s="121"/>
      <c r="F61" s="121"/>
      <c r="G61" s="121"/>
      <c r="H61" s="121"/>
      <c r="I61" s="121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</row>
    <row r="62" spans="1:40" x14ac:dyDescent="0.25">
      <c r="A62" s="121"/>
      <c r="B62" s="121"/>
      <c r="C62" s="121"/>
      <c r="D62" s="121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1"/>
      <c r="U62" s="121"/>
      <c r="V62" s="121"/>
      <c r="W62" s="121"/>
      <c r="X62" s="121"/>
      <c r="Y62" s="121"/>
      <c r="Z62" s="121"/>
      <c r="AA62" s="121"/>
      <c r="AB62" s="121"/>
      <c r="AC62" s="121"/>
      <c r="AD62" s="121"/>
      <c r="AE62" s="121"/>
      <c r="AF62" s="121"/>
      <c r="AG62" s="121"/>
      <c r="AH62" s="121"/>
      <c r="AI62" s="121"/>
      <c r="AJ62" s="121"/>
      <c r="AK62" s="121"/>
      <c r="AL62" s="121"/>
      <c r="AM62" s="121"/>
      <c r="AN62" s="121"/>
    </row>
    <row r="63" spans="1:40" x14ac:dyDescent="0.25">
      <c r="A63" s="121"/>
      <c r="B63" s="121"/>
      <c r="C63" s="121"/>
      <c r="D63" s="121"/>
      <c r="E63" s="121"/>
      <c r="F63" s="121"/>
      <c r="G63" s="121"/>
      <c r="H63" s="121"/>
      <c r="I63" s="121"/>
      <c r="J63" s="121"/>
      <c r="K63" s="121"/>
      <c r="L63" s="121"/>
      <c r="M63" s="121"/>
      <c r="N63" s="121"/>
      <c r="O63" s="121"/>
      <c r="P63" s="121"/>
      <c r="Q63" s="121"/>
      <c r="R63" s="121"/>
      <c r="S63" s="121"/>
      <c r="T63" s="121"/>
      <c r="U63" s="121"/>
      <c r="V63" s="121"/>
      <c r="W63" s="121"/>
      <c r="X63" s="121"/>
      <c r="Y63" s="121"/>
      <c r="Z63" s="121"/>
      <c r="AA63" s="121"/>
      <c r="AB63" s="121"/>
      <c r="AC63" s="121"/>
      <c r="AD63" s="121"/>
      <c r="AE63" s="121"/>
      <c r="AF63" s="121"/>
      <c r="AG63" s="121"/>
      <c r="AH63" s="121"/>
      <c r="AI63" s="121"/>
      <c r="AJ63" s="121"/>
      <c r="AK63" s="121"/>
      <c r="AL63" s="121"/>
      <c r="AM63" s="121"/>
      <c r="AN63" s="121"/>
    </row>
    <row r="64" spans="1:40" x14ac:dyDescent="0.25">
      <c r="A64" s="121"/>
      <c r="B64" s="121"/>
      <c r="C64" s="121"/>
      <c r="D64" s="121"/>
      <c r="E64" s="121"/>
      <c r="F64" s="121"/>
      <c r="G64" s="121"/>
      <c r="H64" s="121"/>
      <c r="I64" s="121"/>
      <c r="J64" s="121"/>
      <c r="K64" s="121"/>
      <c r="L64" s="121"/>
      <c r="M64" s="121"/>
      <c r="N64" s="121"/>
      <c r="O64" s="121"/>
      <c r="P64" s="121"/>
      <c r="Q64" s="121"/>
      <c r="R64" s="121"/>
      <c r="S64" s="121"/>
      <c r="T64" s="121"/>
      <c r="U64" s="121"/>
      <c r="V64" s="121"/>
      <c r="W64" s="121"/>
      <c r="X64" s="121"/>
      <c r="Y64" s="121"/>
      <c r="Z64" s="121"/>
      <c r="AA64" s="121"/>
      <c r="AB64" s="121"/>
      <c r="AC64" s="121"/>
      <c r="AD64" s="121"/>
      <c r="AE64" s="121"/>
      <c r="AF64" s="121"/>
      <c r="AG64" s="121"/>
      <c r="AH64" s="121"/>
      <c r="AI64" s="121"/>
      <c r="AJ64" s="121"/>
      <c r="AK64" s="121"/>
      <c r="AL64" s="121"/>
      <c r="AM64" s="121"/>
      <c r="AN64" s="121"/>
    </row>
    <row r="65" spans="1:40" x14ac:dyDescent="0.25">
      <c r="A65" s="121"/>
      <c r="B65" s="121"/>
      <c r="C65" s="121"/>
      <c r="D65" s="121"/>
      <c r="E65" s="121"/>
      <c r="F65" s="121"/>
      <c r="G65" s="121"/>
      <c r="H65" s="121"/>
      <c r="I65" s="121"/>
      <c r="J65" s="121"/>
      <c r="K65" s="121"/>
      <c r="L65" s="121"/>
      <c r="M65" s="121"/>
      <c r="N65" s="121"/>
      <c r="O65" s="121"/>
      <c r="P65" s="121"/>
      <c r="Q65" s="121"/>
      <c r="R65" s="121"/>
      <c r="S65" s="121"/>
      <c r="T65" s="121"/>
      <c r="U65" s="121"/>
      <c r="V65" s="121"/>
      <c r="W65" s="121"/>
      <c r="X65" s="121"/>
      <c r="Y65" s="121"/>
      <c r="Z65" s="121"/>
      <c r="AA65" s="121"/>
      <c r="AB65" s="121"/>
      <c r="AC65" s="121"/>
      <c r="AD65" s="121"/>
      <c r="AE65" s="121"/>
      <c r="AF65" s="121"/>
      <c r="AG65" s="121"/>
      <c r="AH65" s="121"/>
      <c r="AI65" s="121"/>
      <c r="AJ65" s="121"/>
      <c r="AK65" s="121"/>
      <c r="AL65" s="121"/>
      <c r="AM65" s="121"/>
      <c r="AN65" s="121"/>
    </row>
    <row r="66" spans="1:40" x14ac:dyDescent="0.25">
      <c r="A66" s="121"/>
      <c r="B66" s="121"/>
      <c r="C66" s="121"/>
      <c r="D66" s="121"/>
      <c r="E66" s="121"/>
      <c r="F66" s="121"/>
      <c r="G66" s="121"/>
      <c r="H66" s="121"/>
      <c r="I66" s="121"/>
      <c r="J66" s="121"/>
      <c r="K66" s="121"/>
      <c r="L66" s="121"/>
      <c r="M66" s="121"/>
      <c r="N66" s="121"/>
      <c r="O66" s="121"/>
      <c r="P66" s="121"/>
      <c r="Q66" s="121"/>
      <c r="R66" s="121"/>
      <c r="S66" s="121"/>
      <c r="T66" s="121"/>
      <c r="U66" s="121"/>
      <c r="V66" s="121"/>
      <c r="W66" s="121"/>
      <c r="X66" s="121"/>
      <c r="Y66" s="121"/>
      <c r="Z66" s="121"/>
      <c r="AA66" s="121"/>
      <c r="AB66" s="121"/>
      <c r="AC66" s="121"/>
      <c r="AD66" s="121"/>
      <c r="AE66" s="121"/>
      <c r="AF66" s="121"/>
      <c r="AG66" s="121"/>
      <c r="AH66" s="121"/>
      <c r="AI66" s="121"/>
      <c r="AJ66" s="121"/>
      <c r="AK66" s="121"/>
      <c r="AL66" s="121"/>
      <c r="AM66" s="121"/>
      <c r="AN66" s="121"/>
    </row>
    <row r="67" spans="1:40" x14ac:dyDescent="0.25">
      <c r="A67" s="121"/>
      <c r="B67" s="121"/>
      <c r="C67" s="121"/>
      <c r="D67" s="121"/>
      <c r="E67" s="121"/>
      <c r="F67" s="121"/>
      <c r="G67" s="121"/>
      <c r="H67" s="121"/>
      <c r="I67" s="121"/>
      <c r="J67" s="121"/>
      <c r="K67" s="121"/>
      <c r="L67" s="121"/>
      <c r="M67" s="121"/>
      <c r="N67" s="121"/>
      <c r="O67" s="121"/>
      <c r="P67" s="121"/>
      <c r="Q67" s="121"/>
      <c r="R67" s="121"/>
      <c r="S67" s="121"/>
      <c r="T67" s="121"/>
      <c r="U67" s="121"/>
      <c r="V67" s="121"/>
      <c r="W67" s="12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</row>
    <row r="68" spans="1:40" x14ac:dyDescent="0.25">
      <c r="A68" s="121"/>
      <c r="B68" s="121"/>
      <c r="C68" s="121"/>
      <c r="D68" s="121"/>
      <c r="E68" s="121"/>
      <c r="F68" s="121"/>
      <c r="G68" s="121"/>
      <c r="H68" s="121"/>
      <c r="I68" s="121"/>
      <c r="J68" s="121"/>
      <c r="K68" s="121"/>
      <c r="L68" s="121"/>
      <c r="M68" s="121"/>
      <c r="N68" s="121"/>
      <c r="O68" s="121"/>
      <c r="P68" s="121"/>
      <c r="Q68" s="121"/>
      <c r="R68" s="121"/>
      <c r="S68" s="121"/>
      <c r="T68" s="121"/>
      <c r="U68" s="121"/>
      <c r="V68" s="121"/>
      <c r="W68" s="121"/>
      <c r="X68" s="121"/>
      <c r="Y68" s="121"/>
      <c r="Z68" s="121"/>
      <c r="AA68" s="121"/>
      <c r="AB68" s="121"/>
      <c r="AC68" s="121"/>
      <c r="AD68" s="121"/>
      <c r="AE68" s="121"/>
      <c r="AF68" s="121"/>
      <c r="AG68" s="121"/>
      <c r="AH68" s="121"/>
      <c r="AI68" s="121"/>
      <c r="AJ68" s="121"/>
      <c r="AK68" s="121"/>
      <c r="AL68" s="121"/>
      <c r="AM68" s="121"/>
      <c r="AN68" s="121"/>
    </row>
    <row r="69" spans="1:40" x14ac:dyDescent="0.25">
      <c r="A69" s="121"/>
      <c r="B69" s="121"/>
      <c r="C69" s="121"/>
      <c r="D69" s="121"/>
      <c r="E69" s="121"/>
      <c r="F69" s="121"/>
      <c r="G69" s="121"/>
      <c r="H69" s="121"/>
      <c r="I69" s="121"/>
      <c r="J69" s="121"/>
      <c r="K69" s="121"/>
      <c r="L69" s="121"/>
      <c r="M69" s="121"/>
      <c r="N69" s="121"/>
      <c r="O69" s="121"/>
      <c r="P69" s="121"/>
      <c r="Q69" s="121"/>
      <c r="R69" s="121"/>
      <c r="S69" s="121"/>
      <c r="T69" s="121"/>
      <c r="U69" s="121"/>
      <c r="V69" s="121"/>
      <c r="W69" s="121"/>
      <c r="X69" s="121"/>
      <c r="Y69" s="121"/>
      <c r="Z69" s="121"/>
      <c r="AA69" s="121"/>
      <c r="AB69" s="121"/>
      <c r="AC69" s="121"/>
      <c r="AD69" s="121"/>
      <c r="AE69" s="121"/>
      <c r="AF69" s="121"/>
      <c r="AG69" s="121"/>
      <c r="AH69" s="121"/>
      <c r="AI69" s="121"/>
      <c r="AJ69" s="121"/>
      <c r="AK69" s="121"/>
      <c r="AL69" s="121"/>
      <c r="AM69" s="121"/>
      <c r="AN69" s="121"/>
    </row>
    <row r="70" spans="1:40" x14ac:dyDescent="0.25">
      <c r="A70" s="121"/>
      <c r="B70" s="121"/>
      <c r="C70" s="121"/>
      <c r="D70" s="121"/>
      <c r="E70" s="121"/>
      <c r="F70" s="121"/>
      <c r="G70" s="121"/>
      <c r="H70" s="121"/>
      <c r="I70" s="121"/>
      <c r="J70" s="121"/>
      <c r="K70" s="121"/>
      <c r="L70" s="121"/>
      <c r="M70" s="121"/>
      <c r="N70" s="121"/>
      <c r="O70" s="121"/>
      <c r="P70" s="121"/>
      <c r="Q70" s="121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  <c r="AE70" s="121"/>
      <c r="AF70" s="121"/>
      <c r="AG70" s="121"/>
      <c r="AH70" s="121"/>
      <c r="AI70" s="121"/>
      <c r="AJ70" s="121"/>
      <c r="AK70" s="121"/>
      <c r="AL70" s="121"/>
      <c r="AM70" s="121"/>
      <c r="AN70" s="121"/>
    </row>
    <row r="71" spans="1:40" x14ac:dyDescent="0.25">
      <c r="A71" s="121"/>
      <c r="B71" s="121"/>
      <c r="C71" s="121"/>
      <c r="D71" s="121"/>
      <c r="E71" s="121"/>
      <c r="F71" s="121"/>
      <c r="G71" s="121"/>
      <c r="H71" s="121"/>
      <c r="I71" s="121"/>
      <c r="J71" s="121"/>
      <c r="K71" s="121"/>
      <c r="L71" s="121"/>
      <c r="M71" s="121"/>
      <c r="N71" s="121"/>
      <c r="O71" s="121"/>
      <c r="P71" s="121"/>
      <c r="Q71" s="121"/>
      <c r="R71" s="121"/>
      <c r="S71" s="121"/>
      <c r="T71" s="121"/>
      <c r="U71" s="121"/>
      <c r="V71" s="121"/>
      <c r="W71" s="121"/>
      <c r="X71" s="121"/>
      <c r="Y71" s="121"/>
      <c r="Z71" s="121"/>
      <c r="AA71" s="121"/>
      <c r="AB71" s="121"/>
      <c r="AC71" s="121"/>
      <c r="AD71" s="121"/>
      <c r="AE71" s="121"/>
      <c r="AF71" s="121"/>
      <c r="AG71" s="121"/>
      <c r="AH71" s="121"/>
      <c r="AI71" s="121"/>
      <c r="AJ71" s="121"/>
      <c r="AK71" s="121"/>
      <c r="AL71" s="121"/>
      <c r="AM71" s="121"/>
      <c r="AN71" s="121"/>
    </row>
    <row r="72" spans="1:40" x14ac:dyDescent="0.25">
      <c r="A72" s="121"/>
      <c r="B72" s="121"/>
      <c r="C72" s="121"/>
      <c r="D72" s="121"/>
      <c r="E72" s="121"/>
      <c r="F72" s="121"/>
      <c r="G72" s="121"/>
      <c r="H72" s="121"/>
      <c r="I72" s="121"/>
      <c r="J72" s="121"/>
      <c r="K72" s="121"/>
      <c r="L72" s="121"/>
      <c r="M72" s="121"/>
      <c r="N72" s="121"/>
      <c r="O72" s="121"/>
      <c r="P72" s="121"/>
      <c r="Q72" s="121"/>
      <c r="R72" s="121"/>
      <c r="S72" s="121"/>
      <c r="T72" s="121"/>
      <c r="U72" s="121"/>
      <c r="V72" s="121"/>
      <c r="W72" s="121"/>
      <c r="X72" s="121"/>
      <c r="Y72" s="121"/>
      <c r="Z72" s="121"/>
      <c r="AA72" s="121"/>
      <c r="AB72" s="121"/>
      <c r="AC72" s="121"/>
      <c r="AD72" s="121"/>
      <c r="AE72" s="121"/>
      <c r="AF72" s="121"/>
      <c r="AG72" s="121"/>
      <c r="AH72" s="121"/>
      <c r="AI72" s="121"/>
      <c r="AJ72" s="121"/>
      <c r="AK72" s="121"/>
      <c r="AL72" s="121"/>
      <c r="AM72" s="121"/>
      <c r="AN72" s="121"/>
    </row>
    <row r="73" spans="1:40" x14ac:dyDescent="0.25">
      <c r="A73" s="121"/>
      <c r="B73" s="121"/>
      <c r="C73" s="121"/>
      <c r="D73" s="121"/>
      <c r="E73" s="121"/>
      <c r="F73" s="121"/>
      <c r="G73" s="121"/>
      <c r="H73" s="121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1"/>
      <c r="V73" s="121"/>
      <c r="W73" s="121"/>
      <c r="X73" s="121"/>
      <c r="Y73" s="121"/>
      <c r="Z73" s="121"/>
      <c r="AA73" s="121"/>
      <c r="AB73" s="121"/>
      <c r="AC73" s="121"/>
      <c r="AD73" s="121"/>
      <c r="AE73" s="121"/>
      <c r="AF73" s="121"/>
      <c r="AG73" s="121"/>
      <c r="AH73" s="121"/>
      <c r="AI73" s="121"/>
      <c r="AJ73" s="121"/>
      <c r="AK73" s="121"/>
      <c r="AL73" s="121"/>
      <c r="AM73" s="121"/>
      <c r="AN73" s="121"/>
    </row>
    <row r="74" spans="1:40" x14ac:dyDescent="0.25">
      <c r="A74" s="121"/>
      <c r="B74" s="121"/>
      <c r="C74" s="121"/>
      <c r="D74" s="121"/>
      <c r="E74" s="121"/>
      <c r="F74" s="121"/>
      <c r="G74" s="121"/>
      <c r="H74" s="121"/>
      <c r="I74" s="121"/>
      <c r="J74" s="121"/>
      <c r="K74" s="121"/>
      <c r="L74" s="121"/>
      <c r="M74" s="121"/>
      <c r="N74" s="121"/>
      <c r="O74" s="121"/>
      <c r="P74" s="121"/>
      <c r="Q74" s="121"/>
      <c r="R74" s="121"/>
      <c r="S74" s="121"/>
      <c r="T74" s="121"/>
      <c r="U74" s="121"/>
      <c r="V74" s="121"/>
      <c r="W74" s="121"/>
      <c r="X74" s="121"/>
      <c r="Y74" s="121"/>
      <c r="Z74" s="121"/>
      <c r="AA74" s="121"/>
      <c r="AB74" s="121"/>
      <c r="AC74" s="121"/>
      <c r="AD74" s="121"/>
      <c r="AE74" s="121"/>
      <c r="AF74" s="121"/>
      <c r="AG74" s="121"/>
      <c r="AH74" s="121"/>
      <c r="AI74" s="121"/>
      <c r="AJ74" s="121"/>
      <c r="AK74" s="121"/>
      <c r="AL74" s="121"/>
      <c r="AM74" s="121"/>
      <c r="AN74" s="121"/>
    </row>
    <row r="75" spans="1:40" x14ac:dyDescent="0.25">
      <c r="A75" s="121"/>
      <c r="B75" s="121"/>
      <c r="C75" s="121"/>
      <c r="D75" s="121"/>
      <c r="E75" s="121"/>
      <c r="F75" s="121"/>
      <c r="G75" s="121"/>
      <c r="H75" s="121"/>
      <c r="I75" s="121"/>
      <c r="J75" s="121"/>
      <c r="K75" s="121"/>
      <c r="L75" s="121"/>
      <c r="M75" s="121"/>
      <c r="N75" s="121"/>
      <c r="O75" s="121"/>
      <c r="P75" s="121"/>
      <c r="Q75" s="121"/>
      <c r="R75" s="121"/>
      <c r="S75" s="121"/>
      <c r="T75" s="121"/>
      <c r="U75" s="121"/>
      <c r="V75" s="121"/>
      <c r="W75" s="121"/>
      <c r="X75" s="121"/>
      <c r="Y75" s="121"/>
      <c r="Z75" s="121"/>
      <c r="AA75" s="121"/>
      <c r="AB75" s="121"/>
      <c r="AC75" s="121"/>
      <c r="AD75" s="121"/>
      <c r="AE75" s="121"/>
      <c r="AF75" s="121"/>
      <c r="AG75" s="121"/>
      <c r="AH75" s="121"/>
      <c r="AI75" s="121"/>
      <c r="AJ75" s="121"/>
      <c r="AK75" s="121"/>
      <c r="AL75" s="121"/>
      <c r="AM75" s="121"/>
      <c r="AN75" s="121"/>
    </row>
    <row r="76" spans="1:40" x14ac:dyDescent="0.25">
      <c r="A76" s="121"/>
      <c r="B76" s="121"/>
      <c r="C76" s="121"/>
      <c r="D76" s="121"/>
      <c r="E76" s="121"/>
      <c r="F76" s="121"/>
      <c r="G76" s="121"/>
      <c r="H76" s="121"/>
      <c r="I76" s="121"/>
      <c r="J76" s="121"/>
      <c r="K76" s="121"/>
      <c r="L76" s="121"/>
      <c r="M76" s="121"/>
      <c r="N76" s="121"/>
      <c r="O76" s="121"/>
      <c r="P76" s="121"/>
      <c r="Q76" s="121"/>
      <c r="R76" s="121"/>
      <c r="S76" s="121"/>
      <c r="T76" s="121"/>
      <c r="U76" s="121"/>
      <c r="V76" s="121"/>
      <c r="W76" s="121"/>
      <c r="X76" s="121"/>
      <c r="Y76" s="121"/>
      <c r="Z76" s="121"/>
      <c r="AA76" s="121"/>
      <c r="AB76" s="121"/>
      <c r="AC76" s="121"/>
      <c r="AD76" s="121"/>
      <c r="AE76" s="121"/>
      <c r="AF76" s="121"/>
      <c r="AG76" s="121"/>
      <c r="AH76" s="121"/>
      <c r="AI76" s="121"/>
      <c r="AJ76" s="121"/>
      <c r="AK76" s="121"/>
      <c r="AL76" s="121"/>
      <c r="AM76" s="121"/>
      <c r="AN76" s="121"/>
    </row>
    <row r="77" spans="1:40" x14ac:dyDescent="0.25">
      <c r="A77" s="121"/>
      <c r="B77" s="121"/>
      <c r="C77" s="121"/>
      <c r="D77" s="121"/>
      <c r="E77" s="121"/>
      <c r="F77" s="121"/>
      <c r="G77" s="121"/>
      <c r="H77" s="121"/>
      <c r="I77" s="121"/>
      <c r="J77" s="121"/>
      <c r="K77" s="121"/>
      <c r="L77" s="121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1"/>
      <c r="AA77" s="121"/>
      <c r="AB77" s="121"/>
      <c r="AC77" s="121"/>
      <c r="AD77" s="121"/>
      <c r="AE77" s="121"/>
      <c r="AF77" s="121"/>
      <c r="AG77" s="121"/>
      <c r="AH77" s="121"/>
      <c r="AI77" s="121"/>
      <c r="AJ77" s="121"/>
      <c r="AK77" s="121"/>
      <c r="AL77" s="121"/>
      <c r="AM77" s="121"/>
      <c r="AN77" s="121"/>
    </row>
    <row r="78" spans="1:40" x14ac:dyDescent="0.25">
      <c r="A78" s="121"/>
      <c r="B78" s="121"/>
      <c r="C78" s="121"/>
      <c r="D78" s="121"/>
      <c r="E78" s="121"/>
      <c r="F78" s="121"/>
      <c r="G78" s="121"/>
      <c r="H78" s="121"/>
      <c r="I78" s="121"/>
      <c r="J78" s="121"/>
      <c r="K78" s="121"/>
      <c r="L78" s="121"/>
      <c r="M78" s="121"/>
      <c r="N78" s="121"/>
      <c r="O78" s="121"/>
      <c r="P78" s="121"/>
      <c r="Q78" s="121"/>
      <c r="R78" s="121"/>
      <c r="S78" s="121"/>
      <c r="T78" s="121"/>
      <c r="U78" s="121"/>
      <c r="V78" s="121"/>
      <c r="W78" s="121"/>
      <c r="X78" s="121"/>
      <c r="Y78" s="121"/>
      <c r="Z78" s="121"/>
      <c r="AA78" s="121"/>
      <c r="AB78" s="121"/>
      <c r="AC78" s="121"/>
      <c r="AD78" s="121"/>
      <c r="AE78" s="121"/>
      <c r="AF78" s="121"/>
      <c r="AG78" s="121"/>
      <c r="AH78" s="121"/>
      <c r="AI78" s="121"/>
      <c r="AJ78" s="121"/>
      <c r="AK78" s="121"/>
      <c r="AL78" s="121"/>
      <c r="AM78" s="121"/>
      <c r="AN78" s="121"/>
    </row>
    <row r="79" spans="1:40" x14ac:dyDescent="0.25">
      <c r="A79" s="121"/>
      <c r="B79" s="121"/>
      <c r="C79" s="121"/>
      <c r="D79" s="121"/>
      <c r="E79" s="121"/>
      <c r="F79" s="121"/>
      <c r="G79" s="121"/>
      <c r="H79" s="121"/>
      <c r="I79" s="121"/>
      <c r="J79" s="121"/>
      <c r="K79" s="121"/>
      <c r="L79" s="121"/>
      <c r="M79" s="121"/>
      <c r="N79" s="121"/>
      <c r="O79" s="121"/>
      <c r="P79" s="121"/>
      <c r="Q79" s="121"/>
      <c r="R79" s="121"/>
      <c r="S79" s="121"/>
      <c r="T79" s="121"/>
      <c r="U79" s="121"/>
      <c r="V79" s="121"/>
      <c r="W79" s="121"/>
      <c r="X79" s="121"/>
      <c r="Y79" s="121"/>
      <c r="Z79" s="121"/>
      <c r="AA79" s="121"/>
      <c r="AB79" s="121"/>
      <c r="AC79" s="121"/>
      <c r="AD79" s="121"/>
      <c r="AE79" s="121"/>
      <c r="AF79" s="121"/>
      <c r="AG79" s="121"/>
      <c r="AH79" s="121"/>
      <c r="AI79" s="121"/>
      <c r="AJ79" s="121"/>
      <c r="AK79" s="121"/>
      <c r="AL79" s="121"/>
      <c r="AM79" s="121"/>
      <c r="AN79" s="121"/>
    </row>
    <row r="80" spans="1:40" x14ac:dyDescent="0.25">
      <c r="A80" s="121"/>
      <c r="B80" s="121"/>
      <c r="C80" s="121"/>
      <c r="D80" s="121"/>
      <c r="E80" s="121"/>
      <c r="F80" s="121"/>
      <c r="G80" s="121"/>
      <c r="H80" s="121"/>
      <c r="I80" s="121"/>
      <c r="J80" s="121"/>
      <c r="K80" s="121"/>
      <c r="L80" s="121"/>
      <c r="M80" s="121"/>
      <c r="N80" s="121"/>
      <c r="O80" s="121"/>
      <c r="P80" s="121"/>
      <c r="Q80" s="121"/>
      <c r="R80" s="121"/>
      <c r="S80" s="121"/>
      <c r="T80" s="121"/>
      <c r="U80" s="121"/>
      <c r="V80" s="121"/>
      <c r="W80" s="121"/>
      <c r="X80" s="121"/>
      <c r="Y80" s="121"/>
      <c r="Z80" s="121"/>
      <c r="AA80" s="121"/>
      <c r="AB80" s="121"/>
      <c r="AC80" s="121"/>
      <c r="AD80" s="121"/>
      <c r="AE80" s="121"/>
      <c r="AF80" s="121"/>
      <c r="AG80" s="121"/>
      <c r="AH80" s="121"/>
      <c r="AI80" s="121"/>
      <c r="AJ80" s="121"/>
      <c r="AK80" s="121"/>
      <c r="AL80" s="121"/>
      <c r="AM80" s="121"/>
      <c r="AN80" s="121"/>
    </row>
    <row r="81" spans="1:40" x14ac:dyDescent="0.25">
      <c r="A81" s="121"/>
      <c r="B81" s="121"/>
      <c r="C81" s="121"/>
      <c r="D81" s="121"/>
      <c r="E81" s="121"/>
      <c r="F81" s="121"/>
      <c r="G81" s="121"/>
      <c r="H81" s="121"/>
      <c r="I81" s="121"/>
      <c r="J81" s="121"/>
      <c r="K81" s="121"/>
      <c r="L81" s="121"/>
      <c r="M81" s="121"/>
      <c r="N81" s="121"/>
      <c r="O81" s="121"/>
      <c r="P81" s="121"/>
      <c r="Q81" s="121"/>
      <c r="R81" s="121"/>
      <c r="S81" s="121"/>
      <c r="T81" s="121"/>
      <c r="U81" s="121"/>
      <c r="V81" s="121"/>
      <c r="W81" s="121"/>
      <c r="X81" s="121"/>
      <c r="Y81" s="121"/>
      <c r="Z81" s="121"/>
      <c r="AA81" s="121"/>
      <c r="AB81" s="121"/>
      <c r="AC81" s="121"/>
      <c r="AD81" s="121"/>
      <c r="AE81" s="121"/>
      <c r="AF81" s="121"/>
      <c r="AG81" s="121"/>
      <c r="AH81" s="121"/>
      <c r="AI81" s="121"/>
      <c r="AJ81" s="121"/>
      <c r="AK81" s="121"/>
      <c r="AL81" s="121"/>
      <c r="AM81" s="121"/>
      <c r="AN81" s="121"/>
    </row>
    <row r="82" spans="1:40" x14ac:dyDescent="0.25">
      <c r="A82" s="121"/>
      <c r="B82" s="121"/>
      <c r="C82" s="121"/>
      <c r="D82" s="121"/>
      <c r="E82" s="121"/>
      <c r="F82" s="121"/>
      <c r="G82" s="121"/>
      <c r="H82" s="121"/>
      <c r="I82" s="121"/>
      <c r="J82" s="121"/>
      <c r="K82" s="121"/>
      <c r="L82" s="121"/>
      <c r="M82" s="121"/>
      <c r="N82" s="121"/>
      <c r="O82" s="121"/>
      <c r="P82" s="121"/>
      <c r="Q82" s="121"/>
      <c r="R82" s="121"/>
      <c r="S82" s="121"/>
      <c r="T82" s="121"/>
      <c r="U82" s="121"/>
      <c r="V82" s="121"/>
      <c r="W82" s="121"/>
      <c r="X82" s="121"/>
      <c r="Y82" s="121"/>
      <c r="Z82" s="121"/>
      <c r="AA82" s="121"/>
      <c r="AB82" s="121"/>
      <c r="AC82" s="121"/>
      <c r="AD82" s="121"/>
      <c r="AE82" s="121"/>
      <c r="AF82" s="121"/>
      <c r="AG82" s="121"/>
      <c r="AH82" s="121"/>
      <c r="AI82" s="121"/>
      <c r="AJ82" s="121"/>
      <c r="AK82" s="121"/>
      <c r="AL82" s="121"/>
      <c r="AM82" s="121"/>
      <c r="AN82" s="121"/>
    </row>
    <row r="83" spans="1:40" x14ac:dyDescent="0.25">
      <c r="A83" s="121"/>
      <c r="B83" s="121"/>
      <c r="C83" s="121"/>
      <c r="D83" s="121"/>
      <c r="E83" s="121"/>
      <c r="F83" s="121"/>
      <c r="G83" s="121"/>
      <c r="H83" s="121"/>
      <c r="I83" s="121"/>
      <c r="J83" s="121"/>
      <c r="K83" s="121"/>
      <c r="L83" s="121"/>
      <c r="M83" s="121"/>
      <c r="N83" s="121"/>
      <c r="O83" s="121"/>
      <c r="P83" s="121"/>
      <c r="Q83" s="121"/>
      <c r="R83" s="121"/>
      <c r="S83" s="121"/>
      <c r="T83" s="121"/>
      <c r="U83" s="121"/>
      <c r="V83" s="121"/>
      <c r="W83" s="121"/>
      <c r="X83" s="121"/>
      <c r="Y83" s="121"/>
      <c r="Z83" s="121"/>
      <c r="AA83" s="121"/>
      <c r="AB83" s="121"/>
      <c r="AC83" s="121"/>
      <c r="AD83" s="121"/>
      <c r="AE83" s="121"/>
      <c r="AF83" s="121"/>
      <c r="AG83" s="121"/>
      <c r="AH83" s="121"/>
      <c r="AI83" s="121"/>
      <c r="AJ83" s="121"/>
      <c r="AK83" s="121"/>
      <c r="AL83" s="121"/>
      <c r="AM83" s="121"/>
      <c r="AN83" s="121"/>
    </row>
    <row r="84" spans="1:40" x14ac:dyDescent="0.25">
      <c r="A84" s="121"/>
      <c r="B84" s="121"/>
      <c r="C84" s="121"/>
      <c r="D84" s="121"/>
      <c r="E84" s="121"/>
      <c r="F84" s="121"/>
      <c r="G84" s="121"/>
      <c r="H84" s="121"/>
      <c r="I84" s="121"/>
      <c r="J84" s="121"/>
      <c r="K84" s="121"/>
      <c r="L84" s="121"/>
      <c r="M84" s="121"/>
      <c r="N84" s="121"/>
      <c r="O84" s="121"/>
      <c r="P84" s="121"/>
      <c r="Q84" s="121"/>
      <c r="R84" s="121"/>
      <c r="S84" s="121"/>
      <c r="T84" s="121"/>
      <c r="U84" s="121"/>
      <c r="V84" s="121"/>
      <c r="W84" s="121"/>
      <c r="X84" s="121"/>
      <c r="Y84" s="121"/>
      <c r="Z84" s="121"/>
      <c r="AA84" s="121"/>
      <c r="AB84" s="121"/>
      <c r="AC84" s="121"/>
      <c r="AD84" s="121"/>
      <c r="AE84" s="121"/>
      <c r="AF84" s="121"/>
      <c r="AG84" s="121"/>
      <c r="AH84" s="121"/>
      <c r="AI84" s="121"/>
      <c r="AJ84" s="121"/>
      <c r="AK84" s="121"/>
      <c r="AL84" s="121"/>
      <c r="AM84" s="121"/>
      <c r="AN84" s="121"/>
    </row>
    <row r="85" spans="1:40" x14ac:dyDescent="0.25">
      <c r="A85" s="121"/>
      <c r="B85" s="121"/>
      <c r="C85" s="121"/>
      <c r="D85" s="121"/>
      <c r="E85" s="121"/>
      <c r="F85" s="121"/>
      <c r="G85" s="121"/>
      <c r="H85" s="121"/>
      <c r="I85" s="121"/>
      <c r="J85" s="121"/>
      <c r="K85" s="121"/>
      <c r="L85" s="121"/>
      <c r="M85" s="121"/>
      <c r="N85" s="121"/>
      <c r="O85" s="121"/>
      <c r="P85" s="121"/>
      <c r="Q85" s="121"/>
      <c r="R85" s="121"/>
      <c r="S85" s="121"/>
      <c r="T85" s="121"/>
      <c r="U85" s="121"/>
      <c r="V85" s="121"/>
      <c r="W85" s="121"/>
      <c r="X85" s="121"/>
      <c r="Y85" s="121"/>
      <c r="Z85" s="121"/>
      <c r="AA85" s="121"/>
      <c r="AB85" s="121"/>
      <c r="AC85" s="121"/>
      <c r="AD85" s="121"/>
      <c r="AE85" s="121"/>
      <c r="AF85" s="121"/>
      <c r="AG85" s="121"/>
      <c r="AH85" s="121"/>
      <c r="AI85" s="121"/>
      <c r="AJ85" s="121"/>
      <c r="AK85" s="121"/>
      <c r="AL85" s="121"/>
      <c r="AM85" s="121"/>
      <c r="AN85" s="121"/>
    </row>
    <row r="86" spans="1:40" x14ac:dyDescent="0.25">
      <c r="A86" s="121"/>
      <c r="B86" s="121"/>
      <c r="C86" s="121"/>
      <c r="D86" s="121"/>
      <c r="E86" s="121"/>
      <c r="F86" s="121"/>
      <c r="G86" s="121"/>
      <c r="H86" s="121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 s="121"/>
      <c r="Y86" s="121"/>
      <c r="Z86" s="121"/>
      <c r="AA86" s="121"/>
      <c r="AB86" s="121"/>
      <c r="AC86" s="121"/>
      <c r="AD86" s="121"/>
      <c r="AE86" s="121"/>
      <c r="AF86" s="121"/>
      <c r="AG86" s="121"/>
      <c r="AH86" s="121"/>
      <c r="AI86" s="121"/>
      <c r="AJ86" s="121"/>
      <c r="AK86" s="121"/>
      <c r="AL86" s="121"/>
      <c r="AM86" s="121"/>
      <c r="AN86" s="121"/>
    </row>
    <row r="87" spans="1:40" x14ac:dyDescent="0.25">
      <c r="A87" s="121"/>
      <c r="B87" s="121"/>
      <c r="C87" s="121"/>
      <c r="D87" s="121"/>
      <c r="E87" s="121"/>
      <c r="F87" s="121"/>
      <c r="G87" s="121"/>
      <c r="H87" s="121"/>
      <c r="I87" s="121"/>
      <c r="J87" s="121"/>
      <c r="K87" s="121"/>
      <c r="L87" s="121"/>
      <c r="M87" s="121"/>
      <c r="N87" s="121"/>
      <c r="O87" s="121"/>
      <c r="P87" s="121"/>
      <c r="Q87" s="121"/>
      <c r="R87" s="121"/>
      <c r="S87" s="121"/>
      <c r="T87" s="121"/>
      <c r="U87" s="121"/>
      <c r="V87" s="121"/>
      <c r="W87" s="121"/>
      <c r="X87" s="121"/>
      <c r="Y87" s="121"/>
      <c r="Z87" s="121"/>
      <c r="AA87" s="121"/>
      <c r="AB87" s="121"/>
      <c r="AC87" s="121"/>
      <c r="AD87" s="121"/>
      <c r="AE87" s="121"/>
      <c r="AF87" s="121"/>
      <c r="AG87" s="121"/>
      <c r="AH87" s="121"/>
      <c r="AI87" s="121"/>
      <c r="AJ87" s="121"/>
      <c r="AK87" s="121"/>
      <c r="AL87" s="121"/>
      <c r="AM87" s="121"/>
      <c r="AN87" s="121"/>
    </row>
    <row r="88" spans="1:40" x14ac:dyDescent="0.25">
      <c r="A88" s="121"/>
      <c r="B88" s="121"/>
      <c r="C88" s="121"/>
      <c r="D88" s="121"/>
      <c r="E88" s="121"/>
      <c r="F88" s="121"/>
      <c r="G88" s="121"/>
      <c r="H88" s="121"/>
      <c r="I88" s="121"/>
      <c r="J88" s="121"/>
      <c r="K88" s="121"/>
      <c r="L88" s="121"/>
      <c r="M88" s="121"/>
      <c r="N88" s="121"/>
      <c r="O88" s="121"/>
      <c r="P88" s="121"/>
      <c r="Q88" s="121"/>
      <c r="R88" s="121"/>
      <c r="S88" s="121"/>
      <c r="T88" s="121"/>
      <c r="U88" s="121"/>
      <c r="V88" s="121"/>
      <c r="W88" s="121"/>
      <c r="X88" s="121"/>
      <c r="Y88" s="121"/>
      <c r="Z88" s="121"/>
      <c r="AA88" s="121"/>
      <c r="AB88" s="121"/>
      <c r="AC88" s="121"/>
      <c r="AD88" s="121"/>
      <c r="AE88" s="121"/>
      <c r="AF88" s="121"/>
      <c r="AG88" s="121"/>
      <c r="AH88" s="121"/>
      <c r="AI88" s="121"/>
      <c r="AJ88" s="121"/>
      <c r="AK88" s="121"/>
      <c r="AL88" s="121"/>
      <c r="AM88" s="121"/>
      <c r="AN88" s="121"/>
    </row>
    <row r="89" spans="1:40" x14ac:dyDescent="0.25">
      <c r="A89" s="121"/>
      <c r="B89" s="121"/>
      <c r="C89" s="121"/>
      <c r="D89" s="121"/>
      <c r="E89" s="121"/>
      <c r="F89" s="121"/>
      <c r="G89" s="121"/>
      <c r="H89" s="121"/>
      <c r="I89" s="121"/>
      <c r="J89" s="121"/>
      <c r="K89" s="121"/>
      <c r="L89" s="121"/>
      <c r="M89" s="121"/>
      <c r="N89" s="121"/>
      <c r="O89" s="121"/>
      <c r="P89" s="121"/>
      <c r="Q89" s="121"/>
      <c r="R89" s="121"/>
      <c r="S89" s="121"/>
      <c r="T89" s="121"/>
      <c r="U89" s="121"/>
      <c r="V89" s="121"/>
      <c r="W89" s="121"/>
      <c r="X89" s="121"/>
      <c r="Y89" s="121"/>
      <c r="Z89" s="121"/>
      <c r="AA89" s="121"/>
      <c r="AB89" s="121"/>
      <c r="AC89" s="121"/>
      <c r="AD89" s="121"/>
      <c r="AE89" s="121"/>
      <c r="AF89" s="121"/>
      <c r="AG89" s="121"/>
      <c r="AH89" s="121"/>
      <c r="AI89" s="121"/>
      <c r="AJ89" s="121"/>
      <c r="AK89" s="121"/>
      <c r="AL89" s="121"/>
      <c r="AM89" s="121"/>
      <c r="AN89" s="121"/>
    </row>
    <row r="90" spans="1:40" x14ac:dyDescent="0.25">
      <c r="A90" s="121"/>
      <c r="B90" s="121"/>
      <c r="C90" s="121"/>
      <c r="D90" s="121"/>
      <c r="E90" s="121"/>
      <c r="F90" s="121"/>
      <c r="G90" s="121"/>
      <c r="H90" s="121"/>
      <c r="I90" s="121"/>
      <c r="J90" s="121"/>
      <c r="K90" s="121"/>
      <c r="L90" s="121"/>
      <c r="M90" s="121"/>
      <c r="N90" s="121"/>
      <c r="O90" s="121"/>
      <c r="P90" s="121"/>
      <c r="Q90" s="121"/>
      <c r="R90" s="121"/>
      <c r="S90" s="121"/>
      <c r="T90" s="121"/>
      <c r="U90" s="121"/>
      <c r="V90" s="121"/>
      <c r="W90" s="121"/>
      <c r="X90" s="121"/>
      <c r="Y90" s="121"/>
      <c r="Z90" s="121"/>
      <c r="AA90" s="121"/>
      <c r="AB90" s="121"/>
      <c r="AC90" s="121"/>
      <c r="AD90" s="121"/>
      <c r="AE90" s="121"/>
      <c r="AF90" s="121"/>
      <c r="AG90" s="121"/>
      <c r="AH90" s="121"/>
      <c r="AI90" s="121"/>
      <c r="AJ90" s="121"/>
      <c r="AK90" s="121"/>
      <c r="AL90" s="121"/>
      <c r="AM90" s="121"/>
      <c r="AN90" s="121"/>
    </row>
    <row r="91" spans="1:40" x14ac:dyDescent="0.25">
      <c r="A91" s="121"/>
      <c r="B91" s="121"/>
      <c r="C91" s="121"/>
      <c r="D91" s="121"/>
      <c r="E91" s="121"/>
      <c r="F91" s="121"/>
      <c r="G91" s="121"/>
      <c r="H91" s="121"/>
      <c r="I91" s="121"/>
      <c r="J91" s="121"/>
      <c r="K91" s="121"/>
      <c r="L91" s="121"/>
      <c r="M91" s="121"/>
      <c r="N91" s="121"/>
      <c r="O91" s="121"/>
      <c r="P91" s="121"/>
      <c r="Q91" s="121"/>
      <c r="R91" s="121"/>
      <c r="S91" s="121"/>
      <c r="T91" s="121"/>
      <c r="U91" s="121"/>
      <c r="V91" s="121"/>
      <c r="W91" s="121"/>
      <c r="X91" s="121"/>
      <c r="Y91" s="121"/>
      <c r="Z91" s="121"/>
      <c r="AA91" s="121"/>
      <c r="AB91" s="121"/>
      <c r="AC91" s="121"/>
      <c r="AD91" s="121"/>
      <c r="AE91" s="121"/>
      <c r="AF91" s="121"/>
      <c r="AG91" s="121"/>
      <c r="AH91" s="121"/>
      <c r="AI91" s="121"/>
      <c r="AJ91" s="121"/>
      <c r="AK91" s="121"/>
      <c r="AL91" s="121"/>
      <c r="AM91" s="121"/>
      <c r="AN91" s="121"/>
    </row>
    <row r="92" spans="1:40" x14ac:dyDescent="0.25">
      <c r="A92" s="121"/>
      <c r="B92" s="121"/>
      <c r="C92" s="121"/>
      <c r="D92" s="121"/>
      <c r="E92" s="121"/>
      <c r="F92" s="121"/>
      <c r="G92" s="121"/>
      <c r="H92" s="121"/>
      <c r="I92" s="121"/>
      <c r="J92" s="121"/>
      <c r="K92" s="121"/>
      <c r="L92" s="121"/>
      <c r="M92" s="121"/>
      <c r="N92" s="121"/>
      <c r="O92" s="121"/>
      <c r="P92" s="121"/>
      <c r="Q92" s="121"/>
      <c r="R92" s="121"/>
      <c r="S92" s="121"/>
      <c r="T92" s="121"/>
      <c r="U92" s="121"/>
      <c r="V92" s="121"/>
      <c r="W92" s="121"/>
      <c r="X92" s="121"/>
      <c r="Y92" s="121"/>
      <c r="Z92" s="121"/>
      <c r="AA92" s="121"/>
      <c r="AB92" s="121"/>
      <c r="AC92" s="121"/>
      <c r="AD92" s="121"/>
      <c r="AE92" s="121"/>
      <c r="AF92" s="121"/>
      <c r="AG92" s="121"/>
      <c r="AH92" s="121"/>
      <c r="AI92" s="121"/>
      <c r="AJ92" s="121"/>
      <c r="AK92" s="121"/>
      <c r="AL92" s="121"/>
      <c r="AM92" s="121"/>
      <c r="AN92" s="121"/>
    </row>
    <row r="93" spans="1:40" x14ac:dyDescent="0.25">
      <c r="A93" s="121"/>
      <c r="B93" s="121"/>
      <c r="C93" s="121"/>
      <c r="D93" s="121"/>
      <c r="E93" s="121"/>
      <c r="F93" s="121"/>
      <c r="G93" s="121"/>
      <c r="H93" s="121"/>
      <c r="I93" s="121"/>
      <c r="J93" s="121"/>
      <c r="K93" s="121"/>
      <c r="L93" s="121"/>
      <c r="M93" s="121"/>
      <c r="N93" s="121"/>
      <c r="O93" s="121"/>
      <c r="P93" s="121"/>
      <c r="Q93" s="121"/>
      <c r="R93" s="121"/>
      <c r="S93" s="121"/>
      <c r="T93" s="121"/>
      <c r="U93" s="121"/>
      <c r="V93" s="121"/>
      <c r="W93" s="121"/>
      <c r="X93" s="121"/>
      <c r="Y93" s="121"/>
      <c r="Z93" s="121"/>
      <c r="AA93" s="121"/>
      <c r="AB93" s="121"/>
      <c r="AC93" s="121"/>
      <c r="AD93" s="121"/>
      <c r="AE93" s="121"/>
      <c r="AF93" s="121"/>
      <c r="AG93" s="121"/>
      <c r="AH93" s="121"/>
      <c r="AI93" s="121"/>
      <c r="AJ93" s="121"/>
      <c r="AK93" s="121"/>
      <c r="AL93" s="121"/>
      <c r="AM93" s="121"/>
      <c r="AN93" s="121"/>
    </row>
    <row r="94" spans="1:40" x14ac:dyDescent="0.25">
      <c r="A94" s="121"/>
      <c r="B94" s="121"/>
      <c r="C94" s="121"/>
      <c r="D94" s="121"/>
      <c r="E94" s="121"/>
      <c r="F94" s="121"/>
      <c r="G94" s="121"/>
      <c r="H94" s="121"/>
      <c r="I94" s="121"/>
      <c r="J94" s="121"/>
      <c r="K94" s="121"/>
      <c r="L94" s="121"/>
      <c r="M94" s="121"/>
      <c r="N94" s="121"/>
      <c r="O94" s="121"/>
      <c r="P94" s="121"/>
      <c r="Q94" s="121"/>
      <c r="R94" s="121"/>
      <c r="S94" s="121"/>
      <c r="T94" s="121"/>
      <c r="U94" s="121"/>
      <c r="V94" s="121"/>
      <c r="W94" s="121"/>
      <c r="X94" s="121"/>
      <c r="Y94" s="121"/>
      <c r="Z94" s="121"/>
      <c r="AA94" s="121"/>
      <c r="AB94" s="121"/>
      <c r="AC94" s="121"/>
      <c r="AD94" s="121"/>
      <c r="AE94" s="121"/>
      <c r="AF94" s="121"/>
      <c r="AG94" s="121"/>
      <c r="AH94" s="121"/>
      <c r="AI94" s="121"/>
      <c r="AJ94" s="121"/>
      <c r="AK94" s="121"/>
      <c r="AL94" s="121"/>
      <c r="AM94" s="121"/>
      <c r="AN94" s="121"/>
    </row>
    <row r="95" spans="1:40" x14ac:dyDescent="0.25">
      <c r="A95" s="121"/>
      <c r="B95" s="121"/>
      <c r="C95" s="121"/>
      <c r="D95" s="121"/>
      <c r="E95" s="121"/>
      <c r="F95" s="121"/>
      <c r="G95" s="121"/>
      <c r="H95" s="121"/>
      <c r="I95" s="121"/>
      <c r="J95" s="121"/>
      <c r="K95" s="121"/>
      <c r="L95" s="121"/>
      <c r="M95" s="121"/>
      <c r="N95" s="121"/>
      <c r="O95" s="121"/>
      <c r="P95" s="121"/>
      <c r="Q95" s="121"/>
      <c r="R95" s="121"/>
      <c r="S95" s="121"/>
      <c r="T95" s="121"/>
      <c r="U95" s="121"/>
      <c r="V95" s="121"/>
      <c r="W95" s="121"/>
      <c r="X95" s="121"/>
      <c r="Y95" s="121"/>
      <c r="Z95" s="121"/>
      <c r="AA95" s="121"/>
      <c r="AB95" s="121"/>
      <c r="AC95" s="121"/>
      <c r="AD95" s="121"/>
      <c r="AE95" s="121"/>
      <c r="AF95" s="121"/>
      <c r="AG95" s="121"/>
      <c r="AH95" s="121"/>
      <c r="AI95" s="121"/>
      <c r="AJ95" s="121"/>
      <c r="AK95" s="121"/>
      <c r="AL95" s="121"/>
      <c r="AM95" s="121"/>
      <c r="AN95" s="121"/>
    </row>
    <row r="96" spans="1:40" x14ac:dyDescent="0.25">
      <c r="A96" s="121"/>
      <c r="B96" s="121"/>
      <c r="C96" s="121"/>
      <c r="D96" s="121"/>
      <c r="E96" s="121"/>
      <c r="F96" s="121"/>
      <c r="G96" s="121"/>
      <c r="H96" s="121"/>
      <c r="I96" s="121"/>
      <c r="J96" s="121"/>
      <c r="K96" s="121"/>
      <c r="L96" s="121"/>
      <c r="M96" s="121"/>
      <c r="N96" s="121"/>
      <c r="O96" s="121"/>
      <c r="P96" s="121"/>
      <c r="Q96" s="121"/>
      <c r="R96" s="121"/>
      <c r="S96" s="121"/>
      <c r="T96" s="121"/>
      <c r="U96" s="121"/>
      <c r="V96" s="121"/>
      <c r="W96" s="121"/>
      <c r="X96" s="121"/>
      <c r="Y96" s="121"/>
      <c r="Z96" s="121"/>
      <c r="AA96" s="121"/>
      <c r="AB96" s="121"/>
      <c r="AC96" s="121"/>
      <c r="AD96" s="121"/>
      <c r="AE96" s="121"/>
      <c r="AF96" s="121"/>
      <c r="AG96" s="121"/>
      <c r="AH96" s="121"/>
      <c r="AI96" s="121"/>
      <c r="AJ96" s="121"/>
      <c r="AK96" s="121"/>
      <c r="AL96" s="121"/>
      <c r="AM96" s="121"/>
      <c r="AN96" s="121"/>
    </row>
    <row r="97" spans="1:40" x14ac:dyDescent="0.25">
      <c r="A97" s="121"/>
      <c r="B97" s="121"/>
      <c r="C97" s="121"/>
      <c r="D97" s="121"/>
      <c r="E97" s="121"/>
      <c r="F97" s="121"/>
      <c r="G97" s="121"/>
      <c r="H97" s="121"/>
      <c r="I97" s="121"/>
      <c r="J97" s="121"/>
      <c r="K97" s="121"/>
      <c r="L97" s="121"/>
      <c r="M97" s="121"/>
      <c r="N97" s="121"/>
      <c r="O97" s="121"/>
      <c r="P97" s="121"/>
      <c r="Q97" s="121"/>
      <c r="R97" s="121"/>
      <c r="S97" s="121"/>
      <c r="T97" s="121"/>
      <c r="U97" s="121"/>
      <c r="V97" s="121"/>
      <c r="W97" s="121"/>
      <c r="X97" s="121"/>
      <c r="Y97" s="121"/>
      <c r="Z97" s="121"/>
      <c r="AA97" s="121"/>
      <c r="AB97" s="121"/>
      <c r="AC97" s="121"/>
      <c r="AD97" s="121"/>
      <c r="AE97" s="121"/>
      <c r="AF97" s="121"/>
      <c r="AG97" s="121"/>
      <c r="AH97" s="121"/>
      <c r="AI97" s="121"/>
      <c r="AJ97" s="121"/>
      <c r="AK97" s="121"/>
      <c r="AL97" s="121"/>
      <c r="AM97" s="121"/>
      <c r="AN97" s="121"/>
    </row>
    <row r="98" spans="1:40" x14ac:dyDescent="0.25">
      <c r="A98" s="121"/>
      <c r="B98" s="121"/>
      <c r="C98" s="121"/>
      <c r="D98" s="121"/>
      <c r="E98" s="121"/>
      <c r="F98" s="121"/>
      <c r="G98" s="121"/>
      <c r="H98" s="121"/>
      <c r="I98" s="121"/>
      <c r="J98" s="121"/>
      <c r="K98" s="121"/>
      <c r="L98" s="121"/>
      <c r="M98" s="121"/>
      <c r="N98" s="121"/>
      <c r="O98" s="121"/>
      <c r="P98" s="121"/>
      <c r="Q98" s="121"/>
      <c r="R98" s="121"/>
      <c r="S98" s="121"/>
      <c r="T98" s="121"/>
      <c r="U98" s="121"/>
      <c r="V98" s="121"/>
      <c r="W98" s="121"/>
      <c r="X98" s="121"/>
      <c r="Y98" s="121"/>
      <c r="Z98" s="121"/>
      <c r="AA98" s="121"/>
      <c r="AB98" s="121"/>
      <c r="AC98" s="121"/>
      <c r="AD98" s="121"/>
      <c r="AE98" s="121"/>
      <c r="AF98" s="121"/>
      <c r="AG98" s="121"/>
      <c r="AH98" s="121"/>
      <c r="AI98" s="121"/>
      <c r="AJ98" s="121"/>
      <c r="AK98" s="121"/>
      <c r="AL98" s="121"/>
      <c r="AM98" s="121"/>
      <c r="AN98" s="121"/>
    </row>
    <row r="99" spans="1:40" x14ac:dyDescent="0.25">
      <c r="A99" s="121"/>
      <c r="B99" s="121"/>
      <c r="C99" s="121"/>
      <c r="D99" s="121"/>
      <c r="E99" s="121"/>
      <c r="F99" s="121"/>
      <c r="G99" s="121"/>
      <c r="H99" s="121"/>
      <c r="I99" s="121"/>
      <c r="J99" s="121"/>
      <c r="K99" s="121"/>
      <c r="L99" s="121"/>
      <c r="M99" s="121"/>
      <c r="N99" s="121"/>
      <c r="O99" s="121"/>
      <c r="P99" s="121"/>
      <c r="Q99" s="121"/>
      <c r="R99" s="121"/>
      <c r="S99" s="121"/>
      <c r="T99" s="121"/>
      <c r="U99" s="121"/>
      <c r="V99" s="121"/>
      <c r="W99" s="121"/>
      <c r="X99" s="121"/>
      <c r="Y99" s="121"/>
      <c r="Z99" s="121"/>
      <c r="AA99" s="121"/>
      <c r="AB99" s="121"/>
      <c r="AC99" s="121"/>
      <c r="AD99" s="121"/>
      <c r="AE99" s="121"/>
      <c r="AF99" s="121"/>
      <c r="AG99" s="121"/>
      <c r="AH99" s="121"/>
      <c r="AI99" s="121"/>
      <c r="AJ99" s="121"/>
      <c r="AK99" s="121"/>
      <c r="AL99" s="121"/>
      <c r="AM99" s="121"/>
      <c r="AN99" s="121"/>
    </row>
    <row r="100" spans="1:40" x14ac:dyDescent="0.25">
      <c r="A100" s="121"/>
      <c r="B100" s="121"/>
      <c r="C100" s="121"/>
      <c r="D100" s="121"/>
      <c r="E100" s="121"/>
      <c r="F100" s="121"/>
      <c r="G100" s="121"/>
      <c r="H100" s="121"/>
      <c r="I100" s="121"/>
      <c r="J100" s="121"/>
      <c r="K100" s="121"/>
      <c r="L100" s="121"/>
      <c r="M100" s="121"/>
      <c r="N100" s="121"/>
      <c r="O100" s="121"/>
      <c r="P100" s="121"/>
      <c r="Q100" s="121"/>
      <c r="R100" s="121"/>
      <c r="S100" s="121"/>
      <c r="T100" s="121"/>
      <c r="U100" s="121"/>
      <c r="V100" s="121"/>
      <c r="W100" s="121"/>
      <c r="X100" s="121"/>
      <c r="Y100" s="121"/>
      <c r="Z100" s="121"/>
      <c r="AA100" s="121"/>
      <c r="AB100" s="121"/>
      <c r="AC100" s="121"/>
      <c r="AD100" s="121"/>
      <c r="AE100" s="121"/>
      <c r="AF100" s="121"/>
      <c r="AG100" s="121"/>
      <c r="AH100" s="121"/>
      <c r="AI100" s="121"/>
      <c r="AJ100" s="121"/>
      <c r="AK100" s="121"/>
      <c r="AL100" s="121"/>
      <c r="AM100" s="121"/>
      <c r="AN100" s="121"/>
    </row>
    <row r="101" spans="1:40" x14ac:dyDescent="0.25">
      <c r="A101" s="121"/>
      <c r="B101" s="121"/>
      <c r="C101" s="121"/>
      <c r="D101" s="121"/>
      <c r="E101" s="121"/>
      <c r="F101" s="121"/>
      <c r="G101" s="121"/>
      <c r="H101" s="121"/>
      <c r="I101" s="121"/>
      <c r="J101" s="121"/>
      <c r="K101" s="121"/>
      <c r="L101" s="121"/>
      <c r="M101" s="121"/>
      <c r="N101" s="121"/>
      <c r="O101" s="121"/>
      <c r="P101" s="121"/>
      <c r="Q101" s="121"/>
      <c r="R101" s="121"/>
      <c r="S101" s="121"/>
      <c r="T101" s="121"/>
      <c r="U101" s="121"/>
      <c r="V101" s="121"/>
      <c r="W101" s="121"/>
      <c r="X101" s="121"/>
      <c r="Y101" s="121"/>
      <c r="Z101" s="121"/>
      <c r="AA101" s="121"/>
      <c r="AB101" s="121"/>
      <c r="AC101" s="121"/>
      <c r="AD101" s="121"/>
      <c r="AE101" s="121"/>
      <c r="AF101" s="121"/>
      <c r="AG101" s="121"/>
      <c r="AH101" s="121"/>
      <c r="AI101" s="121"/>
      <c r="AJ101" s="121"/>
      <c r="AK101" s="121"/>
      <c r="AL101" s="121"/>
      <c r="AM101" s="121"/>
      <c r="AN101" s="121"/>
    </row>
    <row r="102" spans="1:40" x14ac:dyDescent="0.25">
      <c r="A102" s="121"/>
      <c r="B102" s="121"/>
      <c r="C102" s="121"/>
      <c r="D102" s="121"/>
      <c r="E102" s="121"/>
      <c r="F102" s="121"/>
      <c r="G102" s="121"/>
      <c r="H102" s="121"/>
      <c r="I102" s="121"/>
      <c r="J102" s="121"/>
      <c r="K102" s="121"/>
      <c r="L102" s="121"/>
      <c r="M102" s="121"/>
      <c r="N102" s="121"/>
      <c r="O102" s="121"/>
      <c r="P102" s="121"/>
      <c r="Q102" s="121"/>
      <c r="R102" s="121"/>
      <c r="S102" s="121"/>
      <c r="T102" s="121"/>
      <c r="U102" s="121"/>
      <c r="V102" s="121"/>
      <c r="W102" s="121"/>
      <c r="X102" s="121"/>
      <c r="Y102" s="121"/>
      <c r="Z102" s="121"/>
      <c r="AA102" s="121"/>
      <c r="AB102" s="121"/>
      <c r="AC102" s="121"/>
      <c r="AD102" s="121"/>
      <c r="AE102" s="121"/>
      <c r="AF102" s="121"/>
      <c r="AG102" s="121"/>
      <c r="AH102" s="121"/>
      <c r="AI102" s="121"/>
      <c r="AJ102" s="121"/>
      <c r="AK102" s="121"/>
      <c r="AL102" s="121"/>
      <c r="AM102" s="121"/>
      <c r="AN102" s="121"/>
    </row>
    <row r="103" spans="1:40" x14ac:dyDescent="0.25">
      <c r="A103" s="121"/>
      <c r="B103" s="121"/>
      <c r="C103" s="121"/>
      <c r="D103" s="121"/>
      <c r="E103" s="121"/>
      <c r="F103" s="121"/>
      <c r="G103" s="121"/>
      <c r="H103" s="121"/>
      <c r="I103" s="121"/>
      <c r="J103" s="121"/>
      <c r="K103" s="121"/>
      <c r="L103" s="121"/>
      <c r="M103" s="121"/>
      <c r="N103" s="121"/>
      <c r="O103" s="121"/>
      <c r="P103" s="121"/>
      <c r="Q103" s="121"/>
      <c r="R103" s="121"/>
      <c r="S103" s="121"/>
      <c r="T103" s="121"/>
      <c r="U103" s="121"/>
      <c r="V103" s="121"/>
      <c r="W103" s="121"/>
      <c r="X103" s="121"/>
      <c r="Y103" s="121"/>
      <c r="Z103" s="121"/>
      <c r="AA103" s="121"/>
      <c r="AB103" s="121"/>
      <c r="AC103" s="121"/>
      <c r="AD103" s="121"/>
      <c r="AE103" s="121"/>
      <c r="AF103" s="121"/>
      <c r="AG103" s="121"/>
      <c r="AH103" s="121"/>
      <c r="AI103" s="121"/>
      <c r="AJ103" s="121"/>
      <c r="AK103" s="121"/>
      <c r="AL103" s="121"/>
      <c r="AM103" s="121"/>
      <c r="AN103" s="121"/>
    </row>
    <row r="104" spans="1:40" x14ac:dyDescent="0.25">
      <c r="A104" s="121"/>
      <c r="B104" s="121"/>
      <c r="C104" s="121"/>
      <c r="D104" s="121"/>
      <c r="E104" s="121"/>
      <c r="F104" s="121"/>
      <c r="G104" s="121"/>
      <c r="H104" s="121"/>
      <c r="I104" s="121"/>
      <c r="J104" s="121"/>
      <c r="K104" s="121"/>
      <c r="L104" s="121"/>
      <c r="M104" s="121"/>
      <c r="N104" s="121"/>
      <c r="O104" s="121"/>
      <c r="P104" s="121"/>
      <c r="Q104" s="121"/>
      <c r="R104" s="121"/>
      <c r="S104" s="121"/>
      <c r="T104" s="121"/>
      <c r="U104" s="121"/>
      <c r="V104" s="121"/>
      <c r="W104" s="121"/>
      <c r="X104" s="121"/>
      <c r="Y104" s="121"/>
      <c r="Z104" s="121"/>
      <c r="AA104" s="121"/>
      <c r="AB104" s="121"/>
      <c r="AC104" s="121"/>
      <c r="AD104" s="121"/>
      <c r="AE104" s="121"/>
      <c r="AF104" s="121"/>
      <c r="AG104" s="121"/>
      <c r="AH104" s="121"/>
      <c r="AI104" s="121"/>
      <c r="AJ104" s="121"/>
      <c r="AK104" s="121"/>
      <c r="AL104" s="121"/>
      <c r="AM104" s="121"/>
      <c r="AN104" s="121"/>
    </row>
    <row r="105" spans="1:40" x14ac:dyDescent="0.25">
      <c r="A105" s="121"/>
      <c r="B105" s="121"/>
      <c r="C105" s="121"/>
      <c r="D105" s="121"/>
      <c r="E105" s="121"/>
      <c r="F105" s="121"/>
      <c r="G105" s="121"/>
      <c r="H105" s="121"/>
      <c r="I105" s="121"/>
      <c r="J105" s="121"/>
      <c r="K105" s="121"/>
      <c r="L105" s="121"/>
      <c r="M105" s="121"/>
      <c r="N105" s="121"/>
      <c r="O105" s="121"/>
      <c r="P105" s="121"/>
      <c r="Q105" s="121"/>
      <c r="R105" s="121"/>
      <c r="S105" s="121"/>
      <c r="T105" s="121"/>
      <c r="U105" s="121"/>
      <c r="V105" s="121"/>
      <c r="W105" s="121"/>
      <c r="X105" s="121"/>
      <c r="Y105" s="121"/>
      <c r="Z105" s="121"/>
      <c r="AA105" s="121"/>
      <c r="AB105" s="121"/>
      <c r="AC105" s="121"/>
      <c r="AD105" s="121"/>
      <c r="AE105" s="121"/>
      <c r="AF105" s="121"/>
      <c r="AG105" s="121"/>
      <c r="AH105" s="121"/>
      <c r="AI105" s="121"/>
      <c r="AJ105" s="121"/>
      <c r="AK105" s="121"/>
      <c r="AL105" s="121"/>
      <c r="AM105" s="121"/>
      <c r="AN105" s="121"/>
    </row>
    <row r="106" spans="1:40" x14ac:dyDescent="0.25">
      <c r="A106" s="121"/>
      <c r="B106" s="121"/>
      <c r="C106" s="121"/>
      <c r="D106" s="121"/>
      <c r="E106" s="121"/>
      <c r="F106" s="121"/>
      <c r="G106" s="121"/>
      <c r="H106" s="121"/>
      <c r="I106" s="121"/>
      <c r="J106" s="121"/>
      <c r="K106" s="121"/>
      <c r="L106" s="121"/>
      <c r="M106" s="121"/>
      <c r="N106" s="121"/>
      <c r="O106" s="121"/>
      <c r="P106" s="121"/>
      <c r="Q106" s="121"/>
      <c r="R106" s="121"/>
      <c r="S106" s="121"/>
      <c r="T106" s="121"/>
      <c r="U106" s="121"/>
      <c r="V106" s="121"/>
      <c r="W106" s="121"/>
      <c r="X106" s="121"/>
      <c r="Y106" s="121"/>
      <c r="Z106" s="121"/>
      <c r="AA106" s="121"/>
      <c r="AB106" s="121"/>
      <c r="AC106" s="121"/>
      <c r="AD106" s="121"/>
      <c r="AE106" s="121"/>
      <c r="AF106" s="121"/>
      <c r="AG106" s="121"/>
      <c r="AH106" s="121"/>
      <c r="AI106" s="121"/>
      <c r="AJ106" s="121"/>
      <c r="AK106" s="121"/>
      <c r="AL106" s="121"/>
      <c r="AM106" s="121"/>
      <c r="AN106" s="121"/>
    </row>
    <row r="107" spans="1:40" x14ac:dyDescent="0.25">
      <c r="A107" s="121"/>
      <c r="B107" s="121"/>
      <c r="C107" s="121"/>
      <c r="D107" s="121"/>
      <c r="E107" s="121"/>
      <c r="F107" s="121"/>
      <c r="G107" s="121"/>
      <c r="H107" s="121"/>
      <c r="I107" s="121"/>
      <c r="J107" s="121"/>
      <c r="K107" s="121"/>
      <c r="L107" s="121"/>
      <c r="M107" s="121"/>
      <c r="N107" s="121"/>
      <c r="O107" s="121"/>
      <c r="P107" s="121"/>
      <c r="Q107" s="121"/>
      <c r="R107" s="121"/>
      <c r="S107" s="121"/>
      <c r="T107" s="121"/>
      <c r="U107" s="121"/>
      <c r="V107" s="121"/>
      <c r="W107" s="121"/>
      <c r="X107" s="121"/>
      <c r="Y107" s="121"/>
      <c r="Z107" s="121"/>
      <c r="AA107" s="121"/>
      <c r="AB107" s="121"/>
      <c r="AC107" s="121"/>
      <c r="AD107" s="121"/>
      <c r="AE107" s="121"/>
      <c r="AF107" s="121"/>
      <c r="AG107" s="121"/>
      <c r="AH107" s="121"/>
      <c r="AI107" s="121"/>
      <c r="AJ107" s="121"/>
      <c r="AK107" s="121"/>
      <c r="AL107" s="121"/>
      <c r="AM107" s="121"/>
      <c r="AN107" s="121"/>
    </row>
    <row r="108" spans="1:40" x14ac:dyDescent="0.25">
      <c r="A108" s="121"/>
      <c r="B108" s="121"/>
      <c r="C108" s="121"/>
      <c r="D108" s="121"/>
      <c r="E108" s="121"/>
      <c r="F108" s="121"/>
      <c r="G108" s="121"/>
      <c r="H108" s="121"/>
      <c r="I108" s="121"/>
      <c r="J108" s="121"/>
      <c r="K108" s="121"/>
      <c r="L108" s="121"/>
      <c r="M108" s="121"/>
      <c r="N108" s="121"/>
      <c r="O108" s="121"/>
      <c r="P108" s="121"/>
      <c r="Q108" s="121"/>
      <c r="R108" s="121"/>
      <c r="S108" s="121"/>
      <c r="T108" s="121"/>
      <c r="U108" s="121"/>
      <c r="V108" s="121"/>
      <c r="W108" s="121"/>
      <c r="X108" s="121"/>
      <c r="Y108" s="121"/>
      <c r="Z108" s="121"/>
      <c r="AA108" s="121"/>
      <c r="AB108" s="121"/>
      <c r="AC108" s="121"/>
      <c r="AD108" s="121"/>
      <c r="AE108" s="121"/>
      <c r="AF108" s="121"/>
      <c r="AG108" s="121"/>
      <c r="AH108" s="121"/>
      <c r="AI108" s="121"/>
      <c r="AJ108" s="121"/>
      <c r="AK108" s="121"/>
      <c r="AL108" s="121"/>
      <c r="AM108" s="121"/>
      <c r="AN108" s="121"/>
    </row>
    <row r="109" spans="1:40" x14ac:dyDescent="0.25">
      <c r="A109" s="121"/>
      <c r="B109" s="121"/>
      <c r="C109" s="121"/>
      <c r="D109" s="121"/>
      <c r="E109" s="121"/>
      <c r="F109" s="121"/>
      <c r="G109" s="121"/>
      <c r="H109" s="121"/>
      <c r="I109" s="121"/>
      <c r="J109" s="121"/>
      <c r="K109" s="121"/>
      <c r="L109" s="121"/>
      <c r="M109" s="121"/>
      <c r="N109" s="121"/>
      <c r="O109" s="121"/>
      <c r="P109" s="121"/>
      <c r="Q109" s="121"/>
      <c r="R109" s="121"/>
      <c r="S109" s="121"/>
      <c r="T109" s="121"/>
      <c r="U109" s="121"/>
      <c r="V109" s="121"/>
      <c r="W109" s="121"/>
      <c r="X109" s="121"/>
      <c r="Y109" s="121"/>
      <c r="Z109" s="121"/>
      <c r="AA109" s="121"/>
      <c r="AB109" s="121"/>
      <c r="AC109" s="121"/>
      <c r="AD109" s="121"/>
      <c r="AE109" s="121"/>
      <c r="AF109" s="121"/>
      <c r="AG109" s="121"/>
      <c r="AH109" s="121"/>
      <c r="AI109" s="121"/>
      <c r="AJ109" s="121"/>
      <c r="AK109" s="121"/>
      <c r="AL109" s="121"/>
      <c r="AM109" s="121"/>
      <c r="AN109" s="121"/>
    </row>
    <row r="110" spans="1:40" x14ac:dyDescent="0.25">
      <c r="A110" s="121"/>
      <c r="B110" s="121"/>
      <c r="C110" s="121"/>
      <c r="D110" s="121"/>
      <c r="E110" s="121"/>
      <c r="F110" s="121"/>
      <c r="G110" s="121"/>
      <c r="H110" s="121"/>
      <c r="I110" s="121"/>
      <c r="J110" s="121"/>
      <c r="K110" s="121"/>
      <c r="L110" s="121"/>
      <c r="M110" s="121"/>
      <c r="N110" s="121"/>
      <c r="O110" s="121"/>
      <c r="P110" s="121"/>
      <c r="Q110" s="121"/>
      <c r="R110" s="121"/>
      <c r="S110" s="121"/>
      <c r="T110" s="121"/>
      <c r="U110" s="121"/>
      <c r="V110" s="121"/>
      <c r="W110" s="121"/>
      <c r="X110" s="121"/>
      <c r="Y110" s="121"/>
      <c r="Z110" s="121"/>
      <c r="AA110" s="121"/>
      <c r="AB110" s="121"/>
      <c r="AC110" s="121"/>
      <c r="AD110" s="121"/>
      <c r="AE110" s="121"/>
      <c r="AF110" s="121"/>
      <c r="AG110" s="121"/>
      <c r="AH110" s="121"/>
      <c r="AI110" s="121"/>
      <c r="AJ110" s="121"/>
      <c r="AK110" s="121"/>
      <c r="AL110" s="121"/>
      <c r="AM110" s="121"/>
      <c r="AN110" s="121"/>
    </row>
    <row r="111" spans="1:40" x14ac:dyDescent="0.25">
      <c r="A111" s="121"/>
      <c r="B111" s="121"/>
      <c r="C111" s="121"/>
      <c r="D111" s="121"/>
      <c r="E111" s="121"/>
      <c r="F111" s="121"/>
      <c r="G111" s="121"/>
      <c r="H111" s="121"/>
      <c r="I111" s="121"/>
      <c r="J111" s="121"/>
      <c r="K111" s="121"/>
      <c r="L111" s="121"/>
      <c r="M111" s="121"/>
      <c r="N111" s="121"/>
      <c r="O111" s="121"/>
      <c r="P111" s="121"/>
      <c r="Q111" s="121"/>
      <c r="R111" s="121"/>
      <c r="S111" s="121"/>
      <c r="T111" s="121"/>
      <c r="U111" s="121"/>
      <c r="V111" s="121"/>
      <c r="W111" s="121"/>
      <c r="X111" s="121"/>
      <c r="Y111" s="121"/>
      <c r="Z111" s="121"/>
      <c r="AA111" s="121"/>
      <c r="AB111" s="121"/>
      <c r="AC111" s="121"/>
      <c r="AD111" s="121"/>
      <c r="AE111" s="121"/>
      <c r="AF111" s="121"/>
      <c r="AG111" s="121"/>
      <c r="AH111" s="121"/>
      <c r="AI111" s="121"/>
      <c r="AJ111" s="121"/>
      <c r="AK111" s="121"/>
      <c r="AL111" s="121"/>
      <c r="AM111" s="121"/>
      <c r="AN111" s="121"/>
    </row>
    <row r="112" spans="1:40" x14ac:dyDescent="0.25">
      <c r="A112" s="121"/>
      <c r="B112" s="121"/>
      <c r="C112" s="121"/>
      <c r="D112" s="121"/>
      <c r="E112" s="121"/>
      <c r="F112" s="121"/>
      <c r="G112" s="121"/>
      <c r="H112" s="121"/>
      <c r="I112" s="121"/>
      <c r="J112" s="121"/>
      <c r="K112" s="121"/>
      <c r="L112" s="121"/>
      <c r="M112" s="121"/>
      <c r="N112" s="121"/>
      <c r="O112" s="121"/>
      <c r="P112" s="121"/>
      <c r="Q112" s="121"/>
      <c r="R112" s="121"/>
      <c r="S112" s="121"/>
      <c r="T112" s="121"/>
      <c r="U112" s="121"/>
      <c r="V112" s="121"/>
      <c r="W112" s="121"/>
      <c r="X112" s="121"/>
      <c r="Y112" s="121"/>
      <c r="Z112" s="121"/>
      <c r="AA112" s="121"/>
      <c r="AB112" s="121"/>
      <c r="AC112" s="121"/>
      <c r="AD112" s="121"/>
      <c r="AE112" s="121"/>
      <c r="AF112" s="121"/>
      <c r="AG112" s="121"/>
      <c r="AH112" s="121"/>
      <c r="AI112" s="121"/>
      <c r="AJ112" s="121"/>
      <c r="AK112" s="121"/>
      <c r="AL112" s="121"/>
      <c r="AM112" s="121"/>
      <c r="AN112" s="121"/>
    </row>
    <row r="113" spans="2:40" x14ac:dyDescent="0.25">
      <c r="B113" s="121"/>
      <c r="C113" s="121"/>
      <c r="D113" s="121"/>
      <c r="E113" s="121"/>
      <c r="F113" s="121"/>
      <c r="G113" s="121"/>
      <c r="H113" s="121"/>
      <c r="I113" s="121"/>
      <c r="J113" s="121"/>
      <c r="K113" s="121"/>
      <c r="L113" s="121"/>
      <c r="M113" s="121"/>
      <c r="N113" s="121"/>
      <c r="O113" s="121"/>
      <c r="P113" s="121"/>
      <c r="Q113" s="121"/>
      <c r="R113" s="121"/>
      <c r="S113" s="121"/>
      <c r="T113" s="121"/>
      <c r="U113" s="121"/>
      <c r="V113" s="121"/>
      <c r="W113" s="121"/>
      <c r="X113" s="121"/>
      <c r="Y113" s="121"/>
      <c r="Z113" s="121"/>
      <c r="AA113" s="121"/>
      <c r="AB113" s="121"/>
      <c r="AC113" s="121"/>
      <c r="AD113" s="121"/>
      <c r="AE113" s="121"/>
      <c r="AF113" s="121"/>
      <c r="AG113" s="121"/>
      <c r="AH113" s="121"/>
      <c r="AI113" s="121"/>
      <c r="AJ113" s="121"/>
      <c r="AK113" s="121"/>
      <c r="AL113" s="121"/>
      <c r="AM113" s="121"/>
      <c r="AN113" s="121"/>
    </row>
    <row r="114" spans="2:40" x14ac:dyDescent="0.25">
      <c r="B114" s="121"/>
      <c r="C114" s="121"/>
      <c r="D114" s="121"/>
      <c r="E114" s="121"/>
      <c r="F114" s="121"/>
      <c r="G114" s="121"/>
      <c r="H114" s="121"/>
      <c r="I114" s="121"/>
      <c r="J114" s="121"/>
      <c r="K114" s="121"/>
      <c r="L114" s="121"/>
      <c r="M114" s="121"/>
      <c r="N114" s="121"/>
      <c r="O114" s="121"/>
      <c r="P114" s="121"/>
      <c r="Q114" s="121"/>
      <c r="R114" s="121"/>
      <c r="S114" s="121"/>
      <c r="T114" s="121"/>
      <c r="U114" s="121"/>
      <c r="V114" s="121"/>
      <c r="W114" s="121"/>
      <c r="X114" s="121"/>
      <c r="Y114" s="121"/>
      <c r="Z114" s="121"/>
      <c r="AA114" s="121"/>
      <c r="AB114" s="121"/>
      <c r="AC114" s="121"/>
      <c r="AD114" s="121"/>
      <c r="AE114" s="121"/>
      <c r="AF114" s="121"/>
      <c r="AG114" s="121"/>
      <c r="AH114" s="121"/>
      <c r="AI114" s="121"/>
      <c r="AJ114" s="121"/>
      <c r="AK114" s="121"/>
      <c r="AL114" s="121"/>
      <c r="AM114" s="121"/>
      <c r="AN114" s="121"/>
    </row>
    <row r="115" spans="2:40" x14ac:dyDescent="0.25">
      <c r="B115" s="121"/>
      <c r="C115" s="121"/>
      <c r="D115" s="121"/>
      <c r="E115" s="121"/>
      <c r="F115" s="121"/>
      <c r="G115" s="121"/>
      <c r="H115" s="121"/>
      <c r="I115" s="121"/>
      <c r="J115" s="121"/>
      <c r="K115" s="121"/>
      <c r="L115" s="121"/>
      <c r="M115" s="121"/>
      <c r="N115" s="121"/>
      <c r="O115" s="121"/>
      <c r="P115" s="121"/>
      <c r="Q115" s="121"/>
      <c r="R115" s="121"/>
      <c r="S115" s="121"/>
      <c r="T115" s="121"/>
      <c r="U115" s="121"/>
      <c r="V115" s="121"/>
      <c r="W115" s="121"/>
      <c r="X115" s="121"/>
      <c r="Y115" s="121"/>
      <c r="Z115" s="121"/>
      <c r="AA115" s="121"/>
      <c r="AB115" s="121"/>
      <c r="AC115" s="121"/>
      <c r="AD115" s="121"/>
      <c r="AE115" s="121"/>
      <c r="AF115" s="121"/>
      <c r="AG115" s="121"/>
      <c r="AH115" s="121"/>
      <c r="AI115" s="121"/>
      <c r="AJ115" s="121"/>
      <c r="AK115" s="121"/>
      <c r="AL115" s="121"/>
      <c r="AM115" s="121"/>
      <c r="AN115" s="121"/>
    </row>
    <row r="116" spans="2:40" x14ac:dyDescent="0.25">
      <c r="B116" s="121"/>
      <c r="C116" s="121"/>
      <c r="D116" s="121"/>
      <c r="E116" s="121"/>
      <c r="F116" s="121"/>
      <c r="G116" s="121"/>
      <c r="H116" s="121"/>
      <c r="I116" s="121"/>
      <c r="J116" s="121"/>
      <c r="K116" s="121"/>
      <c r="L116" s="121"/>
      <c r="M116" s="121"/>
      <c r="N116" s="121"/>
      <c r="O116" s="121"/>
      <c r="P116" s="121"/>
      <c r="Q116" s="121"/>
      <c r="R116" s="121"/>
      <c r="S116" s="121"/>
      <c r="T116" s="121"/>
      <c r="U116" s="121"/>
      <c r="V116" s="121"/>
      <c r="W116" s="121"/>
      <c r="X116" s="121"/>
      <c r="Y116" s="121"/>
      <c r="Z116" s="121"/>
      <c r="AA116" s="121"/>
      <c r="AB116" s="121"/>
      <c r="AC116" s="121"/>
      <c r="AD116" s="121"/>
      <c r="AE116" s="121"/>
      <c r="AF116" s="121"/>
      <c r="AG116" s="121"/>
      <c r="AH116" s="121"/>
      <c r="AI116" s="121"/>
      <c r="AJ116" s="121"/>
      <c r="AK116" s="121"/>
      <c r="AL116" s="121"/>
      <c r="AM116" s="121"/>
      <c r="AN116" s="121"/>
    </row>
    <row r="117" spans="2:40" x14ac:dyDescent="0.25">
      <c r="B117" s="121"/>
      <c r="C117" s="121"/>
      <c r="D117" s="121"/>
      <c r="E117" s="121"/>
      <c r="F117" s="121"/>
      <c r="G117" s="121"/>
      <c r="H117" s="121"/>
      <c r="I117" s="121"/>
      <c r="J117" s="121"/>
      <c r="K117" s="121"/>
      <c r="L117" s="121"/>
      <c r="M117" s="121"/>
      <c r="N117" s="121"/>
      <c r="O117" s="121"/>
      <c r="P117" s="121"/>
      <c r="Q117" s="121"/>
      <c r="R117" s="121"/>
      <c r="S117" s="121"/>
      <c r="T117" s="121"/>
      <c r="U117" s="121"/>
      <c r="V117" s="121"/>
      <c r="W117" s="121"/>
      <c r="X117" s="121"/>
      <c r="Y117" s="121"/>
      <c r="Z117" s="121"/>
      <c r="AA117" s="121"/>
      <c r="AB117" s="121"/>
      <c r="AC117" s="121"/>
      <c r="AD117" s="121"/>
      <c r="AE117" s="121"/>
      <c r="AF117" s="121"/>
      <c r="AG117" s="121"/>
      <c r="AH117" s="121"/>
      <c r="AI117" s="121"/>
      <c r="AJ117" s="121"/>
      <c r="AK117" s="121"/>
      <c r="AL117" s="121"/>
      <c r="AM117" s="121"/>
      <c r="AN117" s="121"/>
    </row>
    <row r="118" spans="2:40" x14ac:dyDescent="0.25">
      <c r="B118" s="121"/>
      <c r="C118" s="121"/>
      <c r="D118" s="121"/>
      <c r="E118" s="121"/>
      <c r="F118" s="121"/>
      <c r="G118" s="121"/>
      <c r="H118" s="121"/>
      <c r="I118" s="121"/>
      <c r="J118" s="121"/>
      <c r="K118" s="121"/>
      <c r="L118" s="121"/>
      <c r="M118" s="121"/>
      <c r="N118" s="121"/>
      <c r="O118" s="121"/>
      <c r="P118" s="121"/>
      <c r="Q118" s="121"/>
      <c r="R118" s="121"/>
      <c r="S118" s="121"/>
      <c r="T118" s="121"/>
      <c r="U118" s="121"/>
      <c r="V118" s="121"/>
      <c r="W118" s="121"/>
      <c r="X118" s="121"/>
      <c r="Y118" s="121"/>
      <c r="Z118" s="121"/>
      <c r="AA118" s="121"/>
      <c r="AB118" s="121"/>
      <c r="AC118" s="121"/>
      <c r="AD118" s="121"/>
      <c r="AE118" s="121"/>
      <c r="AF118" s="121"/>
      <c r="AG118" s="121"/>
      <c r="AH118" s="121"/>
      <c r="AI118" s="121"/>
      <c r="AJ118" s="121"/>
      <c r="AK118" s="121"/>
      <c r="AL118" s="121"/>
      <c r="AM118" s="121"/>
      <c r="AN118" s="121"/>
    </row>
    <row r="119" spans="2:40" x14ac:dyDescent="0.25">
      <c r="B119" s="121"/>
      <c r="C119" s="121"/>
      <c r="D119" s="121"/>
      <c r="E119" s="121"/>
      <c r="F119" s="121"/>
      <c r="G119" s="121"/>
      <c r="H119" s="121"/>
      <c r="I119" s="121"/>
      <c r="J119" s="121"/>
      <c r="K119" s="121"/>
      <c r="L119" s="121"/>
      <c r="M119" s="121"/>
      <c r="N119" s="121"/>
      <c r="O119" s="121"/>
      <c r="P119" s="121"/>
      <c r="Q119" s="121"/>
      <c r="R119" s="121"/>
      <c r="S119" s="121"/>
      <c r="T119" s="121"/>
      <c r="U119" s="121"/>
      <c r="V119" s="121"/>
      <c r="W119" s="121"/>
      <c r="X119" s="121"/>
      <c r="Y119" s="121"/>
      <c r="Z119" s="121"/>
      <c r="AA119" s="121"/>
      <c r="AB119" s="121"/>
      <c r="AC119" s="121"/>
      <c r="AD119" s="121"/>
      <c r="AE119" s="121"/>
      <c r="AF119" s="121"/>
      <c r="AG119" s="121"/>
      <c r="AH119" s="121"/>
      <c r="AI119" s="121"/>
      <c r="AJ119" s="121"/>
      <c r="AK119" s="121"/>
      <c r="AL119" s="121"/>
      <c r="AM119" s="121"/>
      <c r="AN119" s="121"/>
    </row>
    <row r="120" spans="2:40" x14ac:dyDescent="0.25">
      <c r="B120" s="121"/>
      <c r="C120" s="121"/>
      <c r="D120" s="121"/>
      <c r="E120" s="121"/>
      <c r="F120" s="121"/>
      <c r="G120" s="121"/>
      <c r="H120" s="121"/>
      <c r="I120" s="121"/>
      <c r="J120" s="121"/>
      <c r="K120" s="121"/>
      <c r="L120" s="121"/>
      <c r="M120" s="121"/>
      <c r="N120" s="121"/>
      <c r="O120" s="121"/>
      <c r="P120" s="121"/>
      <c r="Q120" s="121"/>
      <c r="R120" s="121"/>
      <c r="S120" s="121"/>
      <c r="T120" s="121"/>
      <c r="U120" s="121"/>
      <c r="V120" s="121"/>
      <c r="W120" s="121"/>
      <c r="X120" s="121"/>
      <c r="Y120" s="121"/>
      <c r="Z120" s="121"/>
      <c r="AA120" s="121"/>
      <c r="AB120" s="121"/>
      <c r="AC120" s="121"/>
      <c r="AD120" s="121"/>
      <c r="AE120" s="121"/>
      <c r="AF120" s="121"/>
      <c r="AG120" s="121"/>
      <c r="AH120" s="121"/>
      <c r="AI120" s="121"/>
      <c r="AJ120" s="121"/>
      <c r="AK120" s="121"/>
      <c r="AL120" s="121"/>
      <c r="AM120" s="121"/>
      <c r="AN120" s="121"/>
    </row>
    <row r="121" spans="2:40" x14ac:dyDescent="0.25">
      <c r="B121" s="121"/>
      <c r="C121" s="121"/>
      <c r="D121" s="121"/>
      <c r="E121" s="121"/>
      <c r="F121" s="121"/>
      <c r="G121" s="121"/>
      <c r="H121" s="121"/>
      <c r="I121" s="121"/>
      <c r="J121" s="121"/>
      <c r="K121" s="121"/>
      <c r="L121" s="121"/>
      <c r="M121" s="121"/>
      <c r="N121" s="121"/>
      <c r="O121" s="121"/>
      <c r="P121" s="121"/>
      <c r="Q121" s="121"/>
      <c r="R121" s="121"/>
      <c r="S121" s="121"/>
      <c r="T121" s="121"/>
      <c r="U121" s="121"/>
      <c r="V121" s="121"/>
      <c r="W121" s="121"/>
      <c r="X121" s="121"/>
      <c r="Y121" s="121"/>
      <c r="Z121" s="121"/>
      <c r="AA121" s="121"/>
      <c r="AB121" s="121"/>
      <c r="AC121" s="121"/>
      <c r="AD121" s="121"/>
      <c r="AE121" s="121"/>
      <c r="AF121" s="121"/>
      <c r="AG121" s="121"/>
      <c r="AH121" s="121"/>
      <c r="AI121" s="121"/>
      <c r="AJ121" s="121"/>
      <c r="AK121" s="121"/>
      <c r="AL121" s="121"/>
      <c r="AM121" s="121"/>
      <c r="AN121" s="121"/>
    </row>
    <row r="122" spans="2:40" x14ac:dyDescent="0.25">
      <c r="B122" s="121"/>
      <c r="C122" s="121"/>
      <c r="D122" s="121"/>
      <c r="E122" s="121"/>
      <c r="F122" s="121"/>
      <c r="G122" s="121"/>
      <c r="H122" s="121"/>
      <c r="I122" s="121"/>
      <c r="J122" s="121"/>
      <c r="K122" s="121"/>
      <c r="L122" s="121"/>
      <c r="M122" s="121"/>
      <c r="N122" s="121"/>
      <c r="O122" s="121"/>
      <c r="P122" s="121"/>
      <c r="Q122" s="121"/>
      <c r="R122" s="121"/>
      <c r="S122" s="121"/>
      <c r="T122" s="121"/>
      <c r="U122" s="121"/>
      <c r="V122" s="121"/>
      <c r="W122" s="121"/>
      <c r="X122" s="121"/>
      <c r="Y122" s="121"/>
      <c r="Z122" s="121"/>
      <c r="AA122" s="121"/>
      <c r="AB122" s="121"/>
      <c r="AC122" s="121"/>
      <c r="AD122" s="121"/>
      <c r="AE122" s="121"/>
      <c r="AF122" s="121"/>
      <c r="AG122" s="121"/>
      <c r="AH122" s="121"/>
      <c r="AI122" s="121"/>
      <c r="AJ122" s="121"/>
      <c r="AK122" s="121"/>
      <c r="AL122" s="121"/>
      <c r="AM122" s="121"/>
      <c r="AN122" s="121"/>
    </row>
    <row r="123" spans="2:40" x14ac:dyDescent="0.25">
      <c r="B123" s="121"/>
      <c r="C123" s="121"/>
      <c r="D123" s="121"/>
      <c r="E123" s="121"/>
      <c r="F123" s="121"/>
      <c r="G123" s="121"/>
      <c r="H123" s="121"/>
      <c r="I123" s="121"/>
      <c r="J123" s="121"/>
      <c r="K123" s="121"/>
      <c r="L123" s="121"/>
      <c r="M123" s="121"/>
      <c r="N123" s="121"/>
      <c r="O123" s="121"/>
      <c r="P123" s="121"/>
      <c r="Q123" s="121"/>
      <c r="R123" s="121"/>
      <c r="S123" s="121"/>
      <c r="T123" s="121"/>
      <c r="U123" s="121"/>
      <c r="V123" s="121"/>
      <c r="W123" s="121"/>
      <c r="X123" s="121"/>
      <c r="Y123" s="121"/>
      <c r="Z123" s="121"/>
      <c r="AA123" s="121"/>
      <c r="AB123" s="121"/>
      <c r="AC123" s="121"/>
      <c r="AD123" s="121"/>
      <c r="AE123" s="121"/>
      <c r="AF123" s="121"/>
      <c r="AG123" s="121"/>
      <c r="AH123" s="121"/>
      <c r="AI123" s="121"/>
      <c r="AJ123" s="121"/>
      <c r="AK123" s="121"/>
      <c r="AL123" s="121"/>
      <c r="AM123" s="121"/>
      <c r="AN123" s="121"/>
    </row>
    <row r="124" spans="2:40" x14ac:dyDescent="0.25">
      <c r="B124" s="121"/>
      <c r="C124" s="121"/>
      <c r="D124" s="121"/>
      <c r="E124" s="121"/>
      <c r="F124" s="121"/>
      <c r="G124" s="121"/>
      <c r="H124" s="121"/>
      <c r="I124" s="121"/>
      <c r="J124" s="121"/>
      <c r="K124" s="121"/>
      <c r="L124" s="121"/>
      <c r="M124" s="121"/>
      <c r="N124" s="121"/>
      <c r="O124" s="121"/>
      <c r="P124" s="121"/>
      <c r="Q124" s="121"/>
      <c r="R124" s="121"/>
      <c r="S124" s="121"/>
      <c r="T124" s="121"/>
      <c r="U124" s="121"/>
      <c r="V124" s="121"/>
      <c r="W124" s="121"/>
      <c r="X124" s="121"/>
      <c r="Y124" s="121"/>
      <c r="Z124" s="121"/>
      <c r="AA124" s="121"/>
      <c r="AB124" s="121"/>
      <c r="AC124" s="121"/>
      <c r="AD124" s="121"/>
      <c r="AE124" s="121"/>
      <c r="AF124" s="121"/>
      <c r="AG124" s="121"/>
      <c r="AH124" s="121"/>
      <c r="AI124" s="121"/>
      <c r="AJ124" s="121"/>
      <c r="AK124" s="121"/>
      <c r="AL124" s="121"/>
      <c r="AM124" s="121"/>
      <c r="AN124" s="121"/>
    </row>
    <row r="125" spans="2:40" x14ac:dyDescent="0.25">
      <c r="B125" s="121"/>
      <c r="C125" s="121"/>
      <c r="D125" s="121"/>
      <c r="E125" s="121"/>
      <c r="F125" s="121"/>
      <c r="G125" s="121"/>
      <c r="H125" s="121"/>
      <c r="I125" s="121"/>
      <c r="J125" s="121"/>
      <c r="K125" s="121"/>
      <c r="L125" s="121"/>
      <c r="M125" s="121"/>
      <c r="N125" s="121"/>
      <c r="O125" s="121"/>
      <c r="P125" s="121"/>
      <c r="Q125" s="121"/>
      <c r="R125" s="121"/>
      <c r="S125" s="121"/>
      <c r="T125" s="121"/>
      <c r="U125" s="121"/>
      <c r="V125" s="121"/>
      <c r="W125" s="121"/>
      <c r="X125" s="121"/>
      <c r="Y125" s="121"/>
      <c r="Z125" s="121"/>
      <c r="AA125" s="121"/>
      <c r="AB125" s="121"/>
      <c r="AC125" s="121"/>
      <c r="AD125" s="121"/>
      <c r="AE125" s="121"/>
      <c r="AF125" s="121"/>
      <c r="AG125" s="121"/>
      <c r="AH125" s="121"/>
      <c r="AI125" s="121"/>
      <c r="AJ125" s="121"/>
      <c r="AK125" s="121"/>
      <c r="AL125" s="121"/>
      <c r="AM125" s="121"/>
      <c r="AN125" s="121"/>
    </row>
    <row r="126" spans="2:40" x14ac:dyDescent="0.25">
      <c r="B126" s="121"/>
      <c r="C126" s="121"/>
      <c r="D126" s="121"/>
      <c r="E126" s="121"/>
      <c r="F126" s="121"/>
      <c r="G126" s="121"/>
      <c r="H126" s="121"/>
      <c r="I126" s="121"/>
      <c r="J126" s="121"/>
      <c r="K126" s="121"/>
      <c r="L126" s="121"/>
      <c r="M126" s="121"/>
      <c r="N126" s="121"/>
      <c r="O126" s="121"/>
      <c r="P126" s="121"/>
      <c r="Q126" s="121"/>
      <c r="R126" s="121"/>
      <c r="S126" s="121"/>
      <c r="T126" s="121"/>
      <c r="U126" s="121"/>
      <c r="V126" s="121"/>
      <c r="W126" s="121"/>
      <c r="X126" s="121"/>
      <c r="Y126" s="121"/>
      <c r="Z126" s="121"/>
      <c r="AA126" s="121"/>
      <c r="AB126" s="121"/>
      <c r="AC126" s="121"/>
      <c r="AD126" s="121"/>
      <c r="AE126" s="121"/>
      <c r="AF126" s="121"/>
      <c r="AG126" s="121"/>
      <c r="AH126" s="121"/>
      <c r="AI126" s="121"/>
      <c r="AJ126" s="121"/>
      <c r="AK126" s="121"/>
      <c r="AL126" s="121"/>
      <c r="AM126" s="121"/>
      <c r="AN126" s="121"/>
    </row>
    <row r="127" spans="2:40" x14ac:dyDescent="0.25">
      <c r="B127" s="121"/>
      <c r="C127" s="121"/>
      <c r="D127" s="121"/>
      <c r="E127" s="121"/>
      <c r="F127" s="121"/>
      <c r="G127" s="121"/>
      <c r="H127" s="121"/>
      <c r="I127" s="121"/>
      <c r="J127" s="121"/>
      <c r="K127" s="121"/>
      <c r="L127" s="121"/>
      <c r="M127" s="121"/>
      <c r="N127" s="121"/>
      <c r="O127" s="121"/>
      <c r="P127" s="121"/>
      <c r="Q127" s="121"/>
      <c r="R127" s="121"/>
      <c r="S127" s="121"/>
      <c r="T127" s="121"/>
      <c r="U127" s="121"/>
      <c r="V127" s="121"/>
      <c r="W127" s="121"/>
      <c r="X127" s="121"/>
      <c r="Y127" s="121"/>
      <c r="Z127" s="121"/>
      <c r="AA127" s="121"/>
      <c r="AB127" s="121"/>
      <c r="AC127" s="121"/>
      <c r="AD127" s="121"/>
      <c r="AE127" s="121"/>
      <c r="AF127" s="121"/>
      <c r="AG127" s="121"/>
      <c r="AH127" s="121"/>
      <c r="AI127" s="121"/>
      <c r="AJ127" s="121"/>
      <c r="AK127" s="121"/>
      <c r="AL127" s="121"/>
      <c r="AM127" s="121"/>
      <c r="AN127" s="121"/>
    </row>
    <row r="128" spans="2:40" x14ac:dyDescent="0.25">
      <c r="B128" s="121"/>
      <c r="C128" s="121"/>
      <c r="D128" s="121"/>
      <c r="E128" s="121"/>
      <c r="F128" s="121"/>
      <c r="G128" s="121"/>
      <c r="H128" s="121"/>
      <c r="I128" s="121"/>
      <c r="J128" s="121"/>
      <c r="K128" s="121"/>
      <c r="L128" s="121"/>
      <c r="M128" s="121"/>
      <c r="N128" s="121"/>
      <c r="O128" s="121"/>
      <c r="P128" s="121"/>
      <c r="Q128" s="121"/>
      <c r="R128" s="121"/>
      <c r="S128" s="121"/>
      <c r="T128" s="121"/>
      <c r="U128" s="121"/>
      <c r="V128" s="121"/>
      <c r="W128" s="121"/>
      <c r="X128" s="121"/>
      <c r="Y128" s="121"/>
      <c r="Z128" s="121"/>
      <c r="AA128" s="121"/>
      <c r="AB128" s="121"/>
      <c r="AC128" s="121"/>
      <c r="AD128" s="121"/>
      <c r="AE128" s="121"/>
      <c r="AF128" s="121"/>
      <c r="AG128" s="121"/>
      <c r="AH128" s="121"/>
      <c r="AI128" s="121"/>
      <c r="AJ128" s="121"/>
      <c r="AK128" s="121"/>
      <c r="AL128" s="121"/>
      <c r="AM128" s="121"/>
      <c r="AN128" s="121"/>
    </row>
    <row r="129" spans="2:40" x14ac:dyDescent="0.25">
      <c r="B129" s="121"/>
      <c r="C129" s="121"/>
      <c r="D129" s="121"/>
      <c r="E129" s="121"/>
      <c r="F129" s="121"/>
      <c r="G129" s="121"/>
      <c r="H129" s="121"/>
      <c r="I129" s="121"/>
      <c r="J129" s="121"/>
      <c r="K129" s="121"/>
      <c r="L129" s="121"/>
      <c r="M129" s="121"/>
      <c r="N129" s="121"/>
      <c r="O129" s="121"/>
      <c r="P129" s="121"/>
      <c r="Q129" s="121"/>
      <c r="R129" s="121"/>
      <c r="S129" s="121"/>
      <c r="T129" s="121"/>
      <c r="U129" s="121"/>
      <c r="V129" s="121"/>
      <c r="W129" s="121"/>
      <c r="X129" s="121"/>
      <c r="Y129" s="121"/>
      <c r="Z129" s="121"/>
      <c r="AA129" s="121"/>
      <c r="AB129" s="121"/>
      <c r="AC129" s="121"/>
      <c r="AD129" s="121"/>
      <c r="AE129" s="121"/>
      <c r="AF129" s="121"/>
      <c r="AG129" s="121"/>
      <c r="AH129" s="121"/>
      <c r="AI129" s="121"/>
      <c r="AJ129" s="121"/>
      <c r="AK129" s="121"/>
      <c r="AL129" s="121"/>
      <c r="AM129" s="121"/>
      <c r="AN129" s="121"/>
    </row>
    <row r="130" spans="2:40" x14ac:dyDescent="0.25">
      <c r="B130" s="121"/>
      <c r="C130" s="121"/>
      <c r="D130" s="121"/>
      <c r="E130" s="121"/>
      <c r="F130" s="121"/>
      <c r="G130" s="121"/>
      <c r="H130" s="121"/>
      <c r="I130" s="121"/>
      <c r="J130" s="121"/>
      <c r="K130" s="121"/>
      <c r="L130" s="121"/>
      <c r="M130" s="121"/>
      <c r="N130" s="121"/>
      <c r="O130" s="121"/>
      <c r="P130" s="121"/>
      <c r="Q130" s="121"/>
      <c r="R130" s="121"/>
      <c r="S130" s="121"/>
      <c r="T130" s="121"/>
      <c r="U130" s="121"/>
      <c r="V130" s="121"/>
      <c r="W130" s="121"/>
      <c r="X130" s="121"/>
      <c r="Y130" s="121"/>
      <c r="Z130" s="121"/>
      <c r="AA130" s="121"/>
      <c r="AB130" s="121"/>
      <c r="AC130" s="121"/>
      <c r="AD130" s="121"/>
      <c r="AE130" s="121"/>
      <c r="AF130" s="121"/>
      <c r="AG130" s="121"/>
      <c r="AH130" s="121"/>
      <c r="AI130" s="121"/>
      <c r="AJ130" s="121"/>
      <c r="AK130" s="121"/>
      <c r="AL130" s="121"/>
      <c r="AM130" s="121"/>
      <c r="AN130" s="121"/>
    </row>
    <row r="131" spans="2:40" x14ac:dyDescent="0.25">
      <c r="B131" s="121"/>
      <c r="C131" s="121"/>
      <c r="D131" s="121"/>
      <c r="E131" s="121"/>
      <c r="F131" s="121"/>
      <c r="G131" s="121"/>
      <c r="H131" s="121"/>
      <c r="I131" s="121"/>
      <c r="J131" s="121"/>
      <c r="K131" s="121"/>
      <c r="L131" s="121"/>
      <c r="M131" s="121"/>
      <c r="N131" s="121"/>
      <c r="O131" s="121"/>
      <c r="P131" s="121"/>
      <c r="Q131" s="121"/>
      <c r="R131" s="121"/>
      <c r="S131" s="121"/>
      <c r="T131" s="121"/>
      <c r="U131" s="121"/>
      <c r="V131" s="121"/>
      <c r="W131" s="121"/>
      <c r="X131" s="121"/>
      <c r="Y131" s="121"/>
      <c r="Z131" s="121"/>
      <c r="AA131" s="121"/>
      <c r="AB131" s="121"/>
      <c r="AC131" s="121"/>
      <c r="AD131" s="121"/>
      <c r="AE131" s="121"/>
      <c r="AF131" s="121"/>
      <c r="AG131" s="121"/>
      <c r="AH131" s="121"/>
      <c r="AI131" s="121"/>
      <c r="AJ131" s="121"/>
      <c r="AK131" s="121"/>
      <c r="AL131" s="121"/>
      <c r="AM131" s="121"/>
      <c r="AN131" s="121"/>
    </row>
    <row r="132" spans="2:40" x14ac:dyDescent="0.25">
      <c r="B132" s="121"/>
      <c r="C132" s="121"/>
      <c r="D132" s="121"/>
      <c r="E132" s="121"/>
      <c r="F132" s="121"/>
      <c r="G132" s="121"/>
      <c r="H132" s="121"/>
      <c r="I132" s="121"/>
      <c r="J132" s="121"/>
      <c r="K132" s="121"/>
      <c r="L132" s="121"/>
      <c r="M132" s="121"/>
      <c r="N132" s="121"/>
      <c r="O132" s="121"/>
      <c r="P132" s="121"/>
      <c r="Q132" s="121"/>
      <c r="R132" s="121"/>
      <c r="S132" s="121"/>
      <c r="T132" s="121"/>
      <c r="U132" s="121"/>
      <c r="V132" s="121"/>
      <c r="W132" s="121"/>
      <c r="X132" s="121"/>
      <c r="Y132" s="121"/>
      <c r="Z132" s="121"/>
      <c r="AA132" s="121"/>
      <c r="AB132" s="121"/>
      <c r="AC132" s="121"/>
      <c r="AD132" s="121"/>
      <c r="AE132" s="121"/>
      <c r="AF132" s="121"/>
      <c r="AG132" s="121"/>
      <c r="AH132" s="121"/>
      <c r="AI132" s="121"/>
      <c r="AJ132" s="121"/>
      <c r="AK132" s="121"/>
      <c r="AL132" s="121"/>
      <c r="AM132" s="121"/>
      <c r="AN132" s="121"/>
    </row>
    <row r="133" spans="2:40" x14ac:dyDescent="0.25">
      <c r="B133" s="121"/>
      <c r="C133" s="121"/>
      <c r="D133" s="121"/>
      <c r="E133" s="121"/>
      <c r="F133" s="121"/>
      <c r="G133" s="121"/>
      <c r="H133" s="121"/>
      <c r="I133" s="121"/>
      <c r="J133" s="121"/>
      <c r="K133" s="121"/>
      <c r="L133" s="121"/>
      <c r="M133" s="121"/>
      <c r="N133" s="121"/>
      <c r="O133" s="121"/>
      <c r="P133" s="121"/>
      <c r="Q133" s="121"/>
      <c r="R133" s="121"/>
      <c r="S133" s="121"/>
      <c r="T133" s="121"/>
      <c r="U133" s="121"/>
      <c r="V133" s="121"/>
      <c r="W133" s="121"/>
      <c r="X133" s="121"/>
      <c r="Y133" s="121"/>
      <c r="Z133" s="121"/>
      <c r="AA133" s="121"/>
      <c r="AB133" s="121"/>
      <c r="AC133" s="121"/>
      <c r="AD133" s="121"/>
      <c r="AE133" s="121"/>
      <c r="AF133" s="121"/>
      <c r="AG133" s="121"/>
      <c r="AH133" s="121"/>
      <c r="AI133" s="121"/>
      <c r="AJ133" s="121"/>
      <c r="AK133" s="121"/>
      <c r="AL133" s="121"/>
      <c r="AM133" s="121"/>
      <c r="AN133" s="121"/>
    </row>
    <row r="134" spans="2:40" x14ac:dyDescent="0.25">
      <c r="B134" s="121"/>
      <c r="C134" s="121"/>
      <c r="D134" s="121"/>
      <c r="E134" s="121"/>
      <c r="F134" s="121"/>
      <c r="G134" s="121"/>
      <c r="H134" s="121"/>
      <c r="I134" s="121"/>
      <c r="J134" s="121"/>
      <c r="K134" s="121"/>
      <c r="L134" s="121"/>
      <c r="M134" s="121"/>
      <c r="N134" s="121"/>
      <c r="O134" s="121"/>
      <c r="P134" s="121"/>
      <c r="Q134" s="121"/>
      <c r="R134" s="121"/>
      <c r="S134" s="121"/>
      <c r="T134" s="121"/>
      <c r="U134" s="121"/>
      <c r="V134" s="121"/>
      <c r="W134" s="121"/>
      <c r="X134" s="121"/>
      <c r="Y134" s="121"/>
      <c r="Z134" s="121"/>
      <c r="AA134" s="121"/>
      <c r="AB134" s="121"/>
      <c r="AC134" s="121"/>
      <c r="AD134" s="121"/>
      <c r="AE134" s="121"/>
      <c r="AF134" s="121"/>
      <c r="AG134" s="121"/>
      <c r="AH134" s="121"/>
      <c r="AI134" s="121"/>
      <c r="AJ134" s="121"/>
      <c r="AK134" s="121"/>
      <c r="AL134" s="121"/>
      <c r="AM134" s="121"/>
      <c r="AN134" s="121"/>
    </row>
    <row r="135" spans="2:40" x14ac:dyDescent="0.25">
      <c r="B135" s="121"/>
      <c r="C135" s="121"/>
      <c r="D135" s="121"/>
      <c r="E135" s="121"/>
      <c r="F135" s="121"/>
      <c r="G135" s="121"/>
      <c r="H135" s="121"/>
      <c r="I135" s="121"/>
      <c r="J135" s="121"/>
      <c r="K135" s="121"/>
      <c r="L135" s="121"/>
      <c r="M135" s="121"/>
      <c r="N135" s="121"/>
      <c r="O135" s="121"/>
      <c r="P135" s="121"/>
      <c r="Q135" s="121"/>
      <c r="R135" s="121"/>
      <c r="S135" s="121"/>
      <c r="T135" s="121"/>
      <c r="U135" s="121"/>
      <c r="V135" s="121"/>
      <c r="W135" s="121"/>
      <c r="X135" s="121"/>
      <c r="Y135" s="121"/>
      <c r="Z135" s="121"/>
      <c r="AA135" s="121"/>
      <c r="AB135" s="121"/>
      <c r="AC135" s="121"/>
      <c r="AD135" s="121"/>
      <c r="AE135" s="121"/>
      <c r="AF135" s="121"/>
      <c r="AG135" s="121"/>
      <c r="AH135" s="121"/>
      <c r="AI135" s="121"/>
      <c r="AJ135" s="121"/>
      <c r="AK135" s="121"/>
      <c r="AL135" s="121"/>
      <c r="AM135" s="121"/>
      <c r="AN135" s="121"/>
    </row>
    <row r="136" spans="2:40" x14ac:dyDescent="0.25">
      <c r="B136" s="121"/>
      <c r="C136" s="121"/>
      <c r="D136" s="121"/>
      <c r="E136" s="121"/>
      <c r="F136" s="121"/>
      <c r="G136" s="121"/>
      <c r="H136" s="121"/>
      <c r="I136" s="121"/>
      <c r="J136" s="121"/>
      <c r="K136" s="121"/>
      <c r="L136" s="121"/>
      <c r="M136" s="121"/>
      <c r="N136" s="121"/>
      <c r="O136" s="121"/>
      <c r="P136" s="121"/>
      <c r="Q136" s="121"/>
      <c r="R136" s="121"/>
      <c r="S136" s="121"/>
      <c r="T136" s="121"/>
      <c r="U136" s="121"/>
      <c r="V136" s="121"/>
      <c r="W136" s="121"/>
      <c r="X136" s="121"/>
      <c r="Y136" s="121"/>
      <c r="Z136" s="121"/>
      <c r="AA136" s="121"/>
      <c r="AB136" s="121"/>
      <c r="AC136" s="121"/>
      <c r="AD136" s="121"/>
      <c r="AE136" s="121"/>
      <c r="AF136" s="121"/>
      <c r="AG136" s="121"/>
      <c r="AH136" s="121"/>
      <c r="AI136" s="121"/>
      <c r="AJ136" s="121"/>
      <c r="AK136" s="121"/>
      <c r="AL136" s="121"/>
      <c r="AM136" s="121"/>
      <c r="AN136" s="121"/>
    </row>
    <row r="137" spans="2:40" x14ac:dyDescent="0.25">
      <c r="B137" s="121"/>
      <c r="C137" s="121"/>
      <c r="D137" s="121"/>
      <c r="E137" s="121"/>
      <c r="F137" s="121"/>
      <c r="G137" s="121"/>
      <c r="H137" s="121"/>
      <c r="I137" s="121"/>
      <c r="J137" s="121"/>
      <c r="K137" s="121"/>
      <c r="L137" s="121"/>
      <c r="M137" s="121"/>
      <c r="N137" s="121"/>
      <c r="O137" s="121"/>
      <c r="P137" s="121"/>
      <c r="Q137" s="121"/>
      <c r="R137" s="121"/>
      <c r="S137" s="121"/>
      <c r="T137" s="121"/>
      <c r="U137" s="121"/>
      <c r="V137" s="121"/>
      <c r="W137" s="121"/>
      <c r="X137" s="121"/>
      <c r="Y137" s="121"/>
      <c r="Z137" s="121"/>
      <c r="AA137" s="121"/>
      <c r="AB137" s="121"/>
      <c r="AC137" s="121"/>
      <c r="AD137" s="121"/>
      <c r="AE137" s="121"/>
      <c r="AF137" s="121"/>
      <c r="AG137" s="121"/>
      <c r="AH137" s="121"/>
      <c r="AI137" s="121"/>
      <c r="AJ137" s="121"/>
      <c r="AK137" s="121"/>
      <c r="AL137" s="121"/>
      <c r="AM137" s="121"/>
      <c r="AN137" s="121"/>
    </row>
    <row r="138" spans="2:40" x14ac:dyDescent="0.25">
      <c r="B138" s="121"/>
      <c r="C138" s="121"/>
      <c r="D138" s="121"/>
      <c r="E138" s="121"/>
      <c r="F138" s="121"/>
      <c r="G138" s="121"/>
      <c r="H138" s="121"/>
      <c r="I138" s="121"/>
      <c r="J138" s="121"/>
      <c r="K138" s="121"/>
      <c r="L138" s="121"/>
      <c r="M138" s="121"/>
      <c r="N138" s="121"/>
      <c r="O138" s="121"/>
      <c r="P138" s="121"/>
      <c r="Q138" s="121"/>
      <c r="R138" s="121"/>
      <c r="S138" s="121"/>
      <c r="T138" s="121"/>
      <c r="U138" s="121"/>
      <c r="V138" s="121"/>
      <c r="W138" s="121"/>
      <c r="X138" s="121"/>
      <c r="Y138" s="121"/>
      <c r="Z138" s="121"/>
      <c r="AA138" s="121"/>
      <c r="AB138" s="121"/>
      <c r="AC138" s="121"/>
      <c r="AD138" s="121"/>
      <c r="AE138" s="121"/>
      <c r="AF138" s="121"/>
      <c r="AG138" s="121"/>
      <c r="AH138" s="121"/>
      <c r="AI138" s="121"/>
      <c r="AJ138" s="121"/>
      <c r="AK138" s="121"/>
      <c r="AL138" s="121"/>
      <c r="AM138" s="121"/>
      <c r="AN138" s="121"/>
    </row>
    <row r="139" spans="2:40" x14ac:dyDescent="0.25">
      <c r="B139" s="121"/>
      <c r="C139" s="121"/>
      <c r="D139" s="121"/>
      <c r="E139" s="121"/>
      <c r="F139" s="121"/>
      <c r="G139" s="121"/>
      <c r="H139" s="121"/>
      <c r="I139" s="121"/>
      <c r="J139" s="121"/>
      <c r="K139" s="121"/>
      <c r="L139" s="121"/>
      <c r="M139" s="121"/>
      <c r="N139" s="121"/>
      <c r="O139" s="121"/>
      <c r="P139" s="121"/>
      <c r="Q139" s="121"/>
      <c r="R139" s="121"/>
      <c r="S139" s="121"/>
      <c r="T139" s="121"/>
      <c r="U139" s="121"/>
      <c r="V139" s="121"/>
      <c r="W139" s="121"/>
      <c r="X139" s="121"/>
      <c r="Y139" s="121"/>
      <c r="Z139" s="121"/>
      <c r="AA139" s="121"/>
      <c r="AB139" s="121"/>
      <c r="AC139" s="121"/>
      <c r="AD139" s="121"/>
      <c r="AE139" s="121"/>
      <c r="AF139" s="121"/>
      <c r="AG139" s="121"/>
      <c r="AH139" s="121"/>
      <c r="AI139" s="121"/>
      <c r="AJ139" s="121"/>
      <c r="AK139" s="121"/>
      <c r="AL139" s="121"/>
      <c r="AM139" s="121"/>
      <c r="AN139" s="121"/>
    </row>
    <row r="140" spans="2:40" x14ac:dyDescent="0.25">
      <c r="B140" s="121"/>
      <c r="C140" s="121"/>
      <c r="D140" s="121"/>
      <c r="E140" s="121"/>
      <c r="F140" s="121"/>
      <c r="G140" s="121"/>
      <c r="H140" s="121"/>
      <c r="I140" s="121"/>
      <c r="J140" s="121"/>
      <c r="K140" s="121"/>
      <c r="L140" s="121"/>
      <c r="M140" s="121"/>
      <c r="N140" s="121"/>
      <c r="O140" s="121"/>
      <c r="P140" s="121"/>
      <c r="Q140" s="121"/>
      <c r="R140" s="121"/>
      <c r="S140" s="121"/>
      <c r="T140" s="121"/>
      <c r="U140" s="121"/>
      <c r="V140" s="121"/>
      <c r="W140" s="121"/>
      <c r="X140" s="121"/>
      <c r="Y140" s="121"/>
      <c r="Z140" s="121"/>
      <c r="AA140" s="121"/>
      <c r="AB140" s="121"/>
      <c r="AC140" s="121"/>
      <c r="AD140" s="121"/>
      <c r="AE140" s="121"/>
      <c r="AF140" s="121"/>
      <c r="AG140" s="121"/>
      <c r="AH140" s="121"/>
      <c r="AI140" s="121"/>
      <c r="AJ140" s="121"/>
      <c r="AK140" s="121"/>
      <c r="AL140" s="121"/>
      <c r="AM140" s="121"/>
      <c r="AN140" s="121"/>
    </row>
    <row r="141" spans="2:40" x14ac:dyDescent="0.25">
      <c r="B141" s="121"/>
      <c r="C141" s="121"/>
      <c r="D141" s="121"/>
      <c r="E141" s="121"/>
      <c r="F141" s="121"/>
      <c r="G141" s="121"/>
      <c r="H141" s="121"/>
      <c r="I141" s="121"/>
      <c r="J141" s="121"/>
      <c r="K141" s="121"/>
      <c r="L141" s="121"/>
      <c r="M141" s="121"/>
      <c r="N141" s="121"/>
      <c r="O141" s="121"/>
      <c r="P141" s="121"/>
      <c r="Q141" s="121"/>
      <c r="R141" s="121"/>
      <c r="S141" s="121"/>
      <c r="T141" s="121"/>
      <c r="U141" s="121"/>
      <c r="V141" s="121"/>
      <c r="W141" s="121"/>
      <c r="X141" s="121"/>
      <c r="Y141" s="121"/>
      <c r="Z141" s="121"/>
      <c r="AA141" s="121"/>
      <c r="AB141" s="121"/>
      <c r="AC141" s="121"/>
      <c r="AD141" s="121"/>
      <c r="AE141" s="121"/>
      <c r="AF141" s="121"/>
      <c r="AG141" s="121"/>
      <c r="AH141" s="121"/>
      <c r="AI141" s="121"/>
      <c r="AJ141" s="121"/>
      <c r="AK141" s="121"/>
      <c r="AL141" s="121"/>
      <c r="AM141" s="121"/>
      <c r="AN141" s="121"/>
    </row>
    <row r="142" spans="2:40" x14ac:dyDescent="0.25">
      <c r="B142" s="121"/>
      <c r="C142" s="121"/>
      <c r="D142" s="121"/>
      <c r="E142" s="121"/>
      <c r="F142" s="121"/>
      <c r="G142" s="121"/>
      <c r="H142" s="121"/>
      <c r="I142" s="121"/>
      <c r="J142" s="121"/>
      <c r="K142" s="121"/>
      <c r="L142" s="121"/>
      <c r="M142" s="121"/>
      <c r="N142" s="121"/>
      <c r="O142" s="121"/>
      <c r="P142" s="121"/>
      <c r="Q142" s="121"/>
      <c r="R142" s="121"/>
      <c r="S142" s="121"/>
      <c r="T142" s="121"/>
      <c r="U142" s="121"/>
      <c r="V142" s="121"/>
      <c r="W142" s="121"/>
      <c r="X142" s="121"/>
      <c r="Y142" s="121"/>
      <c r="Z142" s="121"/>
      <c r="AA142" s="121"/>
      <c r="AB142" s="121"/>
      <c r="AC142" s="121"/>
      <c r="AD142" s="121"/>
      <c r="AE142" s="121"/>
      <c r="AF142" s="121"/>
      <c r="AG142" s="121"/>
      <c r="AH142" s="121"/>
      <c r="AI142" s="121"/>
      <c r="AJ142" s="121"/>
      <c r="AK142" s="121"/>
      <c r="AL142" s="121"/>
      <c r="AM142" s="121"/>
      <c r="AN142" s="121"/>
    </row>
    <row r="143" spans="2:40" x14ac:dyDescent="0.25">
      <c r="B143" s="121"/>
      <c r="C143" s="121"/>
      <c r="D143" s="121"/>
      <c r="E143" s="121"/>
      <c r="F143" s="121"/>
      <c r="G143" s="121"/>
      <c r="H143" s="121"/>
      <c r="I143" s="121"/>
      <c r="J143" s="121"/>
      <c r="K143" s="121"/>
      <c r="L143" s="121"/>
      <c r="M143" s="121"/>
      <c r="N143" s="121"/>
      <c r="O143" s="121"/>
      <c r="P143" s="121"/>
      <c r="Q143" s="121"/>
      <c r="R143" s="121"/>
      <c r="S143" s="121"/>
      <c r="T143" s="121"/>
      <c r="U143" s="121"/>
      <c r="V143" s="121"/>
      <c r="W143" s="121"/>
      <c r="X143" s="121"/>
      <c r="Y143" s="121"/>
      <c r="Z143" s="121"/>
      <c r="AA143" s="121"/>
      <c r="AB143" s="121"/>
      <c r="AC143" s="121"/>
      <c r="AD143" s="121"/>
      <c r="AE143" s="121"/>
      <c r="AF143" s="121"/>
      <c r="AG143" s="121"/>
      <c r="AH143" s="121"/>
      <c r="AI143" s="121"/>
      <c r="AJ143" s="121"/>
      <c r="AK143" s="121"/>
      <c r="AL143" s="121"/>
      <c r="AM143" s="121"/>
      <c r="AN143" s="121"/>
    </row>
    <row r="144" spans="2:40" x14ac:dyDescent="0.25">
      <c r="B144" s="121"/>
      <c r="C144" s="121"/>
      <c r="D144" s="121"/>
      <c r="E144" s="121"/>
      <c r="F144" s="121"/>
      <c r="G144" s="121"/>
      <c r="H144" s="121"/>
      <c r="I144" s="121"/>
      <c r="J144" s="121"/>
      <c r="K144" s="121"/>
      <c r="L144" s="121"/>
      <c r="M144" s="121"/>
      <c r="N144" s="121"/>
      <c r="O144" s="121"/>
      <c r="P144" s="121"/>
      <c r="Q144" s="121"/>
      <c r="R144" s="121"/>
      <c r="S144" s="121"/>
      <c r="T144" s="121"/>
      <c r="U144" s="121"/>
      <c r="V144" s="121"/>
      <c r="W144" s="121"/>
      <c r="X144" s="121"/>
      <c r="Y144" s="121"/>
      <c r="Z144" s="121"/>
      <c r="AA144" s="121"/>
      <c r="AB144" s="121"/>
      <c r="AC144" s="121"/>
      <c r="AD144" s="121"/>
      <c r="AE144" s="121"/>
      <c r="AF144" s="121"/>
      <c r="AG144" s="121"/>
      <c r="AH144" s="121"/>
      <c r="AI144" s="121"/>
      <c r="AJ144" s="121"/>
      <c r="AK144" s="121"/>
      <c r="AL144" s="121"/>
      <c r="AM144" s="121"/>
      <c r="AN144" s="121"/>
    </row>
    <row r="145" spans="2:40" x14ac:dyDescent="0.25">
      <c r="B145" s="121"/>
      <c r="C145" s="121"/>
      <c r="D145" s="121"/>
      <c r="E145" s="121"/>
      <c r="F145" s="121"/>
      <c r="G145" s="121"/>
      <c r="H145" s="121"/>
      <c r="I145" s="121"/>
      <c r="J145" s="121"/>
      <c r="K145" s="121"/>
      <c r="L145" s="121"/>
      <c r="M145" s="121"/>
      <c r="N145" s="121"/>
      <c r="O145" s="121"/>
      <c r="P145" s="121"/>
      <c r="Q145" s="121"/>
      <c r="R145" s="121"/>
      <c r="S145" s="121"/>
      <c r="T145" s="121"/>
      <c r="U145" s="121"/>
      <c r="V145" s="121"/>
      <c r="W145" s="121"/>
      <c r="X145" s="121"/>
      <c r="Y145" s="121"/>
      <c r="Z145" s="121"/>
      <c r="AA145" s="121"/>
      <c r="AB145" s="121"/>
      <c r="AC145" s="121"/>
      <c r="AD145" s="121"/>
      <c r="AE145" s="121"/>
      <c r="AF145" s="121"/>
      <c r="AG145" s="121"/>
      <c r="AH145" s="121"/>
      <c r="AI145" s="121"/>
      <c r="AJ145" s="121"/>
      <c r="AK145" s="121"/>
      <c r="AL145" s="121"/>
      <c r="AM145" s="121"/>
      <c r="AN145" s="121"/>
    </row>
    <row r="146" spans="2:40" x14ac:dyDescent="0.25">
      <c r="B146" s="121"/>
      <c r="C146" s="121"/>
      <c r="D146" s="121"/>
      <c r="E146" s="121"/>
      <c r="F146" s="121"/>
      <c r="G146" s="121"/>
      <c r="H146" s="121"/>
      <c r="I146" s="121"/>
      <c r="J146" s="121"/>
      <c r="K146" s="121"/>
      <c r="L146" s="121"/>
      <c r="M146" s="121"/>
      <c r="N146" s="121"/>
      <c r="O146" s="121"/>
      <c r="P146" s="121"/>
      <c r="Q146" s="121"/>
      <c r="R146" s="121"/>
      <c r="S146" s="121"/>
      <c r="T146" s="121"/>
      <c r="U146" s="121"/>
      <c r="V146" s="121"/>
      <c r="W146" s="121"/>
      <c r="X146" s="121"/>
      <c r="Y146" s="121"/>
      <c r="Z146" s="121"/>
      <c r="AA146" s="121"/>
      <c r="AB146" s="121"/>
      <c r="AC146" s="121"/>
      <c r="AD146" s="121"/>
      <c r="AE146" s="121"/>
      <c r="AF146" s="121"/>
      <c r="AG146" s="121"/>
      <c r="AH146" s="121"/>
      <c r="AI146" s="121"/>
      <c r="AJ146" s="121"/>
      <c r="AK146" s="121"/>
      <c r="AL146" s="121"/>
      <c r="AM146" s="121"/>
      <c r="AN146" s="121"/>
    </row>
    <row r="147" spans="2:40" x14ac:dyDescent="0.25">
      <c r="B147" s="121"/>
      <c r="C147" s="121"/>
      <c r="D147" s="121"/>
      <c r="E147" s="121"/>
      <c r="F147" s="121"/>
      <c r="G147" s="121"/>
      <c r="H147" s="121"/>
      <c r="I147" s="121"/>
      <c r="J147" s="121"/>
      <c r="K147" s="121"/>
      <c r="L147" s="121"/>
      <c r="M147" s="121"/>
      <c r="N147" s="121"/>
      <c r="O147" s="121"/>
      <c r="P147" s="121"/>
      <c r="Q147" s="121"/>
      <c r="R147" s="121"/>
      <c r="S147" s="121"/>
      <c r="T147" s="121"/>
      <c r="U147" s="121"/>
      <c r="V147" s="121"/>
      <c r="W147" s="121"/>
      <c r="X147" s="121"/>
      <c r="Y147" s="121"/>
      <c r="Z147" s="121"/>
      <c r="AA147" s="121"/>
      <c r="AB147" s="121"/>
      <c r="AC147" s="121"/>
      <c r="AD147" s="121"/>
      <c r="AE147" s="121"/>
      <c r="AF147" s="121"/>
      <c r="AG147" s="121"/>
      <c r="AH147" s="121"/>
      <c r="AI147" s="121"/>
      <c r="AJ147" s="121"/>
      <c r="AK147" s="121"/>
      <c r="AL147" s="121"/>
      <c r="AM147" s="121"/>
      <c r="AN147" s="121"/>
    </row>
    <row r="148" spans="2:40" x14ac:dyDescent="0.25">
      <c r="B148" s="121"/>
      <c r="C148" s="121"/>
      <c r="D148" s="121"/>
      <c r="E148" s="121"/>
      <c r="F148" s="121"/>
      <c r="G148" s="121"/>
      <c r="H148" s="121"/>
      <c r="I148" s="121"/>
      <c r="J148" s="121"/>
      <c r="K148" s="121"/>
      <c r="L148" s="121"/>
      <c r="M148" s="121"/>
      <c r="N148" s="121"/>
      <c r="O148" s="121"/>
      <c r="P148" s="121"/>
      <c r="Q148" s="121"/>
      <c r="R148" s="121"/>
      <c r="S148" s="121"/>
      <c r="T148" s="121"/>
      <c r="U148" s="121"/>
      <c r="V148" s="121"/>
      <c r="W148" s="121"/>
      <c r="X148" s="121"/>
      <c r="Y148" s="121"/>
      <c r="Z148" s="121"/>
      <c r="AA148" s="121"/>
      <c r="AB148" s="121"/>
      <c r="AC148" s="121"/>
      <c r="AD148" s="121"/>
      <c r="AE148" s="121"/>
      <c r="AF148" s="121"/>
      <c r="AG148" s="121"/>
      <c r="AH148" s="121"/>
      <c r="AI148" s="121"/>
      <c r="AJ148" s="121"/>
      <c r="AK148" s="121"/>
      <c r="AL148" s="121"/>
      <c r="AM148" s="121"/>
      <c r="AN148" s="121"/>
    </row>
    <row r="149" spans="2:40" x14ac:dyDescent="0.25">
      <c r="B149" s="121"/>
      <c r="C149" s="121"/>
      <c r="D149" s="121"/>
      <c r="E149" s="121"/>
      <c r="F149" s="121"/>
      <c r="G149" s="121"/>
      <c r="H149" s="121"/>
      <c r="I149" s="121"/>
      <c r="J149" s="121"/>
      <c r="K149" s="121"/>
      <c r="L149" s="121"/>
      <c r="M149" s="121"/>
      <c r="N149" s="121"/>
      <c r="O149" s="121"/>
      <c r="P149" s="121"/>
      <c r="Q149" s="121"/>
      <c r="R149" s="121"/>
      <c r="S149" s="121"/>
      <c r="T149" s="121"/>
      <c r="U149" s="121"/>
      <c r="V149" s="121"/>
      <c r="W149" s="121"/>
      <c r="X149" s="121"/>
      <c r="Y149" s="121"/>
      <c r="Z149" s="121"/>
      <c r="AA149" s="121"/>
      <c r="AB149" s="121"/>
      <c r="AC149" s="121"/>
      <c r="AD149" s="121"/>
      <c r="AE149" s="121"/>
      <c r="AF149" s="121"/>
      <c r="AG149" s="121"/>
      <c r="AH149" s="121"/>
      <c r="AI149" s="121"/>
      <c r="AJ149" s="121"/>
      <c r="AK149" s="121"/>
      <c r="AL149" s="121"/>
      <c r="AM149" s="121"/>
      <c r="AN149" s="121"/>
    </row>
    <row r="150" spans="2:40" x14ac:dyDescent="0.25">
      <c r="B150" s="121"/>
      <c r="C150" s="121"/>
      <c r="D150" s="121"/>
      <c r="E150" s="121"/>
      <c r="F150" s="121"/>
      <c r="G150" s="121"/>
      <c r="H150" s="121"/>
      <c r="I150" s="121"/>
      <c r="J150" s="121"/>
      <c r="K150" s="121"/>
      <c r="L150" s="121"/>
      <c r="M150" s="121"/>
      <c r="N150" s="121"/>
      <c r="O150" s="121"/>
      <c r="P150" s="121"/>
      <c r="Q150" s="121"/>
      <c r="R150" s="121"/>
      <c r="S150" s="121"/>
      <c r="T150" s="121"/>
      <c r="U150" s="121"/>
      <c r="V150" s="121"/>
      <c r="W150" s="121"/>
      <c r="X150" s="121"/>
      <c r="Y150" s="121"/>
      <c r="Z150" s="121"/>
      <c r="AA150" s="121"/>
      <c r="AB150" s="121"/>
      <c r="AC150" s="121"/>
      <c r="AD150" s="121"/>
      <c r="AE150" s="121"/>
      <c r="AF150" s="121"/>
      <c r="AG150" s="121"/>
      <c r="AH150" s="121"/>
      <c r="AI150" s="121"/>
      <c r="AJ150" s="121"/>
      <c r="AK150" s="121"/>
      <c r="AL150" s="121"/>
      <c r="AM150" s="121"/>
      <c r="AN150" s="121"/>
    </row>
    <row r="151" spans="2:40" x14ac:dyDescent="0.25">
      <c r="B151" s="121"/>
      <c r="C151" s="121"/>
      <c r="D151" s="121"/>
      <c r="E151" s="121"/>
      <c r="F151" s="121"/>
      <c r="G151" s="121"/>
      <c r="H151" s="121"/>
      <c r="I151" s="121"/>
      <c r="J151" s="121"/>
      <c r="K151" s="121"/>
      <c r="L151" s="121"/>
      <c r="M151" s="121"/>
      <c r="N151" s="121"/>
      <c r="O151" s="121"/>
      <c r="P151" s="121"/>
      <c r="Q151" s="121"/>
      <c r="R151" s="121"/>
      <c r="S151" s="121"/>
      <c r="T151" s="121"/>
      <c r="U151" s="121"/>
      <c r="V151" s="121"/>
      <c r="W151" s="121"/>
      <c r="X151" s="121"/>
      <c r="Y151" s="121"/>
      <c r="Z151" s="121"/>
      <c r="AA151" s="121"/>
      <c r="AB151" s="121"/>
      <c r="AC151" s="121"/>
      <c r="AD151" s="121"/>
      <c r="AE151" s="121"/>
      <c r="AF151" s="121"/>
      <c r="AG151" s="121"/>
      <c r="AH151" s="121"/>
      <c r="AI151" s="121"/>
      <c r="AJ151" s="121"/>
      <c r="AK151" s="121"/>
      <c r="AL151" s="121"/>
      <c r="AM151" s="121"/>
      <c r="AN151" s="121"/>
    </row>
    <row r="152" spans="2:40" x14ac:dyDescent="0.25">
      <c r="B152" s="121"/>
      <c r="C152" s="121"/>
      <c r="D152" s="121"/>
      <c r="E152" s="121"/>
      <c r="F152" s="121"/>
      <c r="G152" s="121"/>
      <c r="H152" s="121"/>
      <c r="I152" s="121"/>
      <c r="J152" s="121"/>
      <c r="K152" s="121"/>
      <c r="L152" s="121"/>
      <c r="M152" s="121"/>
      <c r="N152" s="121"/>
      <c r="O152" s="121"/>
      <c r="P152" s="121"/>
      <c r="Q152" s="121"/>
      <c r="R152" s="121"/>
      <c r="S152" s="121"/>
      <c r="T152" s="121"/>
      <c r="U152" s="121"/>
      <c r="V152" s="121"/>
      <c r="W152" s="121"/>
      <c r="X152" s="121"/>
      <c r="Y152" s="121"/>
      <c r="Z152" s="121"/>
      <c r="AA152" s="121"/>
      <c r="AB152" s="121"/>
      <c r="AC152" s="121"/>
      <c r="AD152" s="121"/>
      <c r="AE152" s="121"/>
      <c r="AF152" s="121"/>
      <c r="AG152" s="121"/>
      <c r="AH152" s="121"/>
      <c r="AI152" s="121"/>
      <c r="AJ152" s="121"/>
      <c r="AK152" s="121"/>
      <c r="AL152" s="121"/>
      <c r="AM152" s="121"/>
      <c r="AN152" s="121"/>
    </row>
    <row r="153" spans="2:40" x14ac:dyDescent="0.25">
      <c r="B153" s="121"/>
      <c r="C153" s="121"/>
      <c r="D153" s="121"/>
      <c r="E153" s="121"/>
      <c r="F153" s="121"/>
      <c r="G153" s="121"/>
      <c r="H153" s="121"/>
      <c r="I153" s="121"/>
      <c r="J153" s="121"/>
      <c r="K153" s="121"/>
      <c r="L153" s="121"/>
      <c r="M153" s="121"/>
      <c r="N153" s="121"/>
      <c r="O153" s="121"/>
      <c r="P153" s="121"/>
      <c r="Q153" s="121"/>
      <c r="R153" s="121"/>
      <c r="S153" s="121"/>
      <c r="T153" s="121"/>
      <c r="U153" s="121"/>
      <c r="V153" s="121"/>
      <c r="W153" s="121"/>
      <c r="X153" s="121"/>
      <c r="Y153" s="121"/>
      <c r="Z153" s="121"/>
      <c r="AA153" s="121"/>
      <c r="AB153" s="121"/>
      <c r="AC153" s="121"/>
      <c r="AD153" s="121"/>
      <c r="AE153" s="121"/>
      <c r="AF153" s="121"/>
      <c r="AG153" s="121"/>
      <c r="AH153" s="121"/>
      <c r="AI153" s="121"/>
      <c r="AJ153" s="121"/>
      <c r="AK153" s="121"/>
      <c r="AL153" s="121"/>
      <c r="AM153" s="121"/>
      <c r="AN153" s="121"/>
    </row>
    <row r="154" spans="2:40" x14ac:dyDescent="0.25">
      <c r="B154" s="121"/>
      <c r="C154" s="121"/>
      <c r="D154" s="121"/>
      <c r="E154" s="121"/>
      <c r="F154" s="121"/>
      <c r="G154" s="121"/>
      <c r="H154" s="121"/>
      <c r="I154" s="121"/>
      <c r="J154" s="121"/>
      <c r="K154" s="121"/>
      <c r="L154" s="121"/>
      <c r="M154" s="121"/>
      <c r="N154" s="121"/>
      <c r="O154" s="121"/>
      <c r="P154" s="121"/>
      <c r="Q154" s="121"/>
      <c r="R154" s="121"/>
      <c r="S154" s="121"/>
      <c r="T154" s="121"/>
      <c r="U154" s="121"/>
      <c r="V154" s="121"/>
      <c r="W154" s="121"/>
      <c r="X154" s="121"/>
      <c r="Y154" s="121"/>
      <c r="Z154" s="121"/>
      <c r="AA154" s="121"/>
      <c r="AB154" s="121"/>
      <c r="AC154" s="121"/>
      <c r="AD154" s="121"/>
      <c r="AE154" s="121"/>
      <c r="AF154" s="121"/>
      <c r="AG154" s="121"/>
      <c r="AH154" s="121"/>
      <c r="AI154" s="121"/>
      <c r="AJ154" s="121"/>
      <c r="AK154" s="121"/>
      <c r="AL154" s="121"/>
      <c r="AM154" s="121"/>
      <c r="AN154" s="121"/>
    </row>
    <row r="155" spans="2:40" x14ac:dyDescent="0.25">
      <c r="B155" s="121"/>
      <c r="C155" s="121"/>
      <c r="D155" s="121"/>
      <c r="E155" s="121"/>
      <c r="F155" s="121"/>
      <c r="G155" s="121"/>
      <c r="H155" s="121"/>
      <c r="I155" s="121"/>
      <c r="J155" s="121"/>
      <c r="K155" s="121"/>
      <c r="L155" s="121"/>
      <c r="M155" s="121"/>
      <c r="N155" s="121"/>
      <c r="O155" s="121"/>
      <c r="P155" s="121"/>
      <c r="Q155" s="121"/>
      <c r="R155" s="121"/>
      <c r="S155" s="121"/>
      <c r="T155" s="121"/>
      <c r="U155" s="121"/>
      <c r="V155" s="121"/>
      <c r="W155" s="121"/>
      <c r="X155" s="121"/>
      <c r="Y155" s="121"/>
      <c r="Z155" s="121"/>
      <c r="AA155" s="121"/>
      <c r="AB155" s="121"/>
      <c r="AC155" s="121"/>
      <c r="AD155" s="121"/>
      <c r="AE155" s="121"/>
      <c r="AF155" s="121"/>
      <c r="AG155" s="121"/>
      <c r="AH155" s="121"/>
      <c r="AI155" s="121"/>
      <c r="AJ155" s="121"/>
      <c r="AK155" s="121"/>
      <c r="AL155" s="121"/>
      <c r="AM155" s="121"/>
      <c r="AN155" s="121"/>
    </row>
    <row r="156" spans="2:40" x14ac:dyDescent="0.25">
      <c r="B156" s="121"/>
      <c r="C156" s="121"/>
      <c r="D156" s="121"/>
      <c r="E156" s="121"/>
      <c r="F156" s="121"/>
      <c r="G156" s="121"/>
      <c r="H156" s="121"/>
      <c r="I156" s="121"/>
      <c r="J156" s="121"/>
      <c r="K156" s="121"/>
      <c r="L156" s="121"/>
      <c r="M156" s="121"/>
      <c r="N156" s="121"/>
      <c r="O156" s="121"/>
      <c r="P156" s="121"/>
      <c r="Q156" s="121"/>
      <c r="R156" s="121"/>
      <c r="S156" s="121"/>
      <c r="T156" s="121"/>
      <c r="U156" s="121"/>
      <c r="V156" s="121"/>
      <c r="W156" s="121"/>
      <c r="X156" s="121"/>
      <c r="Y156" s="121"/>
      <c r="Z156" s="121"/>
      <c r="AA156" s="121"/>
      <c r="AB156" s="121"/>
      <c r="AC156" s="121"/>
      <c r="AD156" s="121"/>
      <c r="AE156" s="121"/>
      <c r="AF156" s="121"/>
      <c r="AG156" s="121"/>
      <c r="AH156" s="121"/>
      <c r="AI156" s="121"/>
      <c r="AJ156" s="121"/>
      <c r="AK156" s="121"/>
      <c r="AL156" s="121"/>
      <c r="AM156" s="121"/>
      <c r="AN156" s="121"/>
    </row>
    <row r="157" spans="2:40" x14ac:dyDescent="0.25">
      <c r="B157" s="121"/>
      <c r="C157" s="121"/>
      <c r="D157" s="121"/>
      <c r="E157" s="121"/>
      <c r="F157" s="121"/>
      <c r="G157" s="121"/>
      <c r="H157" s="121"/>
      <c r="I157" s="121"/>
      <c r="J157" s="121"/>
      <c r="K157" s="121"/>
      <c r="L157" s="121"/>
      <c r="M157" s="121"/>
      <c r="N157" s="121"/>
      <c r="O157" s="121"/>
      <c r="P157" s="121"/>
      <c r="Q157" s="121"/>
      <c r="R157" s="121"/>
      <c r="S157" s="121"/>
      <c r="T157" s="121"/>
      <c r="U157" s="121"/>
      <c r="V157" s="121"/>
      <c r="W157" s="121"/>
      <c r="X157" s="121"/>
      <c r="Y157" s="121"/>
      <c r="Z157" s="121"/>
      <c r="AA157" s="121"/>
      <c r="AB157" s="121"/>
      <c r="AC157" s="121"/>
      <c r="AD157" s="121"/>
      <c r="AE157" s="121"/>
      <c r="AF157" s="121"/>
      <c r="AG157" s="121"/>
      <c r="AH157" s="121"/>
      <c r="AI157" s="121"/>
      <c r="AJ157" s="121"/>
      <c r="AK157" s="121"/>
      <c r="AL157" s="121"/>
      <c r="AM157" s="121"/>
      <c r="AN157" s="121"/>
    </row>
    <row r="158" spans="2:40" x14ac:dyDescent="0.25">
      <c r="B158" s="121"/>
      <c r="C158" s="121"/>
      <c r="D158" s="121"/>
      <c r="E158" s="121"/>
      <c r="F158" s="121"/>
      <c r="G158" s="121"/>
      <c r="H158" s="121"/>
      <c r="I158" s="121"/>
      <c r="J158" s="121"/>
      <c r="K158" s="121"/>
      <c r="L158" s="121"/>
      <c r="M158" s="121"/>
      <c r="N158" s="121"/>
      <c r="O158" s="121"/>
      <c r="P158" s="121"/>
      <c r="Q158" s="121"/>
      <c r="R158" s="121"/>
      <c r="S158" s="121"/>
      <c r="T158" s="121"/>
      <c r="U158" s="121"/>
      <c r="V158" s="121"/>
      <c r="W158" s="121"/>
      <c r="X158" s="121"/>
      <c r="Y158" s="121"/>
      <c r="Z158" s="121"/>
      <c r="AA158" s="121"/>
      <c r="AB158" s="121"/>
      <c r="AC158" s="121"/>
      <c r="AD158" s="121"/>
      <c r="AE158" s="121"/>
      <c r="AF158" s="121"/>
      <c r="AG158" s="121"/>
      <c r="AH158" s="121"/>
      <c r="AI158" s="121"/>
      <c r="AJ158" s="121"/>
      <c r="AK158" s="121"/>
      <c r="AL158" s="121"/>
      <c r="AM158" s="121"/>
      <c r="AN158" s="121"/>
    </row>
    <row r="159" spans="2:40" x14ac:dyDescent="0.25">
      <c r="B159" s="121"/>
      <c r="C159" s="121"/>
      <c r="D159" s="121"/>
      <c r="E159" s="121"/>
      <c r="F159" s="121"/>
      <c r="G159" s="121"/>
      <c r="H159" s="121"/>
      <c r="I159" s="121"/>
      <c r="J159" s="121"/>
      <c r="K159" s="121"/>
      <c r="L159" s="121"/>
      <c r="M159" s="121"/>
      <c r="N159" s="121"/>
      <c r="O159" s="121"/>
      <c r="P159" s="121"/>
      <c r="Q159" s="121"/>
      <c r="R159" s="121"/>
      <c r="S159" s="121"/>
      <c r="T159" s="121"/>
      <c r="U159" s="121"/>
      <c r="V159" s="121"/>
      <c r="W159" s="121"/>
      <c r="X159" s="121"/>
      <c r="Y159" s="121"/>
      <c r="Z159" s="121"/>
      <c r="AA159" s="121"/>
      <c r="AB159" s="121"/>
      <c r="AC159" s="121"/>
      <c r="AD159" s="121"/>
      <c r="AE159" s="121"/>
      <c r="AF159" s="121"/>
      <c r="AG159" s="121"/>
      <c r="AH159" s="121"/>
      <c r="AI159" s="121"/>
      <c r="AJ159" s="121"/>
      <c r="AK159" s="121"/>
      <c r="AL159" s="121"/>
      <c r="AM159" s="121"/>
      <c r="AN159" s="121"/>
    </row>
    <row r="160" spans="2:40" x14ac:dyDescent="0.25">
      <c r="B160" s="121"/>
      <c r="C160" s="121"/>
      <c r="D160" s="121"/>
      <c r="E160" s="121"/>
      <c r="F160" s="121"/>
      <c r="G160" s="121"/>
      <c r="H160" s="121"/>
      <c r="I160" s="121"/>
      <c r="J160" s="121"/>
      <c r="K160" s="121"/>
      <c r="L160" s="121"/>
      <c r="M160" s="121"/>
      <c r="N160" s="121"/>
      <c r="O160" s="121"/>
      <c r="P160" s="121"/>
      <c r="Q160" s="121"/>
      <c r="R160" s="121"/>
      <c r="S160" s="121"/>
      <c r="T160" s="121"/>
      <c r="U160" s="121"/>
      <c r="V160" s="121"/>
      <c r="W160" s="121"/>
      <c r="X160" s="121"/>
      <c r="Y160" s="121"/>
      <c r="Z160" s="121"/>
      <c r="AA160" s="121"/>
      <c r="AB160" s="121"/>
      <c r="AC160" s="121"/>
      <c r="AD160" s="121"/>
      <c r="AE160" s="121"/>
      <c r="AF160" s="121"/>
      <c r="AG160" s="121"/>
      <c r="AH160" s="121"/>
      <c r="AI160" s="121"/>
      <c r="AJ160" s="121"/>
      <c r="AK160" s="121"/>
      <c r="AL160" s="121"/>
      <c r="AM160" s="121"/>
      <c r="AN160" s="121"/>
    </row>
    <row r="161" spans="2:40" x14ac:dyDescent="0.25">
      <c r="B161" s="121"/>
      <c r="C161" s="121"/>
      <c r="D161" s="121"/>
      <c r="E161" s="121"/>
      <c r="F161" s="121"/>
      <c r="G161" s="121"/>
      <c r="H161" s="121"/>
      <c r="I161" s="121"/>
      <c r="J161" s="121"/>
      <c r="K161" s="121"/>
      <c r="L161" s="121"/>
      <c r="M161" s="121"/>
      <c r="N161" s="121"/>
      <c r="O161" s="121"/>
      <c r="P161" s="121"/>
      <c r="Q161" s="121"/>
      <c r="R161" s="121"/>
      <c r="S161" s="121"/>
      <c r="T161" s="121"/>
      <c r="U161" s="121"/>
      <c r="V161" s="121"/>
      <c r="W161" s="121"/>
      <c r="X161" s="121"/>
      <c r="Y161" s="121"/>
      <c r="Z161" s="121"/>
      <c r="AA161" s="121"/>
      <c r="AB161" s="121"/>
      <c r="AC161" s="121"/>
      <c r="AD161" s="121"/>
      <c r="AE161" s="121"/>
      <c r="AF161" s="121"/>
      <c r="AG161" s="121"/>
      <c r="AH161" s="121"/>
      <c r="AI161" s="121"/>
      <c r="AJ161" s="121"/>
      <c r="AK161" s="121"/>
      <c r="AL161" s="121"/>
      <c r="AM161" s="121"/>
      <c r="AN161" s="121"/>
    </row>
    <row r="162" spans="2:40" x14ac:dyDescent="0.25">
      <c r="B162" s="121"/>
      <c r="C162" s="121"/>
      <c r="D162" s="121"/>
      <c r="E162" s="121"/>
      <c r="F162" s="121"/>
      <c r="G162" s="121"/>
      <c r="H162" s="121"/>
      <c r="I162" s="121"/>
      <c r="J162" s="121"/>
      <c r="K162" s="121"/>
      <c r="L162" s="121"/>
      <c r="M162" s="121"/>
      <c r="N162" s="121"/>
      <c r="O162" s="121"/>
      <c r="P162" s="121"/>
      <c r="Q162" s="121"/>
      <c r="R162" s="121"/>
      <c r="S162" s="121"/>
      <c r="T162" s="121"/>
      <c r="U162" s="121"/>
      <c r="V162" s="121"/>
      <c r="W162" s="121"/>
      <c r="X162" s="121"/>
      <c r="Y162" s="121"/>
      <c r="Z162" s="121"/>
      <c r="AA162" s="121"/>
      <c r="AB162" s="121"/>
      <c r="AC162" s="121"/>
      <c r="AD162" s="121"/>
      <c r="AE162" s="121"/>
      <c r="AF162" s="121"/>
      <c r="AG162" s="121"/>
      <c r="AH162" s="121"/>
      <c r="AI162" s="121"/>
      <c r="AJ162" s="121"/>
      <c r="AK162" s="121"/>
      <c r="AL162" s="121"/>
      <c r="AM162" s="121"/>
      <c r="AN162" s="121"/>
    </row>
    <row r="163" spans="2:40" x14ac:dyDescent="0.25">
      <c r="B163" s="121"/>
      <c r="C163" s="121"/>
      <c r="D163" s="121"/>
      <c r="E163" s="121"/>
      <c r="F163" s="121"/>
      <c r="G163" s="121"/>
      <c r="H163" s="121"/>
      <c r="I163" s="121"/>
      <c r="J163" s="121"/>
      <c r="K163" s="121"/>
      <c r="L163" s="121"/>
      <c r="M163" s="121"/>
      <c r="N163" s="121"/>
      <c r="O163" s="121"/>
      <c r="P163" s="121"/>
      <c r="Q163" s="121"/>
      <c r="R163" s="121"/>
      <c r="S163" s="121"/>
      <c r="T163" s="121"/>
      <c r="U163" s="121"/>
      <c r="V163" s="121"/>
      <c r="W163" s="121"/>
      <c r="X163" s="121"/>
      <c r="Y163" s="121"/>
      <c r="Z163" s="121"/>
      <c r="AA163" s="121"/>
      <c r="AB163" s="121"/>
      <c r="AC163" s="121"/>
      <c r="AD163" s="121"/>
      <c r="AE163" s="121"/>
      <c r="AF163" s="121"/>
      <c r="AG163" s="121"/>
      <c r="AH163" s="121"/>
      <c r="AI163" s="121"/>
      <c r="AJ163" s="121"/>
      <c r="AK163" s="121"/>
      <c r="AL163" s="121"/>
      <c r="AM163" s="121"/>
      <c r="AN163" s="121"/>
    </row>
    <row r="164" spans="2:40" x14ac:dyDescent="0.25">
      <c r="B164" s="121"/>
      <c r="C164" s="121"/>
      <c r="D164" s="121"/>
      <c r="E164" s="121"/>
      <c r="F164" s="121"/>
      <c r="G164" s="121"/>
      <c r="H164" s="121"/>
      <c r="I164" s="121"/>
      <c r="J164" s="121"/>
      <c r="K164" s="121"/>
      <c r="L164" s="121"/>
      <c r="M164" s="121"/>
      <c r="N164" s="121"/>
      <c r="O164" s="121"/>
      <c r="P164" s="121"/>
      <c r="Q164" s="121"/>
      <c r="R164" s="121"/>
      <c r="S164" s="121"/>
      <c r="T164" s="121"/>
      <c r="U164" s="121"/>
      <c r="V164" s="121"/>
      <c r="W164" s="121"/>
      <c r="X164" s="121"/>
      <c r="Y164" s="121"/>
      <c r="Z164" s="121"/>
      <c r="AA164" s="121"/>
      <c r="AB164" s="121"/>
      <c r="AC164" s="121"/>
      <c r="AD164" s="121"/>
      <c r="AE164" s="121"/>
      <c r="AF164" s="121"/>
      <c r="AG164" s="121"/>
      <c r="AH164" s="121"/>
      <c r="AI164" s="121"/>
      <c r="AJ164" s="121"/>
      <c r="AK164" s="121"/>
      <c r="AL164" s="121"/>
      <c r="AM164" s="121"/>
      <c r="AN164" s="121"/>
    </row>
    <row r="165" spans="2:40" x14ac:dyDescent="0.25">
      <c r="B165" s="121"/>
      <c r="C165" s="121"/>
      <c r="D165" s="121"/>
      <c r="E165" s="121"/>
      <c r="F165" s="121"/>
      <c r="G165" s="121"/>
      <c r="H165" s="121"/>
      <c r="I165" s="121"/>
      <c r="J165" s="121"/>
      <c r="K165" s="121"/>
      <c r="L165" s="121"/>
      <c r="M165" s="121"/>
      <c r="N165" s="121"/>
      <c r="O165" s="121"/>
      <c r="P165" s="121"/>
      <c r="Q165" s="121"/>
      <c r="R165" s="121"/>
      <c r="S165" s="121"/>
      <c r="T165" s="121"/>
      <c r="U165" s="121"/>
      <c r="V165" s="121"/>
      <c r="W165" s="121"/>
      <c r="X165" s="121"/>
      <c r="Y165" s="121"/>
      <c r="Z165" s="121"/>
      <c r="AA165" s="121"/>
      <c r="AB165" s="121"/>
      <c r="AC165" s="121"/>
      <c r="AD165" s="121"/>
      <c r="AE165" s="121"/>
      <c r="AF165" s="121"/>
      <c r="AG165" s="121"/>
      <c r="AH165" s="121"/>
      <c r="AI165" s="121"/>
      <c r="AJ165" s="121"/>
      <c r="AK165" s="121"/>
      <c r="AL165" s="121"/>
      <c r="AM165" s="121"/>
      <c r="AN165" s="121"/>
    </row>
    <row r="166" spans="2:40" x14ac:dyDescent="0.25">
      <c r="B166" s="121"/>
      <c r="C166" s="121"/>
      <c r="D166" s="121"/>
      <c r="E166" s="121"/>
      <c r="F166" s="121"/>
      <c r="G166" s="121"/>
      <c r="H166" s="121"/>
      <c r="I166" s="121"/>
      <c r="J166" s="121"/>
      <c r="K166" s="121"/>
      <c r="L166" s="121"/>
      <c r="M166" s="121"/>
      <c r="N166" s="121"/>
      <c r="O166" s="121"/>
      <c r="P166" s="121"/>
      <c r="Q166" s="121"/>
      <c r="R166" s="121"/>
      <c r="S166" s="121"/>
      <c r="T166" s="121"/>
      <c r="U166" s="121"/>
      <c r="V166" s="121"/>
      <c r="W166" s="121"/>
      <c r="X166" s="121"/>
      <c r="Y166" s="121"/>
      <c r="Z166" s="121"/>
      <c r="AA166" s="121"/>
      <c r="AB166" s="121"/>
      <c r="AC166" s="121"/>
      <c r="AD166" s="121"/>
      <c r="AE166" s="121"/>
      <c r="AF166" s="121"/>
      <c r="AG166" s="121"/>
      <c r="AH166" s="121"/>
      <c r="AI166" s="121"/>
      <c r="AJ166" s="121"/>
      <c r="AK166" s="121"/>
      <c r="AL166" s="121"/>
      <c r="AM166" s="121"/>
      <c r="AN166" s="121"/>
    </row>
    <row r="167" spans="2:40" x14ac:dyDescent="0.25">
      <c r="B167" s="121"/>
      <c r="C167" s="121"/>
      <c r="D167" s="121"/>
      <c r="E167" s="121"/>
      <c r="F167" s="121"/>
      <c r="G167" s="121"/>
      <c r="H167" s="121"/>
      <c r="I167" s="121"/>
      <c r="J167" s="121"/>
      <c r="K167" s="121"/>
      <c r="L167" s="121"/>
      <c r="M167" s="121"/>
      <c r="N167" s="121"/>
      <c r="O167" s="121"/>
      <c r="P167" s="121"/>
      <c r="Q167" s="121"/>
      <c r="R167" s="121"/>
      <c r="S167" s="121"/>
      <c r="T167" s="121"/>
      <c r="U167" s="121"/>
      <c r="V167" s="121"/>
      <c r="W167" s="121"/>
      <c r="X167" s="121"/>
      <c r="Y167" s="121"/>
      <c r="Z167" s="121"/>
      <c r="AA167" s="121"/>
      <c r="AB167" s="121"/>
      <c r="AC167" s="121"/>
      <c r="AD167" s="121"/>
      <c r="AE167" s="121"/>
      <c r="AF167" s="121"/>
      <c r="AG167" s="121"/>
      <c r="AH167" s="121"/>
      <c r="AI167" s="121"/>
      <c r="AJ167" s="121"/>
      <c r="AK167" s="121"/>
      <c r="AL167" s="121"/>
      <c r="AM167" s="121"/>
      <c r="AN167" s="121"/>
    </row>
    <row r="168" spans="2:40" x14ac:dyDescent="0.25">
      <c r="B168" s="121"/>
      <c r="C168" s="121"/>
      <c r="D168" s="121"/>
      <c r="E168" s="121"/>
      <c r="F168" s="121"/>
      <c r="G168" s="121"/>
      <c r="H168" s="121"/>
      <c r="I168" s="121"/>
      <c r="J168" s="121"/>
      <c r="K168" s="121"/>
      <c r="L168" s="121"/>
      <c r="M168" s="121"/>
      <c r="N168" s="121"/>
      <c r="O168" s="121"/>
      <c r="P168" s="121"/>
      <c r="Q168" s="121"/>
      <c r="R168" s="121"/>
      <c r="S168" s="121"/>
      <c r="T168" s="121"/>
      <c r="U168" s="121"/>
      <c r="V168" s="121"/>
      <c r="W168" s="121"/>
      <c r="X168" s="121"/>
      <c r="Y168" s="121"/>
      <c r="Z168" s="121"/>
      <c r="AA168" s="121"/>
      <c r="AB168" s="121"/>
      <c r="AC168" s="121"/>
      <c r="AD168" s="121"/>
      <c r="AE168" s="121"/>
      <c r="AF168" s="121"/>
      <c r="AG168" s="121"/>
      <c r="AH168" s="121"/>
      <c r="AI168" s="121"/>
      <c r="AJ168" s="121"/>
      <c r="AK168" s="121"/>
      <c r="AL168" s="121"/>
      <c r="AM168" s="121"/>
      <c r="AN168" s="121"/>
    </row>
    <row r="169" spans="2:40" x14ac:dyDescent="0.25">
      <c r="B169" s="121"/>
      <c r="C169" s="121"/>
      <c r="D169" s="121"/>
      <c r="E169" s="121"/>
      <c r="F169" s="121"/>
      <c r="G169" s="121"/>
      <c r="H169" s="121"/>
      <c r="I169" s="121"/>
      <c r="J169" s="121"/>
      <c r="K169" s="121"/>
      <c r="L169" s="121"/>
      <c r="M169" s="121"/>
      <c r="N169" s="121"/>
      <c r="O169" s="121"/>
      <c r="P169" s="121"/>
      <c r="Q169" s="121"/>
      <c r="R169" s="121"/>
      <c r="S169" s="121"/>
      <c r="T169" s="121"/>
      <c r="U169" s="121"/>
      <c r="V169" s="121"/>
      <c r="W169" s="121"/>
      <c r="X169" s="121"/>
      <c r="Y169" s="121"/>
      <c r="Z169" s="121"/>
      <c r="AA169" s="121"/>
      <c r="AB169" s="121"/>
      <c r="AC169" s="121"/>
      <c r="AD169" s="121"/>
      <c r="AE169" s="121"/>
      <c r="AF169" s="121"/>
      <c r="AG169" s="121"/>
      <c r="AH169" s="121"/>
      <c r="AI169" s="121"/>
      <c r="AJ169" s="121"/>
      <c r="AK169" s="121"/>
      <c r="AL169" s="121"/>
      <c r="AM169" s="121"/>
      <c r="AN169" s="121"/>
    </row>
    <row r="170" spans="2:40" x14ac:dyDescent="0.25">
      <c r="B170" s="121"/>
      <c r="C170" s="121"/>
      <c r="D170" s="121"/>
      <c r="E170" s="121"/>
      <c r="F170" s="121"/>
      <c r="G170" s="121"/>
      <c r="H170" s="121"/>
      <c r="I170" s="121"/>
      <c r="J170" s="121"/>
      <c r="K170" s="121"/>
      <c r="L170" s="121"/>
      <c r="M170" s="121"/>
      <c r="N170" s="121"/>
      <c r="O170" s="121"/>
      <c r="P170" s="121"/>
      <c r="Q170" s="121"/>
      <c r="R170" s="121"/>
      <c r="S170" s="121"/>
      <c r="T170" s="121"/>
      <c r="U170" s="121"/>
      <c r="V170" s="121"/>
      <c r="W170" s="121"/>
      <c r="X170" s="121"/>
      <c r="Y170" s="121"/>
      <c r="Z170" s="121"/>
      <c r="AA170" s="121"/>
      <c r="AB170" s="121"/>
      <c r="AC170" s="121"/>
      <c r="AD170" s="121"/>
      <c r="AE170" s="121"/>
      <c r="AF170" s="121"/>
      <c r="AG170" s="121"/>
      <c r="AH170" s="121"/>
      <c r="AI170" s="121"/>
      <c r="AJ170" s="121"/>
      <c r="AK170" s="121"/>
      <c r="AL170" s="121"/>
      <c r="AM170" s="121"/>
      <c r="AN170" s="121"/>
    </row>
    <row r="171" spans="2:40" x14ac:dyDescent="0.25">
      <c r="B171" s="121"/>
      <c r="C171" s="121"/>
      <c r="D171" s="121"/>
      <c r="E171" s="121"/>
      <c r="F171" s="121"/>
      <c r="G171" s="121"/>
      <c r="H171" s="121"/>
      <c r="I171" s="121"/>
      <c r="J171" s="121"/>
      <c r="K171" s="121"/>
      <c r="L171" s="121"/>
      <c r="M171" s="121"/>
      <c r="N171" s="121"/>
      <c r="O171" s="121"/>
      <c r="P171" s="121"/>
      <c r="Q171" s="121"/>
      <c r="R171" s="121"/>
      <c r="S171" s="121"/>
      <c r="T171" s="121"/>
      <c r="U171" s="121"/>
      <c r="V171" s="121"/>
      <c r="W171" s="121"/>
      <c r="X171" s="121"/>
      <c r="Y171" s="121"/>
      <c r="Z171" s="121"/>
      <c r="AA171" s="121"/>
      <c r="AB171" s="121"/>
      <c r="AC171" s="121"/>
      <c r="AD171" s="121"/>
      <c r="AE171" s="121"/>
      <c r="AF171" s="121"/>
      <c r="AG171" s="121"/>
      <c r="AH171" s="121"/>
      <c r="AI171" s="121"/>
      <c r="AJ171" s="121"/>
      <c r="AK171" s="121"/>
      <c r="AL171" s="121"/>
      <c r="AM171" s="121"/>
      <c r="AN171" s="121"/>
    </row>
    <row r="172" spans="2:40" x14ac:dyDescent="0.25">
      <c r="B172" s="121"/>
      <c r="C172" s="121"/>
      <c r="D172" s="121"/>
      <c r="E172" s="121"/>
      <c r="F172" s="121"/>
      <c r="G172" s="121"/>
      <c r="H172" s="121"/>
      <c r="I172" s="121"/>
      <c r="J172" s="121"/>
      <c r="K172" s="121"/>
      <c r="L172" s="121"/>
      <c r="M172" s="121"/>
      <c r="N172" s="121"/>
      <c r="O172" s="121"/>
      <c r="P172" s="121"/>
      <c r="Q172" s="121"/>
      <c r="R172" s="121"/>
      <c r="S172" s="121"/>
      <c r="T172" s="121"/>
      <c r="U172" s="121"/>
      <c r="V172" s="121"/>
      <c r="W172" s="121"/>
      <c r="X172" s="121"/>
      <c r="Y172" s="121"/>
      <c r="Z172" s="121"/>
      <c r="AA172" s="121"/>
      <c r="AB172" s="121"/>
      <c r="AC172" s="121"/>
      <c r="AD172" s="121"/>
      <c r="AE172" s="121"/>
      <c r="AF172" s="121"/>
      <c r="AG172" s="121"/>
      <c r="AH172" s="121"/>
      <c r="AI172" s="121"/>
      <c r="AJ172" s="121"/>
      <c r="AK172" s="121"/>
      <c r="AL172" s="121"/>
      <c r="AM172" s="121"/>
      <c r="AN172" s="121"/>
    </row>
    <row r="173" spans="2:40" x14ac:dyDescent="0.25">
      <c r="B173" s="121"/>
      <c r="C173" s="121"/>
      <c r="D173" s="121"/>
      <c r="E173" s="121"/>
      <c r="F173" s="121"/>
      <c r="G173" s="121"/>
      <c r="H173" s="121"/>
      <c r="I173" s="121"/>
      <c r="J173" s="121"/>
      <c r="K173" s="121"/>
      <c r="L173" s="121"/>
      <c r="M173" s="121"/>
      <c r="N173" s="121"/>
      <c r="O173" s="121"/>
      <c r="P173" s="121"/>
      <c r="Q173" s="121"/>
      <c r="R173" s="121"/>
      <c r="S173" s="121"/>
      <c r="T173" s="121"/>
      <c r="U173" s="121"/>
      <c r="V173" s="121"/>
      <c r="W173" s="121"/>
      <c r="X173" s="121"/>
      <c r="Y173" s="121"/>
      <c r="Z173" s="121"/>
      <c r="AA173" s="121"/>
      <c r="AB173" s="121"/>
      <c r="AC173" s="121"/>
      <c r="AD173" s="121"/>
      <c r="AE173" s="121"/>
      <c r="AF173" s="121"/>
      <c r="AG173" s="121"/>
      <c r="AH173" s="121"/>
      <c r="AI173" s="121"/>
      <c r="AJ173" s="121"/>
      <c r="AK173" s="121"/>
      <c r="AL173" s="121"/>
      <c r="AM173" s="121"/>
      <c r="AN173" s="121"/>
    </row>
    <row r="174" spans="2:40" x14ac:dyDescent="0.25">
      <c r="B174" s="121"/>
      <c r="C174" s="121"/>
      <c r="D174" s="121"/>
      <c r="E174" s="121"/>
      <c r="F174" s="121"/>
      <c r="G174" s="121"/>
      <c r="H174" s="121"/>
      <c r="I174" s="121"/>
      <c r="J174" s="121"/>
      <c r="K174" s="121"/>
      <c r="L174" s="121"/>
      <c r="M174" s="121"/>
      <c r="N174" s="121"/>
      <c r="O174" s="121"/>
      <c r="P174" s="121"/>
      <c r="Q174" s="121"/>
      <c r="R174" s="121"/>
      <c r="S174" s="121"/>
      <c r="T174" s="121"/>
      <c r="U174" s="121"/>
      <c r="V174" s="121"/>
      <c r="W174" s="121"/>
      <c r="X174" s="121"/>
      <c r="Y174" s="121"/>
      <c r="Z174" s="121"/>
      <c r="AA174" s="121"/>
      <c r="AB174" s="121"/>
      <c r="AC174" s="121"/>
      <c r="AD174" s="121"/>
      <c r="AE174" s="121"/>
      <c r="AF174" s="121"/>
      <c r="AG174" s="121"/>
      <c r="AH174" s="121"/>
      <c r="AI174" s="121"/>
      <c r="AJ174" s="121"/>
      <c r="AK174" s="121"/>
      <c r="AL174" s="121"/>
      <c r="AM174" s="121"/>
      <c r="AN174" s="121"/>
    </row>
    <row r="175" spans="2:40" x14ac:dyDescent="0.25">
      <c r="B175" s="121"/>
      <c r="C175" s="121"/>
      <c r="D175" s="121"/>
      <c r="E175" s="121"/>
      <c r="F175" s="121"/>
      <c r="G175" s="121"/>
      <c r="H175" s="121"/>
      <c r="I175" s="121"/>
      <c r="J175" s="121"/>
      <c r="K175" s="121"/>
      <c r="L175" s="121"/>
      <c r="M175" s="121"/>
      <c r="N175" s="121"/>
      <c r="O175" s="121"/>
      <c r="P175" s="121"/>
      <c r="Q175" s="121"/>
      <c r="R175" s="121"/>
      <c r="S175" s="121"/>
      <c r="T175" s="121"/>
      <c r="U175" s="121"/>
      <c r="V175" s="121"/>
      <c r="W175" s="121"/>
      <c r="X175" s="121"/>
      <c r="Y175" s="121"/>
      <c r="Z175" s="121"/>
      <c r="AA175" s="121"/>
      <c r="AB175" s="121"/>
      <c r="AC175" s="121"/>
      <c r="AD175" s="121"/>
      <c r="AE175" s="121"/>
      <c r="AF175" s="121"/>
      <c r="AG175" s="121"/>
      <c r="AH175" s="121"/>
      <c r="AI175" s="121"/>
      <c r="AJ175" s="121"/>
      <c r="AK175" s="121"/>
      <c r="AL175" s="121"/>
      <c r="AM175" s="121"/>
      <c r="AN175" s="121"/>
    </row>
    <row r="176" spans="2:40" x14ac:dyDescent="0.25">
      <c r="B176" s="121"/>
      <c r="C176" s="121"/>
      <c r="D176" s="121"/>
      <c r="E176" s="121"/>
      <c r="F176" s="121"/>
      <c r="G176" s="121"/>
      <c r="H176" s="121"/>
      <c r="I176" s="121"/>
      <c r="J176" s="121"/>
      <c r="K176" s="121"/>
      <c r="L176" s="121"/>
      <c r="M176" s="121"/>
      <c r="N176" s="121"/>
      <c r="O176" s="121"/>
      <c r="P176" s="121"/>
      <c r="Q176" s="121"/>
      <c r="R176" s="121"/>
      <c r="S176" s="121"/>
      <c r="T176" s="121"/>
      <c r="U176" s="121"/>
      <c r="V176" s="121"/>
      <c r="W176" s="121"/>
      <c r="X176" s="121"/>
      <c r="Y176" s="121"/>
      <c r="Z176" s="121"/>
      <c r="AA176" s="121"/>
      <c r="AB176" s="121"/>
      <c r="AC176" s="121"/>
      <c r="AD176" s="121"/>
      <c r="AE176" s="121"/>
      <c r="AF176" s="121"/>
      <c r="AG176" s="121"/>
      <c r="AH176" s="121"/>
      <c r="AI176" s="121"/>
      <c r="AJ176" s="121"/>
      <c r="AK176" s="121"/>
      <c r="AL176" s="121"/>
      <c r="AM176" s="121"/>
      <c r="AN176" s="121"/>
    </row>
    <row r="177" spans="2:40" x14ac:dyDescent="0.25">
      <c r="B177" s="121"/>
      <c r="C177" s="121"/>
      <c r="D177" s="121"/>
      <c r="E177" s="121"/>
      <c r="F177" s="121"/>
      <c r="G177" s="121"/>
      <c r="H177" s="121"/>
      <c r="I177" s="121"/>
      <c r="J177" s="121"/>
      <c r="K177" s="121"/>
      <c r="L177" s="121"/>
      <c r="M177" s="121"/>
      <c r="N177" s="121"/>
      <c r="O177" s="121"/>
      <c r="P177" s="121"/>
      <c r="Q177" s="121"/>
      <c r="R177" s="121"/>
      <c r="S177" s="121"/>
      <c r="T177" s="121"/>
      <c r="U177" s="121"/>
      <c r="V177" s="121"/>
      <c r="W177" s="121"/>
      <c r="X177" s="121"/>
      <c r="Y177" s="121"/>
      <c r="Z177" s="121"/>
      <c r="AA177" s="121"/>
      <c r="AB177" s="121"/>
      <c r="AC177" s="121"/>
      <c r="AD177" s="121"/>
      <c r="AE177" s="121"/>
      <c r="AF177" s="121"/>
      <c r="AG177" s="121"/>
      <c r="AH177" s="121"/>
      <c r="AI177" s="121"/>
      <c r="AJ177" s="121"/>
      <c r="AK177" s="121"/>
      <c r="AL177" s="121"/>
      <c r="AM177" s="121"/>
      <c r="AN177" s="121"/>
    </row>
    <row r="178" spans="2:40" x14ac:dyDescent="0.25">
      <c r="B178" s="121"/>
      <c r="C178" s="121"/>
      <c r="D178" s="121"/>
      <c r="E178" s="121"/>
      <c r="F178" s="121"/>
      <c r="G178" s="121"/>
      <c r="H178" s="121"/>
      <c r="I178" s="121"/>
      <c r="J178" s="121"/>
      <c r="K178" s="121"/>
      <c r="L178" s="121"/>
      <c r="M178" s="121"/>
      <c r="N178" s="121"/>
      <c r="O178" s="121"/>
      <c r="P178" s="121"/>
      <c r="Q178" s="121"/>
      <c r="R178" s="121"/>
      <c r="S178" s="121"/>
      <c r="T178" s="121"/>
      <c r="U178" s="121"/>
      <c r="V178" s="121"/>
      <c r="W178" s="121"/>
      <c r="X178" s="121"/>
      <c r="Y178" s="121"/>
      <c r="Z178" s="121"/>
      <c r="AA178" s="121"/>
      <c r="AB178" s="121"/>
      <c r="AC178" s="121"/>
      <c r="AD178" s="121"/>
      <c r="AE178" s="121"/>
      <c r="AF178" s="121"/>
      <c r="AG178" s="121"/>
      <c r="AH178" s="121"/>
      <c r="AI178" s="121"/>
      <c r="AJ178" s="121"/>
      <c r="AK178" s="121"/>
      <c r="AL178" s="121"/>
      <c r="AM178" s="121"/>
      <c r="AN178" s="121"/>
    </row>
    <row r="179" spans="2:40" x14ac:dyDescent="0.25">
      <c r="B179" s="121"/>
      <c r="C179" s="121"/>
      <c r="D179" s="121"/>
      <c r="E179" s="121"/>
      <c r="F179" s="121"/>
      <c r="G179" s="121"/>
      <c r="H179" s="121"/>
      <c r="I179" s="121"/>
      <c r="J179" s="121"/>
      <c r="K179" s="121"/>
      <c r="L179" s="121"/>
      <c r="M179" s="121"/>
      <c r="N179" s="121"/>
      <c r="O179" s="121"/>
      <c r="P179" s="121"/>
      <c r="Q179" s="121"/>
      <c r="R179" s="121"/>
      <c r="S179" s="121"/>
      <c r="T179" s="121"/>
      <c r="U179" s="121"/>
      <c r="V179" s="121"/>
      <c r="W179" s="121"/>
      <c r="X179" s="121"/>
      <c r="Y179" s="121"/>
      <c r="Z179" s="121"/>
      <c r="AA179" s="121"/>
      <c r="AB179" s="121"/>
      <c r="AC179" s="121"/>
      <c r="AD179" s="121"/>
      <c r="AE179" s="121"/>
      <c r="AF179" s="121"/>
      <c r="AG179" s="121"/>
      <c r="AH179" s="121"/>
      <c r="AI179" s="121"/>
      <c r="AJ179" s="121"/>
      <c r="AK179" s="121"/>
      <c r="AL179" s="121"/>
      <c r="AM179" s="121"/>
      <c r="AN179" s="121"/>
    </row>
    <row r="180" spans="2:40" x14ac:dyDescent="0.25">
      <c r="B180" s="121"/>
      <c r="C180" s="121"/>
      <c r="D180" s="121"/>
      <c r="E180" s="121"/>
      <c r="F180" s="121"/>
      <c r="G180" s="121"/>
      <c r="H180" s="121"/>
      <c r="I180" s="121"/>
      <c r="J180" s="121"/>
      <c r="K180" s="121"/>
      <c r="L180" s="121"/>
      <c r="M180" s="121"/>
      <c r="N180" s="121"/>
      <c r="O180" s="121"/>
      <c r="P180" s="121"/>
      <c r="Q180" s="121"/>
      <c r="R180" s="121"/>
      <c r="S180" s="121"/>
      <c r="T180" s="121"/>
      <c r="U180" s="121"/>
      <c r="V180" s="121"/>
      <c r="W180" s="121"/>
      <c r="X180" s="121"/>
      <c r="Y180" s="121"/>
      <c r="Z180" s="121"/>
      <c r="AA180" s="121"/>
      <c r="AB180" s="121"/>
      <c r="AC180" s="121"/>
      <c r="AD180" s="121"/>
      <c r="AE180" s="121"/>
      <c r="AF180" s="121"/>
      <c r="AG180" s="121"/>
      <c r="AH180" s="121"/>
      <c r="AI180" s="121"/>
      <c r="AJ180" s="121"/>
      <c r="AK180" s="121"/>
      <c r="AL180" s="121"/>
      <c r="AM180" s="121"/>
      <c r="AN180" s="121"/>
    </row>
    <row r="181" spans="2:40" x14ac:dyDescent="0.25">
      <c r="B181" s="121"/>
      <c r="C181" s="121"/>
      <c r="D181" s="121"/>
      <c r="E181" s="121"/>
      <c r="F181" s="121"/>
      <c r="G181" s="121"/>
      <c r="H181" s="121"/>
      <c r="I181" s="121"/>
      <c r="J181" s="121"/>
      <c r="K181" s="121"/>
      <c r="L181" s="121"/>
      <c r="M181" s="121"/>
      <c r="N181" s="121"/>
      <c r="O181" s="121"/>
      <c r="P181" s="121"/>
      <c r="Q181" s="121"/>
      <c r="R181" s="121"/>
      <c r="S181" s="121"/>
      <c r="T181" s="121"/>
      <c r="U181" s="121"/>
      <c r="V181" s="121"/>
      <c r="W181" s="121"/>
      <c r="X181" s="121"/>
      <c r="Y181" s="121"/>
      <c r="Z181" s="121"/>
      <c r="AA181" s="121"/>
      <c r="AB181" s="121"/>
      <c r="AC181" s="121"/>
      <c r="AD181" s="121"/>
      <c r="AE181" s="121"/>
      <c r="AF181" s="121"/>
      <c r="AG181" s="121"/>
      <c r="AH181" s="121"/>
      <c r="AI181" s="121"/>
      <c r="AJ181" s="121"/>
      <c r="AK181" s="121"/>
      <c r="AL181" s="121"/>
      <c r="AM181" s="121"/>
      <c r="AN181" s="121"/>
    </row>
    <row r="182" spans="2:40" x14ac:dyDescent="0.25">
      <c r="B182" s="121"/>
      <c r="C182" s="121"/>
      <c r="D182" s="121"/>
      <c r="E182" s="121"/>
      <c r="F182" s="121"/>
      <c r="G182" s="121"/>
      <c r="H182" s="121"/>
      <c r="I182" s="121"/>
      <c r="J182" s="121"/>
      <c r="K182" s="121"/>
      <c r="L182" s="121"/>
      <c r="M182" s="121"/>
      <c r="N182" s="121"/>
      <c r="O182" s="121"/>
      <c r="P182" s="121"/>
      <c r="Q182" s="121"/>
      <c r="R182" s="121"/>
      <c r="S182" s="121"/>
      <c r="T182" s="121"/>
      <c r="U182" s="121"/>
      <c r="V182" s="121"/>
      <c r="W182" s="121"/>
      <c r="X182" s="121"/>
      <c r="Y182" s="121"/>
      <c r="Z182" s="121"/>
      <c r="AA182" s="121"/>
      <c r="AB182" s="121"/>
      <c r="AC182" s="121"/>
      <c r="AD182" s="121"/>
      <c r="AE182" s="121"/>
      <c r="AF182" s="121"/>
      <c r="AG182" s="121"/>
      <c r="AH182" s="121"/>
      <c r="AI182" s="121"/>
      <c r="AJ182" s="121"/>
      <c r="AK182" s="121"/>
      <c r="AL182" s="121"/>
      <c r="AM182" s="121"/>
      <c r="AN182" s="121"/>
    </row>
    <row r="183" spans="2:40" x14ac:dyDescent="0.25">
      <c r="B183" s="121"/>
      <c r="C183" s="121"/>
      <c r="D183" s="121"/>
      <c r="E183" s="121"/>
      <c r="F183" s="121"/>
      <c r="G183" s="121"/>
      <c r="H183" s="121"/>
      <c r="I183" s="121"/>
      <c r="J183" s="121"/>
      <c r="K183" s="121"/>
      <c r="L183" s="121"/>
      <c r="M183" s="121"/>
      <c r="N183" s="121"/>
      <c r="O183" s="121"/>
      <c r="P183" s="121"/>
      <c r="Q183" s="121"/>
      <c r="R183" s="121"/>
      <c r="S183" s="121"/>
      <c r="T183" s="121"/>
      <c r="U183" s="121"/>
      <c r="V183" s="121"/>
      <c r="W183" s="121"/>
      <c r="X183" s="121"/>
      <c r="Y183" s="121"/>
      <c r="Z183" s="121"/>
      <c r="AA183" s="121"/>
      <c r="AB183" s="121"/>
      <c r="AC183" s="121"/>
      <c r="AD183" s="121"/>
      <c r="AE183" s="121"/>
      <c r="AF183" s="121"/>
      <c r="AG183" s="121"/>
      <c r="AH183" s="121"/>
      <c r="AI183" s="121"/>
      <c r="AJ183" s="121"/>
      <c r="AK183" s="121"/>
      <c r="AL183" s="121"/>
      <c r="AM183" s="121"/>
      <c r="AN183" s="121"/>
    </row>
    <row r="184" spans="2:40" x14ac:dyDescent="0.25">
      <c r="B184" s="121"/>
      <c r="C184" s="121"/>
      <c r="D184" s="121"/>
      <c r="E184" s="121"/>
      <c r="F184" s="121"/>
      <c r="G184" s="121"/>
      <c r="H184" s="121"/>
      <c r="I184" s="121"/>
      <c r="J184" s="121"/>
      <c r="K184" s="121"/>
      <c r="L184" s="121"/>
      <c r="M184" s="121"/>
      <c r="N184" s="121"/>
      <c r="O184" s="121"/>
      <c r="P184" s="121"/>
      <c r="Q184" s="121"/>
      <c r="R184" s="121"/>
      <c r="S184" s="121"/>
      <c r="T184" s="121"/>
      <c r="U184" s="121"/>
      <c r="V184" s="121"/>
      <c r="W184" s="121"/>
      <c r="X184" s="121"/>
      <c r="Y184" s="121"/>
      <c r="Z184" s="121"/>
      <c r="AA184" s="121"/>
      <c r="AB184" s="121"/>
      <c r="AC184" s="121"/>
      <c r="AD184" s="121"/>
      <c r="AE184" s="121"/>
      <c r="AF184" s="121"/>
      <c r="AG184" s="121"/>
      <c r="AH184" s="121"/>
      <c r="AI184" s="121"/>
      <c r="AJ184" s="121"/>
      <c r="AK184" s="121"/>
      <c r="AL184" s="121"/>
      <c r="AM184" s="121"/>
      <c r="AN184" s="121"/>
    </row>
    <row r="185" spans="2:40" x14ac:dyDescent="0.25">
      <c r="B185" s="121"/>
      <c r="C185" s="121"/>
      <c r="D185" s="121"/>
      <c r="E185" s="121"/>
      <c r="F185" s="121"/>
      <c r="G185" s="121"/>
      <c r="H185" s="121"/>
      <c r="I185" s="121"/>
      <c r="J185" s="121"/>
      <c r="K185" s="121"/>
      <c r="L185" s="121"/>
      <c r="M185" s="121"/>
      <c r="N185" s="121"/>
      <c r="O185" s="121"/>
      <c r="P185" s="121"/>
      <c r="Q185" s="121"/>
      <c r="R185" s="121"/>
      <c r="S185" s="121"/>
      <c r="T185" s="121"/>
      <c r="U185" s="121"/>
      <c r="V185" s="121"/>
      <c r="W185" s="121"/>
      <c r="X185" s="121"/>
      <c r="Y185" s="121"/>
      <c r="Z185" s="121"/>
      <c r="AA185" s="121"/>
      <c r="AB185" s="121"/>
      <c r="AC185" s="121"/>
      <c r="AD185" s="121"/>
      <c r="AE185" s="121"/>
      <c r="AF185" s="121"/>
      <c r="AG185" s="121"/>
      <c r="AH185" s="121"/>
      <c r="AI185" s="121"/>
      <c r="AJ185" s="121"/>
      <c r="AK185" s="121"/>
      <c r="AL185" s="121"/>
      <c r="AM185" s="121"/>
      <c r="AN185" s="121"/>
    </row>
    <row r="186" spans="2:40" x14ac:dyDescent="0.25">
      <c r="B186" s="121"/>
      <c r="C186" s="121"/>
      <c r="D186" s="121"/>
      <c r="E186" s="121"/>
      <c r="F186" s="121"/>
      <c r="G186" s="121"/>
      <c r="H186" s="121"/>
      <c r="I186" s="121"/>
      <c r="J186" s="121"/>
      <c r="K186" s="121"/>
      <c r="L186" s="121"/>
      <c r="M186" s="121"/>
      <c r="N186" s="121"/>
      <c r="O186" s="121"/>
      <c r="P186" s="121"/>
      <c r="Q186" s="121"/>
      <c r="R186" s="121"/>
      <c r="S186" s="121"/>
      <c r="T186" s="121"/>
      <c r="U186" s="121"/>
      <c r="V186" s="121"/>
      <c r="W186" s="121"/>
      <c r="X186" s="121"/>
      <c r="Y186" s="121"/>
      <c r="Z186" s="121"/>
      <c r="AA186" s="121"/>
      <c r="AB186" s="121"/>
      <c r="AC186" s="121"/>
      <c r="AD186" s="121"/>
      <c r="AE186" s="121"/>
      <c r="AF186" s="121"/>
      <c r="AG186" s="121"/>
      <c r="AH186" s="121"/>
      <c r="AI186" s="121"/>
      <c r="AJ186" s="121"/>
      <c r="AK186" s="121"/>
      <c r="AL186" s="121"/>
      <c r="AM186" s="121"/>
      <c r="AN186" s="121"/>
    </row>
    <row r="187" spans="2:40" x14ac:dyDescent="0.25">
      <c r="B187" s="121"/>
      <c r="C187" s="121"/>
      <c r="D187" s="121"/>
      <c r="E187" s="121"/>
      <c r="F187" s="121"/>
      <c r="G187" s="121"/>
      <c r="H187" s="121"/>
      <c r="I187" s="121"/>
      <c r="J187" s="121"/>
      <c r="K187" s="121"/>
      <c r="L187" s="121"/>
      <c r="M187" s="121"/>
      <c r="N187" s="121"/>
      <c r="O187" s="121"/>
      <c r="P187" s="121"/>
      <c r="Q187" s="121"/>
      <c r="R187" s="121"/>
      <c r="S187" s="121"/>
      <c r="T187" s="121"/>
      <c r="U187" s="121"/>
      <c r="V187" s="121"/>
      <c r="W187" s="121"/>
      <c r="X187" s="121"/>
      <c r="Y187" s="121"/>
      <c r="Z187" s="121"/>
      <c r="AA187" s="121"/>
      <c r="AB187" s="121"/>
      <c r="AC187" s="121"/>
      <c r="AD187" s="121"/>
      <c r="AE187" s="121"/>
      <c r="AF187" s="121"/>
      <c r="AG187" s="121"/>
      <c r="AH187" s="121"/>
      <c r="AI187" s="121"/>
      <c r="AJ187" s="121"/>
      <c r="AK187" s="121"/>
      <c r="AL187" s="121"/>
      <c r="AM187" s="121"/>
      <c r="AN187" s="121"/>
    </row>
    <row r="188" spans="2:40" x14ac:dyDescent="0.25">
      <c r="B188" s="121"/>
      <c r="C188" s="121"/>
      <c r="D188" s="121"/>
      <c r="E188" s="121"/>
      <c r="F188" s="121"/>
      <c r="G188" s="121"/>
      <c r="H188" s="121"/>
      <c r="I188" s="121"/>
      <c r="J188" s="121"/>
      <c r="K188" s="121"/>
      <c r="L188" s="121"/>
      <c r="M188" s="121"/>
      <c r="N188" s="121"/>
      <c r="O188" s="121"/>
      <c r="P188" s="121"/>
      <c r="Q188" s="121"/>
      <c r="R188" s="121"/>
      <c r="S188" s="121"/>
      <c r="T188" s="121"/>
      <c r="U188" s="121"/>
      <c r="V188" s="121"/>
      <c r="W188" s="121"/>
      <c r="X188" s="121"/>
      <c r="Y188" s="121"/>
      <c r="Z188" s="121"/>
      <c r="AA188" s="121"/>
      <c r="AB188" s="121"/>
      <c r="AC188" s="121"/>
      <c r="AD188" s="121"/>
      <c r="AE188" s="121"/>
      <c r="AF188" s="121"/>
      <c r="AG188" s="121"/>
      <c r="AH188" s="121"/>
      <c r="AI188" s="121"/>
      <c r="AJ188" s="121"/>
      <c r="AK188" s="121"/>
      <c r="AL188" s="121"/>
      <c r="AM188" s="121"/>
      <c r="AN188" s="121"/>
    </row>
    <row r="189" spans="2:40" x14ac:dyDescent="0.25">
      <c r="B189" s="121"/>
      <c r="C189" s="121"/>
      <c r="D189" s="121"/>
      <c r="E189" s="121"/>
      <c r="F189" s="121"/>
      <c r="G189" s="121"/>
      <c r="H189" s="121"/>
      <c r="I189" s="121"/>
      <c r="J189" s="121"/>
      <c r="K189" s="121"/>
      <c r="L189" s="121"/>
      <c r="M189" s="121"/>
      <c r="N189" s="121"/>
      <c r="O189" s="121"/>
      <c r="P189" s="121"/>
      <c r="Q189" s="121"/>
      <c r="R189" s="121"/>
      <c r="S189" s="121"/>
      <c r="T189" s="121"/>
      <c r="U189" s="121"/>
      <c r="V189" s="121"/>
      <c r="W189" s="121"/>
      <c r="X189" s="121"/>
      <c r="Y189" s="121"/>
      <c r="Z189" s="121"/>
      <c r="AA189" s="121"/>
      <c r="AB189" s="121"/>
      <c r="AC189" s="121"/>
      <c r="AD189" s="121"/>
      <c r="AE189" s="121"/>
      <c r="AF189" s="121"/>
      <c r="AG189" s="121"/>
      <c r="AH189" s="121"/>
      <c r="AI189" s="121"/>
      <c r="AJ189" s="121"/>
      <c r="AK189" s="121"/>
      <c r="AL189" s="121"/>
      <c r="AM189" s="121"/>
      <c r="AN189" s="121"/>
    </row>
    <row r="190" spans="2:40" x14ac:dyDescent="0.25">
      <c r="B190" s="121"/>
      <c r="C190" s="121"/>
      <c r="D190" s="121"/>
      <c r="E190" s="121"/>
      <c r="F190" s="121"/>
      <c r="G190" s="121"/>
      <c r="H190" s="121"/>
      <c r="I190" s="121"/>
      <c r="J190" s="121"/>
      <c r="K190" s="121"/>
      <c r="L190" s="121"/>
      <c r="M190" s="121"/>
      <c r="N190" s="121"/>
      <c r="O190" s="121"/>
      <c r="P190" s="121"/>
      <c r="Q190" s="121"/>
      <c r="R190" s="121"/>
      <c r="S190" s="121"/>
      <c r="T190" s="121"/>
      <c r="U190" s="121"/>
      <c r="V190" s="121"/>
      <c r="W190" s="121"/>
      <c r="X190" s="121"/>
      <c r="Y190" s="121"/>
      <c r="Z190" s="121"/>
      <c r="AA190" s="121"/>
      <c r="AB190" s="121"/>
      <c r="AC190" s="121"/>
      <c r="AD190" s="121"/>
      <c r="AE190" s="121"/>
      <c r="AF190" s="121"/>
      <c r="AG190" s="121"/>
      <c r="AH190" s="121"/>
      <c r="AI190" s="121"/>
      <c r="AJ190" s="121"/>
      <c r="AK190" s="121"/>
      <c r="AL190" s="121"/>
      <c r="AM190" s="121"/>
      <c r="AN190" s="121"/>
    </row>
    <row r="191" spans="2:40" x14ac:dyDescent="0.25">
      <c r="B191" s="121"/>
      <c r="C191" s="121"/>
      <c r="D191" s="121"/>
      <c r="E191" s="121"/>
      <c r="F191" s="121"/>
      <c r="G191" s="121"/>
      <c r="H191" s="121"/>
      <c r="I191" s="121"/>
      <c r="J191" s="121"/>
      <c r="K191" s="121"/>
      <c r="L191" s="121"/>
      <c r="M191" s="121"/>
      <c r="N191" s="121"/>
      <c r="O191" s="121"/>
      <c r="P191" s="121"/>
      <c r="Q191" s="121"/>
      <c r="R191" s="121"/>
      <c r="S191" s="121"/>
      <c r="T191" s="121"/>
      <c r="U191" s="121"/>
      <c r="V191" s="121"/>
      <c r="W191" s="121"/>
      <c r="X191" s="121"/>
      <c r="Y191" s="121"/>
      <c r="Z191" s="121"/>
      <c r="AA191" s="121"/>
      <c r="AB191" s="121"/>
      <c r="AC191" s="121"/>
      <c r="AD191" s="121"/>
      <c r="AE191" s="121"/>
      <c r="AF191" s="121"/>
      <c r="AG191" s="121"/>
      <c r="AH191" s="121"/>
      <c r="AI191" s="121"/>
      <c r="AJ191" s="121"/>
      <c r="AK191" s="121"/>
      <c r="AL191" s="121"/>
      <c r="AM191" s="121"/>
      <c r="AN191" s="121"/>
    </row>
    <row r="192" spans="2:40" x14ac:dyDescent="0.25">
      <c r="B192" s="121"/>
      <c r="C192" s="121"/>
      <c r="D192" s="121"/>
      <c r="E192" s="121"/>
      <c r="F192" s="121"/>
      <c r="G192" s="121"/>
      <c r="H192" s="121"/>
      <c r="I192" s="121"/>
      <c r="J192" s="121"/>
      <c r="K192" s="121"/>
      <c r="L192" s="121"/>
      <c r="M192" s="121"/>
      <c r="N192" s="121"/>
      <c r="O192" s="121"/>
      <c r="P192" s="121"/>
      <c r="Q192" s="121"/>
      <c r="R192" s="121"/>
      <c r="S192" s="121"/>
      <c r="T192" s="121"/>
      <c r="U192" s="121"/>
      <c r="V192" s="121"/>
      <c r="W192" s="121"/>
      <c r="X192" s="121"/>
      <c r="Y192" s="121"/>
      <c r="Z192" s="121"/>
      <c r="AA192" s="121"/>
      <c r="AB192" s="121"/>
      <c r="AC192" s="121"/>
      <c r="AD192" s="121"/>
      <c r="AE192" s="121"/>
      <c r="AF192" s="121"/>
      <c r="AG192" s="121"/>
      <c r="AH192" s="121"/>
      <c r="AI192" s="121"/>
      <c r="AJ192" s="121"/>
      <c r="AK192" s="121"/>
      <c r="AL192" s="121"/>
      <c r="AM192" s="121"/>
      <c r="AN192" s="121"/>
    </row>
    <row r="193" spans="2:40" x14ac:dyDescent="0.25">
      <c r="B193" s="121"/>
      <c r="C193" s="121"/>
      <c r="D193" s="121"/>
      <c r="E193" s="121"/>
      <c r="F193" s="121"/>
      <c r="G193" s="121"/>
      <c r="H193" s="121"/>
      <c r="I193" s="121"/>
      <c r="J193" s="121"/>
      <c r="K193" s="121"/>
      <c r="L193" s="121"/>
      <c r="M193" s="121"/>
      <c r="N193" s="121"/>
      <c r="O193" s="121"/>
      <c r="P193" s="121"/>
      <c r="Q193" s="121"/>
      <c r="R193" s="121"/>
      <c r="S193" s="121"/>
      <c r="T193" s="121"/>
      <c r="U193" s="121"/>
      <c r="V193" s="121"/>
      <c r="W193" s="121"/>
      <c r="X193" s="121"/>
      <c r="Y193" s="121"/>
      <c r="Z193" s="121"/>
      <c r="AA193" s="121"/>
      <c r="AB193" s="121"/>
      <c r="AC193" s="121"/>
      <c r="AD193" s="121"/>
      <c r="AE193" s="121"/>
      <c r="AF193" s="121"/>
      <c r="AG193" s="121"/>
      <c r="AH193" s="121"/>
      <c r="AI193" s="121"/>
      <c r="AJ193" s="121"/>
      <c r="AK193" s="121"/>
      <c r="AL193" s="121"/>
      <c r="AM193" s="121"/>
      <c r="AN193" s="121"/>
    </row>
    <row r="194" spans="2:40" x14ac:dyDescent="0.25">
      <c r="B194" s="121"/>
      <c r="C194" s="121"/>
      <c r="D194" s="121"/>
      <c r="E194" s="121"/>
      <c r="F194" s="121"/>
      <c r="G194" s="121"/>
      <c r="H194" s="121"/>
      <c r="I194" s="121"/>
      <c r="J194" s="121"/>
      <c r="K194" s="121"/>
      <c r="L194" s="121"/>
      <c r="M194" s="121"/>
      <c r="N194" s="121"/>
      <c r="O194" s="121"/>
      <c r="P194" s="121"/>
      <c r="Q194" s="121"/>
      <c r="R194" s="121"/>
      <c r="S194" s="121"/>
      <c r="T194" s="121"/>
      <c r="U194" s="121"/>
      <c r="V194" s="121"/>
      <c r="W194" s="121"/>
      <c r="X194" s="121"/>
      <c r="Y194" s="121"/>
      <c r="Z194" s="121"/>
      <c r="AA194" s="121"/>
      <c r="AB194" s="121"/>
      <c r="AC194" s="121"/>
      <c r="AD194" s="121"/>
      <c r="AE194" s="121"/>
      <c r="AF194" s="121"/>
      <c r="AG194" s="121"/>
      <c r="AH194" s="121"/>
      <c r="AI194" s="121"/>
      <c r="AJ194" s="121"/>
      <c r="AK194" s="121"/>
      <c r="AL194" s="121"/>
      <c r="AM194" s="121"/>
      <c r="AN194" s="121"/>
    </row>
    <row r="195" spans="2:40" x14ac:dyDescent="0.25">
      <c r="B195" s="121"/>
      <c r="C195" s="121"/>
      <c r="D195" s="121"/>
      <c r="E195" s="121"/>
      <c r="F195" s="121"/>
      <c r="G195" s="121"/>
      <c r="H195" s="121"/>
      <c r="I195" s="121"/>
      <c r="J195" s="121"/>
      <c r="K195" s="121"/>
      <c r="L195" s="121"/>
      <c r="M195" s="121"/>
      <c r="N195" s="121"/>
      <c r="O195" s="121"/>
      <c r="P195" s="121"/>
      <c r="Q195" s="121"/>
      <c r="R195" s="121"/>
      <c r="S195" s="121"/>
      <c r="T195" s="121"/>
      <c r="U195" s="121"/>
      <c r="V195" s="121"/>
      <c r="W195" s="121"/>
      <c r="X195" s="121"/>
      <c r="Y195" s="121"/>
      <c r="Z195" s="121"/>
      <c r="AA195" s="121"/>
      <c r="AB195" s="121"/>
      <c r="AC195" s="121"/>
      <c r="AD195" s="121"/>
      <c r="AE195" s="121"/>
      <c r="AF195" s="121"/>
      <c r="AG195" s="121"/>
      <c r="AH195" s="121"/>
      <c r="AI195" s="121"/>
      <c r="AJ195" s="121"/>
      <c r="AK195" s="121"/>
      <c r="AL195" s="121"/>
      <c r="AM195" s="121"/>
      <c r="AN195" s="121"/>
    </row>
    <row r="196" spans="2:40" x14ac:dyDescent="0.25">
      <c r="B196" s="121"/>
      <c r="C196" s="121"/>
      <c r="D196" s="121"/>
      <c r="E196" s="121"/>
      <c r="F196" s="121"/>
      <c r="G196" s="121"/>
      <c r="H196" s="121"/>
      <c r="I196" s="121"/>
      <c r="J196" s="121"/>
      <c r="K196" s="121"/>
      <c r="L196" s="121"/>
      <c r="M196" s="121"/>
      <c r="N196" s="121"/>
      <c r="O196" s="121"/>
      <c r="P196" s="121"/>
      <c r="Q196" s="121"/>
      <c r="R196" s="121"/>
      <c r="S196" s="121"/>
      <c r="T196" s="121"/>
      <c r="U196" s="121"/>
      <c r="V196" s="121"/>
      <c r="W196" s="121"/>
      <c r="X196" s="121"/>
      <c r="Y196" s="121"/>
      <c r="Z196" s="121"/>
      <c r="AA196" s="121"/>
      <c r="AB196" s="121"/>
      <c r="AC196" s="121"/>
      <c r="AD196" s="121"/>
      <c r="AE196" s="121"/>
      <c r="AF196" s="121"/>
      <c r="AG196" s="121"/>
      <c r="AH196" s="121"/>
      <c r="AI196" s="121"/>
      <c r="AJ196" s="121"/>
      <c r="AK196" s="121"/>
      <c r="AL196" s="121"/>
      <c r="AM196" s="121"/>
      <c r="AN196" s="121"/>
    </row>
    <row r="197" spans="2:40" x14ac:dyDescent="0.25">
      <c r="B197" s="121"/>
      <c r="C197" s="121"/>
      <c r="D197" s="121"/>
      <c r="E197" s="121"/>
      <c r="F197" s="121"/>
      <c r="G197" s="121"/>
      <c r="H197" s="121"/>
      <c r="I197" s="121"/>
      <c r="J197" s="121"/>
      <c r="K197" s="121"/>
      <c r="L197" s="121"/>
      <c r="M197" s="121"/>
      <c r="N197" s="121"/>
      <c r="O197" s="121"/>
      <c r="P197" s="121"/>
      <c r="Q197" s="121"/>
      <c r="R197" s="121"/>
      <c r="S197" s="121"/>
      <c r="T197" s="121"/>
      <c r="U197" s="121"/>
      <c r="V197" s="121"/>
      <c r="W197" s="121"/>
      <c r="X197" s="121"/>
      <c r="Y197" s="121"/>
      <c r="Z197" s="121"/>
      <c r="AA197" s="121"/>
      <c r="AB197" s="121"/>
      <c r="AC197" s="121"/>
      <c r="AD197" s="121"/>
      <c r="AE197" s="121"/>
      <c r="AF197" s="121"/>
      <c r="AG197" s="121"/>
      <c r="AH197" s="121"/>
      <c r="AI197" s="121"/>
      <c r="AJ197" s="121"/>
      <c r="AK197" s="121"/>
      <c r="AL197" s="121"/>
      <c r="AM197" s="121"/>
      <c r="AN197" s="121"/>
    </row>
    <row r="198" spans="2:40" x14ac:dyDescent="0.25">
      <c r="B198" s="121"/>
      <c r="C198" s="121"/>
      <c r="D198" s="121"/>
      <c r="E198" s="121"/>
      <c r="F198" s="121"/>
      <c r="G198" s="121"/>
      <c r="H198" s="121"/>
      <c r="I198" s="121"/>
      <c r="J198" s="121"/>
      <c r="K198" s="121"/>
      <c r="L198" s="121"/>
      <c r="M198" s="121"/>
      <c r="N198" s="121"/>
      <c r="O198" s="121"/>
      <c r="P198" s="121"/>
      <c r="Q198" s="121"/>
      <c r="R198" s="121"/>
      <c r="S198" s="121"/>
      <c r="T198" s="121"/>
      <c r="U198" s="121"/>
      <c r="V198" s="121"/>
      <c r="W198" s="121"/>
      <c r="X198" s="121"/>
      <c r="Y198" s="121"/>
      <c r="Z198" s="121"/>
      <c r="AA198" s="121"/>
      <c r="AB198" s="121"/>
      <c r="AC198" s="121"/>
      <c r="AD198" s="121"/>
      <c r="AE198" s="121"/>
      <c r="AF198" s="121"/>
      <c r="AG198" s="121"/>
      <c r="AH198" s="121"/>
      <c r="AI198" s="121"/>
      <c r="AJ198" s="121"/>
      <c r="AK198" s="121"/>
      <c r="AL198" s="121"/>
      <c r="AM198" s="121"/>
      <c r="AN198" s="121"/>
    </row>
    <row r="199" spans="2:40" x14ac:dyDescent="0.25">
      <c r="B199" s="121"/>
      <c r="C199" s="121"/>
      <c r="D199" s="121"/>
      <c r="E199" s="121"/>
      <c r="F199" s="121"/>
      <c r="G199" s="121"/>
      <c r="H199" s="121"/>
      <c r="I199" s="121"/>
      <c r="J199" s="121"/>
      <c r="K199" s="121"/>
      <c r="L199" s="121"/>
      <c r="M199" s="121"/>
      <c r="N199" s="121"/>
      <c r="O199" s="121"/>
      <c r="P199" s="121"/>
      <c r="Q199" s="121"/>
      <c r="R199" s="121"/>
      <c r="S199" s="121"/>
      <c r="T199" s="121"/>
      <c r="U199" s="121"/>
      <c r="V199" s="121"/>
      <c r="W199" s="121"/>
      <c r="X199" s="121"/>
      <c r="Y199" s="121"/>
      <c r="Z199" s="121"/>
      <c r="AA199" s="121"/>
      <c r="AB199" s="121"/>
      <c r="AC199" s="121"/>
      <c r="AD199" s="121"/>
      <c r="AE199" s="121"/>
      <c r="AF199" s="121"/>
      <c r="AG199" s="121"/>
      <c r="AH199" s="121"/>
      <c r="AI199" s="121"/>
      <c r="AJ199" s="121"/>
      <c r="AK199" s="121"/>
      <c r="AL199" s="121"/>
      <c r="AM199" s="121"/>
      <c r="AN199" s="121"/>
    </row>
    <row r="200" spans="2:40" x14ac:dyDescent="0.25">
      <c r="B200" s="121"/>
      <c r="C200" s="121"/>
      <c r="D200" s="121"/>
      <c r="E200" s="121"/>
      <c r="F200" s="121"/>
      <c r="G200" s="121"/>
      <c r="H200" s="121"/>
      <c r="I200" s="121"/>
      <c r="J200" s="121"/>
      <c r="K200" s="121"/>
      <c r="L200" s="121"/>
      <c r="M200" s="121"/>
      <c r="N200" s="121"/>
      <c r="O200" s="121"/>
      <c r="P200" s="121"/>
      <c r="Q200" s="121"/>
      <c r="R200" s="121"/>
      <c r="S200" s="121"/>
      <c r="T200" s="121"/>
      <c r="U200" s="121"/>
      <c r="V200" s="121"/>
      <c r="W200" s="121"/>
      <c r="X200" s="121"/>
      <c r="Y200" s="121"/>
      <c r="Z200" s="121"/>
      <c r="AA200" s="121"/>
      <c r="AB200" s="121"/>
      <c r="AC200" s="121"/>
      <c r="AD200" s="121"/>
      <c r="AE200" s="121"/>
      <c r="AF200" s="121"/>
      <c r="AG200" s="121"/>
      <c r="AH200" s="121"/>
      <c r="AI200" s="121"/>
      <c r="AJ200" s="121"/>
      <c r="AK200" s="121"/>
      <c r="AL200" s="121"/>
      <c r="AM200" s="121"/>
      <c r="AN200" s="121"/>
    </row>
    <row r="201" spans="2:40" x14ac:dyDescent="0.25">
      <c r="B201" s="121"/>
      <c r="C201" s="121"/>
      <c r="D201" s="121"/>
      <c r="E201" s="121"/>
      <c r="F201" s="121"/>
      <c r="G201" s="121"/>
      <c r="H201" s="121"/>
      <c r="I201" s="121"/>
      <c r="J201" s="121"/>
      <c r="K201" s="121"/>
      <c r="L201" s="121"/>
      <c r="M201" s="121"/>
      <c r="N201" s="121"/>
      <c r="O201" s="121"/>
      <c r="P201" s="121"/>
      <c r="Q201" s="121"/>
      <c r="R201" s="121"/>
      <c r="S201" s="121"/>
      <c r="T201" s="121"/>
      <c r="U201" s="121"/>
      <c r="V201" s="121"/>
      <c r="W201" s="121"/>
      <c r="X201" s="121"/>
      <c r="Y201" s="121"/>
      <c r="Z201" s="121"/>
      <c r="AA201" s="121"/>
      <c r="AB201" s="121"/>
      <c r="AC201" s="121"/>
      <c r="AD201" s="121"/>
      <c r="AE201" s="121"/>
      <c r="AF201" s="121"/>
      <c r="AG201" s="121"/>
      <c r="AH201" s="121"/>
      <c r="AI201" s="121"/>
      <c r="AJ201" s="121"/>
      <c r="AK201" s="121"/>
      <c r="AL201" s="121"/>
      <c r="AM201" s="121"/>
      <c r="AN201" s="121"/>
    </row>
    <row r="202" spans="2:40" x14ac:dyDescent="0.25">
      <c r="B202" s="121"/>
      <c r="C202" s="121"/>
      <c r="D202" s="121"/>
      <c r="E202" s="121"/>
      <c r="F202" s="121"/>
      <c r="G202" s="121"/>
      <c r="H202" s="121"/>
      <c r="I202" s="121"/>
      <c r="J202" s="121"/>
      <c r="K202" s="121"/>
      <c r="L202" s="121"/>
      <c r="M202" s="121"/>
      <c r="N202" s="121"/>
      <c r="O202" s="121"/>
      <c r="P202" s="121"/>
      <c r="Q202" s="121"/>
      <c r="R202" s="121"/>
      <c r="S202" s="121"/>
      <c r="T202" s="121"/>
      <c r="U202" s="121"/>
      <c r="V202" s="121"/>
      <c r="W202" s="121"/>
      <c r="X202" s="121"/>
      <c r="Y202" s="121"/>
      <c r="Z202" s="121"/>
      <c r="AA202" s="121"/>
      <c r="AB202" s="121"/>
      <c r="AC202" s="121"/>
      <c r="AD202" s="121"/>
      <c r="AE202" s="121"/>
      <c r="AF202" s="121"/>
      <c r="AG202" s="121"/>
      <c r="AH202" s="121"/>
      <c r="AI202" s="121"/>
      <c r="AJ202" s="121"/>
      <c r="AK202" s="121"/>
      <c r="AL202" s="121"/>
      <c r="AM202" s="121"/>
      <c r="AN202" s="121"/>
    </row>
    <row r="203" spans="2:40" x14ac:dyDescent="0.25">
      <c r="B203" s="121"/>
      <c r="C203" s="121"/>
      <c r="D203" s="121"/>
      <c r="E203" s="121"/>
      <c r="F203" s="121"/>
      <c r="G203" s="121"/>
      <c r="H203" s="121"/>
      <c r="I203" s="121"/>
      <c r="J203" s="121"/>
      <c r="K203" s="121"/>
      <c r="L203" s="121"/>
      <c r="M203" s="121"/>
      <c r="N203" s="121"/>
      <c r="O203" s="121"/>
      <c r="P203" s="121"/>
      <c r="Q203" s="121"/>
      <c r="R203" s="121"/>
      <c r="S203" s="121"/>
      <c r="T203" s="121"/>
      <c r="U203" s="121"/>
      <c r="V203" s="121"/>
      <c r="W203" s="121"/>
      <c r="X203" s="121"/>
      <c r="Y203" s="121"/>
      <c r="Z203" s="121"/>
      <c r="AA203" s="121"/>
      <c r="AB203" s="121"/>
      <c r="AC203" s="121"/>
      <c r="AD203" s="121"/>
      <c r="AE203" s="121"/>
      <c r="AF203" s="121"/>
      <c r="AG203" s="121"/>
      <c r="AH203" s="121"/>
      <c r="AI203" s="121"/>
      <c r="AJ203" s="121"/>
      <c r="AK203" s="121"/>
      <c r="AL203" s="121"/>
      <c r="AM203" s="121"/>
      <c r="AN203" s="121"/>
    </row>
  </sheetData>
  <autoFilter ref="B4:N42"/>
  <mergeCells count="1">
    <mergeCell ref="G3:H3"/>
  </mergeCells>
  <conditionalFormatting sqref="I15 I20 I25 I30 I35 I18 I23 I33 I37:K37">
    <cfRule type="containsText" dxfId="2182" priority="200" operator="containsText" text="Falta">
      <formula>NOT(ISERROR(SEARCH("Falta",I15)))</formula>
    </cfRule>
    <cfRule type="containsText" dxfId="2181" priority="201" operator="containsText" text="Sin">
      <formula>NOT(ISERROR(SEARCH("Sin",I15)))</formula>
    </cfRule>
    <cfRule type="containsText" dxfId="2180" priority="202" operator="containsText" text="&quot;&quot;">
      <formula>NOT(ISERROR(SEARCH("""""",I15)))</formula>
    </cfRule>
  </conditionalFormatting>
  <conditionalFormatting sqref="J15 J20 J25 J30 J18 J33">
    <cfRule type="containsText" dxfId="2179" priority="197" operator="containsText" text="Falta">
      <formula>NOT(ISERROR(SEARCH("Falta",J15)))</formula>
    </cfRule>
    <cfRule type="containsText" dxfId="2178" priority="198" operator="containsText" text="Sin">
      <formula>NOT(ISERROR(SEARCH("Sin",J15)))</formula>
    </cfRule>
    <cfRule type="containsText" dxfId="2177" priority="199" operator="containsText" text="&quot;&quot;">
      <formula>NOT(ISERROR(SEARCH("""""",J15)))</formula>
    </cfRule>
  </conditionalFormatting>
  <conditionalFormatting sqref="I12">
    <cfRule type="containsText" dxfId="2176" priority="245" operator="containsText" text="Falta">
      <formula>NOT(ISERROR(SEARCH("Falta",I12)))</formula>
    </cfRule>
    <cfRule type="containsText" dxfId="2175" priority="246" operator="containsText" text="Sin">
      <formula>NOT(ISERROR(SEARCH("Sin",I12)))</formula>
    </cfRule>
    <cfRule type="containsText" dxfId="2174" priority="247" operator="containsText" text="&quot;&quot;">
      <formula>NOT(ISERROR(SEARCH("""""",I12)))</formula>
    </cfRule>
  </conditionalFormatting>
  <conditionalFormatting sqref="K12">
    <cfRule type="containsText" dxfId="2173" priority="239" operator="containsText" text="Falta">
      <formula>NOT(ISERROR(SEARCH("Falta",K12)))</formula>
    </cfRule>
    <cfRule type="containsText" dxfId="2172" priority="240" operator="containsText" text="Sin">
      <formula>NOT(ISERROR(SEARCH("Sin",K12)))</formula>
    </cfRule>
    <cfRule type="containsText" dxfId="2171" priority="241" operator="containsText" text="&quot;&quot;">
      <formula>NOT(ISERROR(SEARCH("""""",K12)))</formula>
    </cfRule>
  </conditionalFormatting>
  <conditionalFormatting sqref="L12 L40">
    <cfRule type="containsText" dxfId="2170" priority="236" operator="containsText" text="Falta">
      <formula>NOT(ISERROR(SEARCH("Falta",L12)))</formula>
    </cfRule>
    <cfRule type="containsText" dxfId="2169" priority="237" operator="containsText" text="Sin">
      <formula>NOT(ISERROR(SEARCH("Sin",L12)))</formula>
    </cfRule>
    <cfRule type="containsText" dxfId="2168" priority="238" operator="containsText" text="&quot;&quot;">
      <formula>NOT(ISERROR(SEARCH("""""",L12)))</formula>
    </cfRule>
  </conditionalFormatting>
  <conditionalFormatting sqref="I13">
    <cfRule type="containsText" dxfId="2167" priority="233" operator="containsText" text="Falta">
      <formula>NOT(ISERROR(SEARCH("Falta",I13)))</formula>
    </cfRule>
    <cfRule type="containsText" dxfId="2166" priority="234" operator="containsText" text="Sin">
      <formula>NOT(ISERROR(SEARCH("Sin",I13)))</formula>
    </cfRule>
    <cfRule type="containsText" dxfId="2165" priority="235" operator="containsText" text="&quot;&quot;">
      <formula>NOT(ISERROR(SEARCH("""""",I13)))</formula>
    </cfRule>
  </conditionalFormatting>
  <conditionalFormatting sqref="J13">
    <cfRule type="containsText" dxfId="2164" priority="230" operator="containsText" text="Falta">
      <formula>NOT(ISERROR(SEARCH("Falta",J13)))</formula>
    </cfRule>
    <cfRule type="containsText" dxfId="2163" priority="231" operator="containsText" text="Sin">
      <formula>NOT(ISERROR(SEARCH("Sin",J13)))</formula>
    </cfRule>
    <cfRule type="containsText" dxfId="2162" priority="232" operator="containsText" text="&quot;&quot;">
      <formula>NOT(ISERROR(SEARCH("""""",J13)))</formula>
    </cfRule>
  </conditionalFormatting>
  <conditionalFormatting sqref="K13">
    <cfRule type="containsText" dxfId="2161" priority="227" operator="containsText" text="Falta">
      <formula>NOT(ISERROR(SEARCH("Falta",K13)))</formula>
    </cfRule>
    <cfRule type="containsText" dxfId="2160" priority="228" operator="containsText" text="Sin">
      <formula>NOT(ISERROR(SEARCH("Sin",K13)))</formula>
    </cfRule>
    <cfRule type="containsText" dxfId="2159" priority="229" operator="containsText" text="&quot;&quot;">
      <formula>NOT(ISERROR(SEARCH("""""",K13)))</formula>
    </cfRule>
  </conditionalFormatting>
  <conditionalFormatting sqref="L13">
    <cfRule type="containsText" dxfId="2158" priority="224" operator="containsText" text="Falta">
      <formula>NOT(ISERROR(SEARCH("Falta",L13)))</formula>
    </cfRule>
    <cfRule type="containsText" dxfId="2157" priority="225" operator="containsText" text="Sin">
      <formula>NOT(ISERROR(SEARCH("Sin",L13)))</formula>
    </cfRule>
    <cfRule type="containsText" dxfId="2156" priority="226" operator="containsText" text="&quot;&quot;">
      <formula>NOT(ISERROR(SEARCH("""""",L13)))</formula>
    </cfRule>
  </conditionalFormatting>
  <conditionalFormatting sqref="I14">
    <cfRule type="containsText" dxfId="2155" priority="221" operator="containsText" text="Falta">
      <formula>NOT(ISERROR(SEARCH("Falta",I14)))</formula>
    </cfRule>
    <cfRule type="containsText" dxfId="2154" priority="222" operator="containsText" text="Sin">
      <formula>NOT(ISERROR(SEARCH("Sin",I14)))</formula>
    </cfRule>
    <cfRule type="containsText" dxfId="2153" priority="223" operator="containsText" text="&quot;&quot;">
      <formula>NOT(ISERROR(SEARCH("""""",I14)))</formula>
    </cfRule>
  </conditionalFormatting>
  <conditionalFormatting sqref="J14">
    <cfRule type="containsText" dxfId="2152" priority="218" operator="containsText" text="Falta">
      <formula>NOT(ISERROR(SEARCH("Falta",J14)))</formula>
    </cfRule>
    <cfRule type="containsText" dxfId="2151" priority="219" operator="containsText" text="Sin">
      <formula>NOT(ISERROR(SEARCH("Sin",J14)))</formula>
    </cfRule>
    <cfRule type="containsText" dxfId="2150" priority="220" operator="containsText" text="&quot;&quot;">
      <formula>NOT(ISERROR(SEARCH("""""",J14)))</formula>
    </cfRule>
  </conditionalFormatting>
  <conditionalFormatting sqref="K14">
    <cfRule type="containsText" dxfId="2149" priority="215" operator="containsText" text="Falta">
      <formula>NOT(ISERROR(SEARCH("Falta",K14)))</formula>
    </cfRule>
    <cfRule type="containsText" dxfId="2148" priority="216" operator="containsText" text="Sin">
      <formula>NOT(ISERROR(SEARCH("Sin",K14)))</formula>
    </cfRule>
    <cfRule type="containsText" dxfId="2147" priority="217" operator="containsText" text="&quot;&quot;">
      <formula>NOT(ISERROR(SEARCH("""""",K14)))</formula>
    </cfRule>
  </conditionalFormatting>
  <conditionalFormatting sqref="I11">
    <cfRule type="containsText" dxfId="2146" priority="212" operator="containsText" text="Falta">
      <formula>NOT(ISERROR(SEARCH("Falta",I11)))</formula>
    </cfRule>
    <cfRule type="containsText" dxfId="2145" priority="213" operator="containsText" text="Sin">
      <formula>NOT(ISERROR(SEARCH("Sin",I11)))</formula>
    </cfRule>
    <cfRule type="containsText" dxfId="2144" priority="214" operator="containsText" text="&quot;&quot;">
      <formula>NOT(ISERROR(SEARCH("""""",I11)))</formula>
    </cfRule>
  </conditionalFormatting>
  <conditionalFormatting sqref="J11">
    <cfRule type="containsText" dxfId="2143" priority="209" operator="containsText" text="Falta">
      <formula>NOT(ISERROR(SEARCH("Falta",J11)))</formula>
    </cfRule>
    <cfRule type="containsText" dxfId="2142" priority="210" operator="containsText" text="Sin">
      <formula>NOT(ISERROR(SEARCH("Sin",J11)))</formula>
    </cfRule>
    <cfRule type="containsText" dxfId="2141" priority="211" operator="containsText" text="&quot;&quot;">
      <formula>NOT(ISERROR(SEARCH("""""",J11)))</formula>
    </cfRule>
  </conditionalFormatting>
  <conditionalFormatting sqref="K11">
    <cfRule type="containsText" dxfId="2140" priority="206" operator="containsText" text="Falta">
      <formula>NOT(ISERROR(SEARCH("Falta",K11)))</formula>
    </cfRule>
    <cfRule type="containsText" dxfId="2139" priority="207" operator="containsText" text="Sin">
      <formula>NOT(ISERROR(SEARCH("Sin",K11)))</formula>
    </cfRule>
    <cfRule type="containsText" dxfId="2138" priority="208" operator="containsText" text="&quot;&quot;">
      <formula>NOT(ISERROR(SEARCH("""""",K11)))</formula>
    </cfRule>
  </conditionalFormatting>
  <conditionalFormatting sqref="L11 L39">
    <cfRule type="containsText" dxfId="2137" priority="203" operator="containsText" text="Falta">
      <formula>NOT(ISERROR(SEARCH("Falta",L11)))</formula>
    </cfRule>
    <cfRule type="containsText" dxfId="2136" priority="204" operator="containsText" text="Sin">
      <formula>NOT(ISERROR(SEARCH("Sin",L11)))</formula>
    </cfRule>
    <cfRule type="containsText" dxfId="2135" priority="205" operator="containsText" text="&quot;&quot;">
      <formula>NOT(ISERROR(SEARCH("""""",L11)))</formula>
    </cfRule>
  </conditionalFormatting>
  <conditionalFormatting sqref="K15 K20 K25 K30 K35 K18 K33">
    <cfRule type="containsText" dxfId="2134" priority="194" operator="containsText" text="Falta">
      <formula>NOT(ISERROR(SEARCH("Falta",K15)))</formula>
    </cfRule>
    <cfRule type="containsText" dxfId="2133" priority="195" operator="containsText" text="Sin">
      <formula>NOT(ISERROR(SEARCH("Sin",K15)))</formula>
    </cfRule>
    <cfRule type="containsText" dxfId="2132" priority="196" operator="containsText" text="&quot;&quot;">
      <formula>NOT(ISERROR(SEARCH("""""",K15)))</formula>
    </cfRule>
  </conditionalFormatting>
  <conditionalFormatting sqref="L15 L20 L25 L30 L35 L18 L23 L33">
    <cfRule type="containsText" dxfId="2131" priority="191" operator="containsText" text="Falta">
      <formula>NOT(ISERROR(SEARCH("Falta",L15)))</formula>
    </cfRule>
    <cfRule type="containsText" dxfId="2130" priority="192" operator="containsText" text="Sin">
      <formula>NOT(ISERROR(SEARCH("Sin",L15)))</formula>
    </cfRule>
    <cfRule type="containsText" dxfId="2129" priority="193" operator="containsText" text="&quot;&quot;">
      <formula>NOT(ISERROR(SEARCH("""""",L15)))</formula>
    </cfRule>
  </conditionalFormatting>
  <conditionalFormatting sqref="I16 I21 I26:I27 I31 I36 I19 I24 I29 I34 I38">
    <cfRule type="containsText" dxfId="2128" priority="188" operator="containsText" text="Falta">
      <formula>NOT(ISERROR(SEARCH("Falta",I16)))</formula>
    </cfRule>
    <cfRule type="containsText" dxfId="2127" priority="189" operator="containsText" text="Sin">
      <formula>NOT(ISERROR(SEARCH("Sin",I16)))</formula>
    </cfRule>
    <cfRule type="containsText" dxfId="2126" priority="190" operator="containsText" text="&quot;&quot;">
      <formula>NOT(ISERROR(SEARCH("""""",I16)))</formula>
    </cfRule>
  </conditionalFormatting>
  <conditionalFormatting sqref="J16 J21 J26:J27 J31 J36 J19 J29 J34 J38">
    <cfRule type="containsText" dxfId="2125" priority="185" operator="containsText" text="Falta">
      <formula>NOT(ISERROR(SEARCH("Falta",J16)))</formula>
    </cfRule>
    <cfRule type="containsText" dxfId="2124" priority="186" operator="containsText" text="Sin">
      <formula>NOT(ISERROR(SEARCH("Sin",J16)))</formula>
    </cfRule>
    <cfRule type="containsText" dxfId="2123" priority="187" operator="containsText" text="&quot;&quot;">
      <formula>NOT(ISERROR(SEARCH("""""",J16)))</formula>
    </cfRule>
  </conditionalFormatting>
  <conditionalFormatting sqref="K16 K21 K26:K27 K31 K36 K19 K24 K29 K34 K38">
    <cfRule type="containsText" dxfId="2122" priority="182" operator="containsText" text="Falta">
      <formula>NOT(ISERROR(SEARCH("Falta",K16)))</formula>
    </cfRule>
    <cfRule type="containsText" dxfId="2121" priority="183" operator="containsText" text="Sin">
      <formula>NOT(ISERROR(SEARCH("Sin",K16)))</formula>
    </cfRule>
    <cfRule type="containsText" dxfId="2120" priority="184" operator="containsText" text="&quot;&quot;">
      <formula>NOT(ISERROR(SEARCH("""""",K16)))</formula>
    </cfRule>
  </conditionalFormatting>
  <conditionalFormatting sqref="L16 L21 L26:L27 L31 L36 L19 L29 L34 L38:L39">
    <cfRule type="containsText" dxfId="2119" priority="179" operator="containsText" text="Falta">
      <formula>NOT(ISERROR(SEARCH("Falta",L16)))</formula>
    </cfRule>
    <cfRule type="containsText" dxfId="2118" priority="180" operator="containsText" text="Sin">
      <formula>NOT(ISERROR(SEARCH("Sin",L16)))</formula>
    </cfRule>
    <cfRule type="containsText" dxfId="2117" priority="181" operator="containsText" text="&quot;&quot;">
      <formula>NOT(ISERROR(SEARCH("""""",L16)))</formula>
    </cfRule>
  </conditionalFormatting>
  <conditionalFormatting sqref="I17 I22 I28 I32">
    <cfRule type="containsText" dxfId="2116" priority="176" operator="containsText" text="Falta">
      <formula>NOT(ISERROR(SEARCH("Falta",I17)))</formula>
    </cfRule>
    <cfRule type="containsText" dxfId="2115" priority="177" operator="containsText" text="Sin">
      <formula>NOT(ISERROR(SEARCH("Sin",I17)))</formula>
    </cfRule>
    <cfRule type="containsText" dxfId="2114" priority="178" operator="containsText" text="&quot;&quot;">
      <formula>NOT(ISERROR(SEARCH("""""",I17)))</formula>
    </cfRule>
  </conditionalFormatting>
  <conditionalFormatting sqref="J17 J22 J28 J32">
    <cfRule type="containsText" dxfId="2113" priority="173" operator="containsText" text="Falta">
      <formula>NOT(ISERROR(SEARCH("Falta",J17)))</formula>
    </cfRule>
    <cfRule type="containsText" dxfId="2112" priority="174" operator="containsText" text="Sin">
      <formula>NOT(ISERROR(SEARCH("Sin",J17)))</formula>
    </cfRule>
    <cfRule type="containsText" dxfId="2111" priority="175" operator="containsText" text="&quot;&quot;">
      <formula>NOT(ISERROR(SEARCH("""""",J17)))</formula>
    </cfRule>
  </conditionalFormatting>
  <conditionalFormatting sqref="K17 K22 K28 K32">
    <cfRule type="containsText" dxfId="2110" priority="170" operator="containsText" text="Falta">
      <formula>NOT(ISERROR(SEARCH("Falta",K17)))</formula>
    </cfRule>
    <cfRule type="containsText" dxfId="2109" priority="171" operator="containsText" text="Sin">
      <formula>NOT(ISERROR(SEARCH("Sin",K17)))</formula>
    </cfRule>
    <cfRule type="containsText" dxfId="2108" priority="172" operator="containsText" text="&quot;&quot;">
      <formula>NOT(ISERROR(SEARCH("""""",K17)))</formula>
    </cfRule>
  </conditionalFormatting>
  <conditionalFormatting sqref="L17">
    <cfRule type="containsText" dxfId="2107" priority="167" operator="containsText" text="Falta">
      <formula>NOT(ISERROR(SEARCH("Falta",L17)))</formula>
    </cfRule>
    <cfRule type="containsText" dxfId="2106" priority="168" operator="containsText" text="Sin">
      <formula>NOT(ISERROR(SEARCH("Sin",L17)))</formula>
    </cfRule>
    <cfRule type="containsText" dxfId="2105" priority="169" operator="containsText" text="&quot;&quot;">
      <formula>NOT(ISERROR(SEARCH("""""",L17)))</formula>
    </cfRule>
  </conditionalFormatting>
  <conditionalFormatting sqref="O11">
    <cfRule type="iconSet" priority="166">
      <iconSet>
        <cfvo type="percent" val="0"/>
        <cfvo type="percent" val="33"/>
        <cfvo type="percent" val="67"/>
      </iconSet>
    </cfRule>
  </conditionalFormatting>
  <conditionalFormatting sqref="L40">
    <cfRule type="containsText" dxfId="2104" priority="130" operator="containsText" text="Falta">
      <formula>NOT(ISERROR(SEARCH("Falta",L40)))</formula>
    </cfRule>
    <cfRule type="containsText" dxfId="2103" priority="131" operator="containsText" text="Sin">
      <formula>NOT(ISERROR(SEARCH("Sin",L40)))</formula>
    </cfRule>
    <cfRule type="containsText" dxfId="2102" priority="132" operator="containsText" text="&quot;&quot;">
      <formula>NOT(ISERROR(SEARCH("""""",L40)))</formula>
    </cfRule>
  </conditionalFormatting>
  <conditionalFormatting sqref="I5:I8">
    <cfRule type="containsText" dxfId="2101" priority="127" operator="containsText" text="Falta">
      <formula>NOT(ISERROR(SEARCH("Falta",I5)))</formula>
    </cfRule>
    <cfRule type="containsText" dxfId="2100" priority="128" operator="containsText" text="Sin">
      <formula>NOT(ISERROR(SEARCH("Sin",I5)))</formula>
    </cfRule>
    <cfRule type="containsText" dxfId="2099" priority="129" operator="containsText" text="&quot;&quot;">
      <formula>NOT(ISERROR(SEARCH("""""",I5)))</formula>
    </cfRule>
  </conditionalFormatting>
  <conditionalFormatting sqref="J5:J8">
    <cfRule type="containsText" dxfId="2098" priority="124" operator="containsText" text="Falta">
      <formula>NOT(ISERROR(SEARCH("Falta",J5)))</formula>
    </cfRule>
    <cfRule type="containsText" dxfId="2097" priority="125" operator="containsText" text="Sin">
      <formula>NOT(ISERROR(SEARCH("Sin",J5)))</formula>
    </cfRule>
    <cfRule type="containsText" dxfId="2096" priority="126" operator="containsText" text="&quot;&quot;">
      <formula>NOT(ISERROR(SEARCH("""""",J5)))</formula>
    </cfRule>
  </conditionalFormatting>
  <conditionalFormatting sqref="K5:K8">
    <cfRule type="containsText" dxfId="2095" priority="121" operator="containsText" text="Falta">
      <formula>NOT(ISERROR(SEARCH("Falta",K5)))</formula>
    </cfRule>
    <cfRule type="containsText" dxfId="2094" priority="122" operator="containsText" text="Sin">
      <formula>NOT(ISERROR(SEARCH("Sin",K5)))</formula>
    </cfRule>
    <cfRule type="containsText" dxfId="2093" priority="123" operator="containsText" text="&quot;&quot;">
      <formula>NOT(ISERROR(SEARCH("""""",K5)))</formula>
    </cfRule>
  </conditionalFormatting>
  <conditionalFormatting sqref="L5:L8">
    <cfRule type="containsText" dxfId="2092" priority="118" operator="containsText" text="Falta">
      <formula>NOT(ISERROR(SEARCH("Falta",L5)))</formula>
    </cfRule>
    <cfRule type="containsText" dxfId="2091" priority="119" operator="containsText" text="Sin">
      <formula>NOT(ISERROR(SEARCH("Sin",L5)))</formula>
    </cfRule>
    <cfRule type="containsText" dxfId="2090" priority="120" operator="containsText" text="&quot;&quot;">
      <formula>NOT(ISERROR(SEARCH("""""",L5)))</formula>
    </cfRule>
  </conditionalFormatting>
  <conditionalFormatting sqref="K23">
    <cfRule type="containsText" dxfId="2089" priority="115" operator="containsText" text="Falta">
      <formula>NOT(ISERROR(SEARCH("Falta",K23)))</formula>
    </cfRule>
    <cfRule type="containsText" dxfId="2088" priority="116" operator="containsText" text="Sin">
      <formula>NOT(ISERROR(SEARCH("Sin",K23)))</formula>
    </cfRule>
    <cfRule type="containsText" dxfId="2087" priority="117" operator="containsText" text="&quot;&quot;">
      <formula>NOT(ISERROR(SEARCH("""""",K23)))</formula>
    </cfRule>
  </conditionalFormatting>
  <conditionalFormatting sqref="J23">
    <cfRule type="containsText" dxfId="2086" priority="112" operator="containsText" text="Falta">
      <formula>NOT(ISERROR(SEARCH("Falta",J23)))</formula>
    </cfRule>
    <cfRule type="containsText" dxfId="2085" priority="113" operator="containsText" text="Sin">
      <formula>NOT(ISERROR(SEARCH("Sin",J23)))</formula>
    </cfRule>
    <cfRule type="containsText" dxfId="2084" priority="114" operator="containsText" text="&quot;&quot;">
      <formula>NOT(ISERROR(SEARCH("""""",J23)))</formula>
    </cfRule>
  </conditionalFormatting>
  <conditionalFormatting sqref="J41">
    <cfRule type="containsText" dxfId="2083" priority="109" operator="containsText" text="Falta">
      <formula>NOT(ISERROR(SEARCH("Falta",J41)))</formula>
    </cfRule>
    <cfRule type="containsText" dxfId="2082" priority="110" operator="containsText" text="Sin">
      <formula>NOT(ISERROR(SEARCH("Sin",J41)))</formula>
    </cfRule>
    <cfRule type="containsText" dxfId="2081" priority="111" operator="containsText" text="&quot;&quot;">
      <formula>NOT(ISERROR(SEARCH("""""",J41)))</formula>
    </cfRule>
  </conditionalFormatting>
  <conditionalFormatting sqref="K41">
    <cfRule type="containsText" dxfId="2080" priority="106" operator="containsText" text="Falta">
      <formula>NOT(ISERROR(SEARCH("Falta",K41)))</formula>
    </cfRule>
    <cfRule type="containsText" dxfId="2079" priority="107" operator="containsText" text="Sin">
      <formula>NOT(ISERROR(SEARCH("Sin",K41)))</formula>
    </cfRule>
    <cfRule type="containsText" dxfId="2078" priority="108" operator="containsText" text="&quot;&quot;">
      <formula>NOT(ISERROR(SEARCH("""""",K41)))</formula>
    </cfRule>
  </conditionalFormatting>
  <conditionalFormatting sqref="L41">
    <cfRule type="containsText" dxfId="2077" priority="103" operator="containsText" text="Falta">
      <formula>NOT(ISERROR(SEARCH("Falta",L41)))</formula>
    </cfRule>
    <cfRule type="containsText" dxfId="2076" priority="104" operator="containsText" text="Sin">
      <formula>NOT(ISERROR(SEARCH("Sin",L41)))</formula>
    </cfRule>
    <cfRule type="containsText" dxfId="2075" priority="105" operator="containsText" text="&quot;&quot;">
      <formula>NOT(ISERROR(SEARCH("""""",L41)))</formula>
    </cfRule>
  </conditionalFormatting>
  <conditionalFormatting sqref="I41">
    <cfRule type="containsText" dxfId="2074" priority="100" operator="containsText" text="Falta">
      <formula>NOT(ISERROR(SEARCH("Falta",I41)))</formula>
    </cfRule>
    <cfRule type="containsText" dxfId="2073" priority="101" operator="containsText" text="Sin">
      <formula>NOT(ISERROR(SEARCH("Sin",I41)))</formula>
    </cfRule>
    <cfRule type="containsText" dxfId="2072" priority="102" operator="containsText" text="&quot;&quot;">
      <formula>NOT(ISERROR(SEARCH("""""",I41)))</formula>
    </cfRule>
  </conditionalFormatting>
  <conditionalFormatting sqref="J41">
    <cfRule type="containsText" dxfId="2071" priority="97" operator="containsText" text="Falta">
      <formula>NOT(ISERROR(SEARCH("Falta",J41)))</formula>
    </cfRule>
    <cfRule type="containsText" dxfId="2070" priority="98" operator="containsText" text="Sin">
      <formula>NOT(ISERROR(SEARCH("Sin",J41)))</formula>
    </cfRule>
    <cfRule type="containsText" dxfId="2069" priority="99" operator="containsText" text="&quot;&quot;">
      <formula>NOT(ISERROR(SEARCH("""""",J41)))</formula>
    </cfRule>
  </conditionalFormatting>
  <conditionalFormatting sqref="K41">
    <cfRule type="containsText" dxfId="2068" priority="94" operator="containsText" text="Falta">
      <formula>NOT(ISERROR(SEARCH("Falta",K41)))</formula>
    </cfRule>
    <cfRule type="containsText" dxfId="2067" priority="95" operator="containsText" text="Sin">
      <formula>NOT(ISERROR(SEARCH("Sin",K41)))</formula>
    </cfRule>
    <cfRule type="containsText" dxfId="2066" priority="96" operator="containsText" text="&quot;&quot;">
      <formula>NOT(ISERROR(SEARCH("""""",K41)))</formula>
    </cfRule>
  </conditionalFormatting>
  <conditionalFormatting sqref="L41">
    <cfRule type="containsText" dxfId="2065" priority="91" operator="containsText" text="Falta">
      <formula>NOT(ISERROR(SEARCH("Falta",L41)))</formula>
    </cfRule>
    <cfRule type="containsText" dxfId="2064" priority="92" operator="containsText" text="Sin">
      <formula>NOT(ISERROR(SEARCH("Sin",L41)))</formula>
    </cfRule>
    <cfRule type="containsText" dxfId="2063" priority="93" operator="containsText" text="&quot;&quot;">
      <formula>NOT(ISERROR(SEARCH("""""",L41)))</formula>
    </cfRule>
  </conditionalFormatting>
  <conditionalFormatting sqref="J24">
    <cfRule type="containsText" dxfId="2062" priority="88" operator="containsText" text="Falta">
      <formula>NOT(ISERROR(SEARCH("Falta",J24)))</formula>
    </cfRule>
    <cfRule type="containsText" dxfId="2061" priority="89" operator="containsText" text="Sin">
      <formula>NOT(ISERROR(SEARCH("Sin",J24)))</formula>
    </cfRule>
    <cfRule type="containsText" dxfId="2060" priority="90" operator="containsText" text="&quot;&quot;">
      <formula>NOT(ISERROR(SEARCH("""""",J24)))</formula>
    </cfRule>
  </conditionalFormatting>
  <conditionalFormatting sqref="L24">
    <cfRule type="containsText" dxfId="2059" priority="85" operator="containsText" text="Falta">
      <formula>NOT(ISERROR(SEARCH("Falta",L24)))</formula>
    </cfRule>
    <cfRule type="containsText" dxfId="2058" priority="86" operator="containsText" text="Sin">
      <formula>NOT(ISERROR(SEARCH("Sin",L24)))</formula>
    </cfRule>
    <cfRule type="containsText" dxfId="2057" priority="87" operator="containsText" text="&quot;&quot;">
      <formula>NOT(ISERROR(SEARCH("""""",L24)))</formula>
    </cfRule>
  </conditionalFormatting>
  <conditionalFormatting sqref="I39">
    <cfRule type="containsText" dxfId="2056" priority="82" operator="containsText" text="Falta">
      <formula>NOT(ISERROR(SEARCH("Falta",I39)))</formula>
    </cfRule>
    <cfRule type="containsText" dxfId="2055" priority="83" operator="containsText" text="Sin">
      <formula>NOT(ISERROR(SEARCH("Sin",I39)))</formula>
    </cfRule>
    <cfRule type="containsText" dxfId="2054" priority="84" operator="containsText" text="&quot;&quot;">
      <formula>NOT(ISERROR(SEARCH("""""",I39)))</formula>
    </cfRule>
  </conditionalFormatting>
  <conditionalFormatting sqref="J39">
    <cfRule type="containsText" dxfId="2053" priority="79" operator="containsText" text="Falta">
      <formula>NOT(ISERROR(SEARCH("Falta",J39)))</formula>
    </cfRule>
    <cfRule type="containsText" dxfId="2052" priority="80" operator="containsText" text="Sin">
      <formula>NOT(ISERROR(SEARCH("Sin",J39)))</formula>
    </cfRule>
    <cfRule type="containsText" dxfId="2051" priority="81" operator="containsText" text="&quot;&quot;">
      <formula>NOT(ISERROR(SEARCH("""""",J39)))</formula>
    </cfRule>
  </conditionalFormatting>
  <conditionalFormatting sqref="J39">
    <cfRule type="containsText" dxfId="2050" priority="76" operator="containsText" text="Falta">
      <formula>NOT(ISERROR(SEARCH("Falta",J39)))</formula>
    </cfRule>
    <cfRule type="containsText" dxfId="2049" priority="77" operator="containsText" text="Sin">
      <formula>NOT(ISERROR(SEARCH("Sin",J39)))</formula>
    </cfRule>
    <cfRule type="containsText" dxfId="2048" priority="78" operator="containsText" text="&quot;&quot;">
      <formula>NOT(ISERROR(SEARCH("""""",J39)))</formula>
    </cfRule>
  </conditionalFormatting>
  <conditionalFormatting sqref="K39">
    <cfRule type="containsText" dxfId="2047" priority="73" operator="containsText" text="Falta">
      <formula>NOT(ISERROR(SEARCH("Falta",K39)))</formula>
    </cfRule>
    <cfRule type="containsText" dxfId="2046" priority="74" operator="containsText" text="Sin">
      <formula>NOT(ISERROR(SEARCH("Sin",K39)))</formula>
    </cfRule>
    <cfRule type="containsText" dxfId="2045" priority="75" operator="containsText" text="&quot;&quot;">
      <formula>NOT(ISERROR(SEARCH("""""",K39)))</formula>
    </cfRule>
  </conditionalFormatting>
  <conditionalFormatting sqref="K39">
    <cfRule type="containsText" dxfId="2044" priority="70" operator="containsText" text="Falta">
      <formula>NOT(ISERROR(SEARCH("Falta",K39)))</formula>
    </cfRule>
    <cfRule type="containsText" dxfId="2043" priority="71" operator="containsText" text="Sin">
      <formula>NOT(ISERROR(SEARCH("Sin",K39)))</formula>
    </cfRule>
    <cfRule type="containsText" dxfId="2042" priority="72" operator="containsText" text="&quot;&quot;">
      <formula>NOT(ISERROR(SEARCH("""""",K39)))</formula>
    </cfRule>
  </conditionalFormatting>
  <conditionalFormatting sqref="I40">
    <cfRule type="containsText" dxfId="2041" priority="67" operator="containsText" text="Falta">
      <formula>NOT(ISERROR(SEARCH("Falta",I40)))</formula>
    </cfRule>
    <cfRule type="containsText" dxfId="2040" priority="68" operator="containsText" text="Sin">
      <formula>NOT(ISERROR(SEARCH("Sin",I40)))</formula>
    </cfRule>
    <cfRule type="containsText" dxfId="2039" priority="69" operator="containsText" text="&quot;&quot;">
      <formula>NOT(ISERROR(SEARCH("""""",I40)))</formula>
    </cfRule>
  </conditionalFormatting>
  <conditionalFormatting sqref="I40">
    <cfRule type="containsText" dxfId="2038" priority="64" operator="containsText" text="Falta">
      <formula>NOT(ISERROR(SEARCH("Falta",I40)))</formula>
    </cfRule>
    <cfRule type="containsText" dxfId="2037" priority="65" operator="containsText" text="Sin">
      <formula>NOT(ISERROR(SEARCH("Sin",I40)))</formula>
    </cfRule>
    <cfRule type="containsText" dxfId="2036" priority="66" operator="containsText" text="&quot;&quot;">
      <formula>NOT(ISERROR(SEARCH("""""",I40)))</formula>
    </cfRule>
  </conditionalFormatting>
  <conditionalFormatting sqref="J40">
    <cfRule type="containsText" dxfId="2035" priority="61" operator="containsText" text="Falta">
      <formula>NOT(ISERROR(SEARCH("Falta",J40)))</formula>
    </cfRule>
    <cfRule type="containsText" dxfId="2034" priority="62" operator="containsText" text="Sin">
      <formula>NOT(ISERROR(SEARCH("Sin",J40)))</formula>
    </cfRule>
    <cfRule type="containsText" dxfId="2033" priority="63" operator="containsText" text="&quot;&quot;">
      <formula>NOT(ISERROR(SEARCH("""""",J40)))</formula>
    </cfRule>
  </conditionalFormatting>
  <conditionalFormatting sqref="J40">
    <cfRule type="containsText" dxfId="2032" priority="58" operator="containsText" text="Falta">
      <formula>NOT(ISERROR(SEARCH("Falta",J40)))</formula>
    </cfRule>
    <cfRule type="containsText" dxfId="2031" priority="59" operator="containsText" text="Sin">
      <formula>NOT(ISERROR(SEARCH("Sin",J40)))</formula>
    </cfRule>
    <cfRule type="containsText" dxfId="2030" priority="60" operator="containsText" text="&quot;&quot;">
      <formula>NOT(ISERROR(SEARCH("""""",J40)))</formula>
    </cfRule>
  </conditionalFormatting>
  <conditionalFormatting sqref="K40">
    <cfRule type="containsText" dxfId="2029" priority="55" operator="containsText" text="Falta">
      <formula>NOT(ISERROR(SEARCH("Falta",K40)))</formula>
    </cfRule>
    <cfRule type="containsText" dxfId="2028" priority="56" operator="containsText" text="Sin">
      <formula>NOT(ISERROR(SEARCH("Sin",K40)))</formula>
    </cfRule>
    <cfRule type="containsText" dxfId="2027" priority="57" operator="containsText" text="&quot;&quot;">
      <formula>NOT(ISERROR(SEARCH("""""",K40)))</formula>
    </cfRule>
  </conditionalFormatting>
  <conditionalFormatting sqref="K40">
    <cfRule type="containsText" dxfId="2026" priority="52" operator="containsText" text="Falta">
      <formula>NOT(ISERROR(SEARCH("Falta",K40)))</formula>
    </cfRule>
    <cfRule type="containsText" dxfId="2025" priority="53" operator="containsText" text="Sin">
      <formula>NOT(ISERROR(SEARCH("Sin",K40)))</formula>
    </cfRule>
    <cfRule type="containsText" dxfId="2024" priority="54" operator="containsText" text="&quot;&quot;">
      <formula>NOT(ISERROR(SEARCH("""""",K40)))</formula>
    </cfRule>
  </conditionalFormatting>
  <conditionalFormatting sqref="J35">
    <cfRule type="containsText" dxfId="2023" priority="49" operator="containsText" text="Falta">
      <formula>NOT(ISERROR(SEARCH("Falta",J35)))</formula>
    </cfRule>
    <cfRule type="containsText" dxfId="2022" priority="50" operator="containsText" text="Sin">
      <formula>NOT(ISERROR(SEARCH("Sin",J35)))</formula>
    </cfRule>
    <cfRule type="containsText" dxfId="2021" priority="51" operator="containsText" text="&quot;&quot;">
      <formula>NOT(ISERROR(SEARCH("""""",J35)))</formula>
    </cfRule>
  </conditionalFormatting>
  <conditionalFormatting sqref="J12">
    <cfRule type="containsText" dxfId="2020" priority="46" operator="containsText" text="Falta">
      <formula>NOT(ISERROR(SEARCH("Falta",J12)))</formula>
    </cfRule>
    <cfRule type="containsText" dxfId="2019" priority="47" operator="containsText" text="Sin">
      <formula>NOT(ISERROR(SEARCH("Sin",J12)))</formula>
    </cfRule>
    <cfRule type="containsText" dxfId="2018" priority="48" operator="containsText" text="&quot;&quot;">
      <formula>NOT(ISERROR(SEARCH("""""",J12)))</formula>
    </cfRule>
  </conditionalFormatting>
  <conditionalFormatting sqref="J42">
    <cfRule type="containsText" dxfId="2017" priority="43" operator="containsText" text="Falta">
      <formula>NOT(ISERROR(SEARCH("Falta",J42)))</formula>
    </cfRule>
    <cfRule type="containsText" dxfId="2016" priority="44" operator="containsText" text="Sin">
      <formula>NOT(ISERROR(SEARCH("Sin",J42)))</formula>
    </cfRule>
    <cfRule type="containsText" dxfId="2015" priority="45" operator="containsText" text="&quot;&quot;">
      <formula>NOT(ISERROR(SEARCH("""""",J42)))</formula>
    </cfRule>
  </conditionalFormatting>
  <conditionalFormatting sqref="K42">
    <cfRule type="containsText" dxfId="2014" priority="40" operator="containsText" text="Falta">
      <formula>NOT(ISERROR(SEARCH("Falta",K42)))</formula>
    </cfRule>
    <cfRule type="containsText" dxfId="2013" priority="41" operator="containsText" text="Sin">
      <formula>NOT(ISERROR(SEARCH("Sin",K42)))</formula>
    </cfRule>
    <cfRule type="containsText" dxfId="2012" priority="42" operator="containsText" text="&quot;&quot;">
      <formula>NOT(ISERROR(SEARCH("""""",K42)))</formula>
    </cfRule>
  </conditionalFormatting>
  <conditionalFormatting sqref="L42">
    <cfRule type="containsText" dxfId="2011" priority="37" operator="containsText" text="Falta">
      <formula>NOT(ISERROR(SEARCH("Falta",L42)))</formula>
    </cfRule>
    <cfRule type="containsText" dxfId="2010" priority="38" operator="containsText" text="Sin">
      <formula>NOT(ISERROR(SEARCH("Sin",L42)))</formula>
    </cfRule>
    <cfRule type="containsText" dxfId="2009" priority="39" operator="containsText" text="&quot;&quot;">
      <formula>NOT(ISERROR(SEARCH("""""",L42)))</formula>
    </cfRule>
  </conditionalFormatting>
  <conditionalFormatting sqref="I42">
    <cfRule type="containsText" dxfId="2008" priority="34" operator="containsText" text="Falta">
      <formula>NOT(ISERROR(SEARCH("Falta",I42)))</formula>
    </cfRule>
    <cfRule type="containsText" dxfId="2007" priority="35" operator="containsText" text="Sin">
      <formula>NOT(ISERROR(SEARCH("Sin",I42)))</formula>
    </cfRule>
    <cfRule type="containsText" dxfId="2006" priority="36" operator="containsText" text="&quot;&quot;">
      <formula>NOT(ISERROR(SEARCH("""""",I42)))</formula>
    </cfRule>
  </conditionalFormatting>
  <conditionalFormatting sqref="J42">
    <cfRule type="containsText" dxfId="2005" priority="31" operator="containsText" text="Falta">
      <formula>NOT(ISERROR(SEARCH("Falta",J42)))</formula>
    </cfRule>
    <cfRule type="containsText" dxfId="2004" priority="32" operator="containsText" text="Sin">
      <formula>NOT(ISERROR(SEARCH("Sin",J42)))</formula>
    </cfRule>
    <cfRule type="containsText" dxfId="2003" priority="33" operator="containsText" text="&quot;&quot;">
      <formula>NOT(ISERROR(SEARCH("""""",J42)))</formula>
    </cfRule>
  </conditionalFormatting>
  <conditionalFormatting sqref="K42">
    <cfRule type="containsText" dxfId="2002" priority="28" operator="containsText" text="Falta">
      <formula>NOT(ISERROR(SEARCH("Falta",K42)))</formula>
    </cfRule>
    <cfRule type="containsText" dxfId="2001" priority="29" operator="containsText" text="Sin">
      <formula>NOT(ISERROR(SEARCH("Sin",K42)))</formula>
    </cfRule>
    <cfRule type="containsText" dxfId="2000" priority="30" operator="containsText" text="&quot;&quot;">
      <formula>NOT(ISERROR(SEARCH("""""",K42)))</formula>
    </cfRule>
  </conditionalFormatting>
  <conditionalFormatting sqref="L42">
    <cfRule type="containsText" dxfId="1999" priority="25" operator="containsText" text="Falta">
      <formula>NOT(ISERROR(SEARCH("Falta",L42)))</formula>
    </cfRule>
    <cfRule type="containsText" dxfId="1998" priority="26" operator="containsText" text="Sin">
      <formula>NOT(ISERROR(SEARCH("Sin",L42)))</formula>
    </cfRule>
    <cfRule type="containsText" dxfId="1997" priority="27" operator="containsText" text="&quot;&quot;">
      <formula>NOT(ISERROR(SEARCH("""""",L42)))</formula>
    </cfRule>
  </conditionalFormatting>
  <conditionalFormatting sqref="I9">
    <cfRule type="containsText" dxfId="1996" priority="22" operator="containsText" text="Falta">
      <formula>NOT(ISERROR(SEARCH("Falta",I9)))</formula>
    </cfRule>
    <cfRule type="containsText" dxfId="1995" priority="23" operator="containsText" text="Sin">
      <formula>NOT(ISERROR(SEARCH("Sin",I9)))</formula>
    </cfRule>
    <cfRule type="containsText" dxfId="1994" priority="24" operator="containsText" text="&quot;&quot;">
      <formula>NOT(ISERROR(SEARCH("""""",I9)))</formula>
    </cfRule>
  </conditionalFormatting>
  <conditionalFormatting sqref="J9">
    <cfRule type="containsText" dxfId="1993" priority="19" operator="containsText" text="Falta">
      <formula>NOT(ISERROR(SEARCH("Falta",J9)))</formula>
    </cfRule>
    <cfRule type="containsText" dxfId="1992" priority="20" operator="containsText" text="Sin">
      <formula>NOT(ISERROR(SEARCH("Sin",J9)))</formula>
    </cfRule>
    <cfRule type="containsText" dxfId="1991" priority="21" operator="containsText" text="&quot;&quot;">
      <formula>NOT(ISERROR(SEARCH("""""",J9)))</formula>
    </cfRule>
  </conditionalFormatting>
  <conditionalFormatting sqref="K9">
    <cfRule type="containsText" dxfId="1990" priority="16" operator="containsText" text="Falta">
      <formula>NOT(ISERROR(SEARCH("Falta",K9)))</formula>
    </cfRule>
    <cfRule type="containsText" dxfId="1989" priority="17" operator="containsText" text="Sin">
      <formula>NOT(ISERROR(SEARCH("Sin",K9)))</formula>
    </cfRule>
    <cfRule type="containsText" dxfId="1988" priority="18" operator="containsText" text="&quot;&quot;">
      <formula>NOT(ISERROR(SEARCH("""""",K9)))</formula>
    </cfRule>
  </conditionalFormatting>
  <conditionalFormatting sqref="I10">
    <cfRule type="containsText" dxfId="1987" priority="13" operator="containsText" text="Falta">
      <formula>NOT(ISERROR(SEARCH("Falta",I10)))</formula>
    </cfRule>
    <cfRule type="containsText" dxfId="1986" priority="14" operator="containsText" text="Sin">
      <formula>NOT(ISERROR(SEARCH("Sin",I10)))</formula>
    </cfRule>
    <cfRule type="containsText" dxfId="1985" priority="15" operator="containsText" text="&quot;&quot;">
      <formula>NOT(ISERROR(SEARCH("""""",I10)))</formula>
    </cfRule>
  </conditionalFormatting>
  <conditionalFormatting sqref="J10">
    <cfRule type="containsText" dxfId="1984" priority="10" operator="containsText" text="Falta">
      <formula>NOT(ISERROR(SEARCH("Falta",J10)))</formula>
    </cfRule>
    <cfRule type="containsText" dxfId="1983" priority="11" operator="containsText" text="Sin">
      <formula>NOT(ISERROR(SEARCH("Sin",J10)))</formula>
    </cfRule>
    <cfRule type="containsText" dxfId="1982" priority="12" operator="containsText" text="&quot;&quot;">
      <formula>NOT(ISERROR(SEARCH("""""",J10)))</formula>
    </cfRule>
  </conditionalFormatting>
  <conditionalFormatting sqref="K10">
    <cfRule type="containsText" dxfId="1981" priority="7" operator="containsText" text="Falta">
      <formula>NOT(ISERROR(SEARCH("Falta",K10)))</formula>
    </cfRule>
    <cfRule type="containsText" dxfId="1980" priority="8" operator="containsText" text="Sin">
      <formula>NOT(ISERROR(SEARCH("Sin",K10)))</formula>
    </cfRule>
    <cfRule type="containsText" dxfId="1979" priority="9" operator="containsText" text="&quot;&quot;">
      <formula>NOT(ISERROR(SEARCH("""""",K10)))</formula>
    </cfRule>
  </conditionalFormatting>
  <conditionalFormatting sqref="L10">
    <cfRule type="containsText" dxfId="1978" priority="4" operator="containsText" text="Falta">
      <formula>NOT(ISERROR(SEARCH("Falta",L10)))</formula>
    </cfRule>
    <cfRule type="containsText" dxfId="1977" priority="5" operator="containsText" text="Sin">
      <formula>NOT(ISERROR(SEARCH("Sin",L10)))</formula>
    </cfRule>
    <cfRule type="containsText" dxfId="1976" priority="6" operator="containsText" text="&quot;&quot;">
      <formula>NOT(ISERROR(SEARCH("""""",L10)))</formula>
    </cfRule>
  </conditionalFormatting>
  <conditionalFormatting sqref="L37">
    <cfRule type="containsText" dxfId="1975" priority="1" operator="containsText" text="Falta">
      <formula>NOT(ISERROR(SEARCH("Falta",L37)))</formula>
    </cfRule>
    <cfRule type="containsText" dxfId="1974" priority="2" operator="containsText" text="Sin">
      <formula>NOT(ISERROR(SEARCH("Sin",L37)))</formula>
    </cfRule>
    <cfRule type="containsText" dxfId="1973" priority="3" operator="containsText" text="&quot;&quot;">
      <formula>NOT(ISERROR(SEARCH("""""",L37)))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>
    <tabColor rgb="FF00B050"/>
  </sheetPr>
  <dimension ref="B2:G45"/>
  <sheetViews>
    <sheetView workbookViewId="0">
      <selection activeCell="I27" sqref="I27"/>
    </sheetView>
  </sheetViews>
  <sheetFormatPr baseColWidth="10" defaultRowHeight="15" x14ac:dyDescent="0.25"/>
  <cols>
    <col min="3" max="3" width="53.42578125" bestFit="1" customWidth="1"/>
    <col min="4" max="4" width="28.85546875" bestFit="1" customWidth="1"/>
    <col min="5" max="5" width="15" bestFit="1" customWidth="1"/>
    <col min="7" max="7" width="30.85546875" bestFit="1" customWidth="1"/>
  </cols>
  <sheetData>
    <row r="2" spans="2:7" x14ac:dyDescent="0.25">
      <c r="B2" s="406" t="s">
        <v>565</v>
      </c>
      <c r="C2" s="407" t="s">
        <v>529</v>
      </c>
      <c r="D2" s="406" t="s">
        <v>567</v>
      </c>
      <c r="E2" s="406" t="s">
        <v>920</v>
      </c>
      <c r="F2" s="406" t="s">
        <v>922</v>
      </c>
      <c r="G2" s="406" t="s">
        <v>923</v>
      </c>
    </row>
    <row r="3" spans="2:7" x14ac:dyDescent="0.25">
      <c r="B3" s="408"/>
      <c r="C3" s="409"/>
      <c r="D3" s="410"/>
      <c r="E3" s="410"/>
      <c r="F3" s="422"/>
      <c r="G3" s="410"/>
    </row>
    <row r="4" spans="2:7" s="247" customFormat="1" x14ac:dyDescent="0.25">
      <c r="B4" s="411" t="s">
        <v>43</v>
      </c>
      <c r="C4" s="412" t="s">
        <v>531</v>
      </c>
      <c r="D4" s="413" t="s">
        <v>581</v>
      </c>
      <c r="E4" s="414" t="s">
        <v>48</v>
      </c>
      <c r="F4" s="423">
        <v>20600098633</v>
      </c>
      <c r="G4" s="426" t="s">
        <v>928</v>
      </c>
    </row>
    <row r="5" spans="2:7" x14ac:dyDescent="0.25">
      <c r="B5" s="411" t="s">
        <v>90</v>
      </c>
      <c r="C5" s="412" t="s">
        <v>533</v>
      </c>
      <c r="D5" s="413" t="s">
        <v>578</v>
      </c>
      <c r="E5" s="414" t="s">
        <v>89</v>
      </c>
      <c r="F5" s="423">
        <v>20553008795</v>
      </c>
      <c r="G5" s="413" t="str">
        <f>CONCATENATE(F5,"-",E5,"/",B5,"/")</f>
        <v>20553008795-HYTERA/P0002/</v>
      </c>
    </row>
    <row r="6" spans="2:7" x14ac:dyDescent="0.25">
      <c r="B6" s="411" t="s">
        <v>95</v>
      </c>
      <c r="C6" s="412" t="s">
        <v>533</v>
      </c>
      <c r="D6" s="413" t="s">
        <v>578</v>
      </c>
      <c r="E6" s="414" t="s">
        <v>89</v>
      </c>
      <c r="F6" s="423">
        <v>20553008795</v>
      </c>
      <c r="G6" s="413" t="str">
        <f>CONCATENATE(F6,"-",E6,"/",B6,"/")</f>
        <v>20553008795-HYTERA/P0003/</v>
      </c>
    </row>
    <row r="7" spans="2:7" s="247" customFormat="1" x14ac:dyDescent="0.25">
      <c r="B7" s="408"/>
      <c r="C7" s="409"/>
      <c r="D7" s="410"/>
      <c r="E7" s="410"/>
      <c r="F7" s="422"/>
      <c r="G7" s="410"/>
    </row>
    <row r="8" spans="2:7" x14ac:dyDescent="0.25">
      <c r="B8" s="411" t="s">
        <v>77</v>
      </c>
      <c r="C8" s="252" t="s">
        <v>76</v>
      </c>
      <c r="D8" s="413" t="s">
        <v>579</v>
      </c>
      <c r="E8" s="414" t="s">
        <v>76</v>
      </c>
      <c r="F8" s="424">
        <v>20100010136</v>
      </c>
      <c r="G8" s="413" t="str">
        <f>CONCATENATE(F8,"-",E8,"/",B8,"/")</f>
        <v>20100010136-COSMOS/P0005/</v>
      </c>
    </row>
    <row r="9" spans="2:7" x14ac:dyDescent="0.25">
      <c r="B9" s="411" t="s">
        <v>94</v>
      </c>
      <c r="C9" s="412" t="s">
        <v>560</v>
      </c>
      <c r="D9" s="413" t="s">
        <v>578</v>
      </c>
      <c r="E9" s="414" t="s">
        <v>326</v>
      </c>
      <c r="F9" s="424"/>
      <c r="G9" s="413" t="str">
        <f t="shared" ref="G9:G38" si="0">CONCATENATE(F9,"-",E9,"/",B9,"/")</f>
        <v>-CAJA AREQUIPA/P0006/</v>
      </c>
    </row>
    <row r="10" spans="2:7" x14ac:dyDescent="0.25">
      <c r="B10" s="411" t="s">
        <v>92</v>
      </c>
      <c r="C10" s="412" t="s">
        <v>580</v>
      </c>
      <c r="D10" s="413" t="s">
        <v>578</v>
      </c>
      <c r="E10" s="414" t="s">
        <v>91</v>
      </c>
      <c r="F10" s="423">
        <v>20503758114</v>
      </c>
      <c r="G10" s="413" t="str">
        <f t="shared" si="0"/>
        <v>20503758114-CALIDDA/P0007/</v>
      </c>
    </row>
    <row r="11" spans="2:7" x14ac:dyDescent="0.25">
      <c r="B11" s="411" t="s">
        <v>79</v>
      </c>
      <c r="C11" s="252" t="s">
        <v>535</v>
      </c>
      <c r="D11" s="413" t="s">
        <v>578</v>
      </c>
      <c r="E11" s="414" t="s">
        <v>78</v>
      </c>
      <c r="F11" s="423">
        <v>20377985843</v>
      </c>
      <c r="G11" s="413" t="str">
        <f t="shared" si="0"/>
        <v>20377985843-SUSALUD/P0008/</v>
      </c>
    </row>
    <row r="12" spans="2:7" x14ac:dyDescent="0.25">
      <c r="B12" s="411" t="s">
        <v>98</v>
      </c>
      <c r="C12" s="412" t="s">
        <v>539</v>
      </c>
      <c r="D12" s="413" t="s">
        <v>578</v>
      </c>
      <c r="E12" s="414" t="s">
        <v>78</v>
      </c>
      <c r="F12" s="423">
        <v>20377985843</v>
      </c>
      <c r="G12" s="413" t="str">
        <f t="shared" si="0"/>
        <v>20377985843-SUSALUD/P0009/</v>
      </c>
    </row>
    <row r="13" spans="2:7" x14ac:dyDescent="0.25">
      <c r="B13" s="411" t="s">
        <v>85</v>
      </c>
      <c r="C13" s="412" t="s">
        <v>536</v>
      </c>
      <c r="D13" s="413" t="s">
        <v>579</v>
      </c>
      <c r="E13" s="414" t="s">
        <v>84</v>
      </c>
      <c r="F13" s="423">
        <v>20211614545</v>
      </c>
      <c r="G13" s="413" t="str">
        <f t="shared" si="0"/>
        <v>20211614545-UPC/P0010/</v>
      </c>
    </row>
    <row r="14" spans="2:7" x14ac:dyDescent="0.25">
      <c r="B14" s="411" t="s">
        <v>47</v>
      </c>
      <c r="C14" s="412" t="s">
        <v>537</v>
      </c>
      <c r="D14" s="413" t="s">
        <v>581</v>
      </c>
      <c r="E14" s="414" t="s">
        <v>45</v>
      </c>
      <c r="F14" s="425">
        <v>20513328819</v>
      </c>
      <c r="G14" s="413" t="str">
        <f t="shared" si="0"/>
        <v>20513328819-CARDIF/P0011/</v>
      </c>
    </row>
    <row r="15" spans="2:7" x14ac:dyDescent="0.25">
      <c r="B15" s="411" t="s">
        <v>88</v>
      </c>
      <c r="C15" s="252" t="s">
        <v>538</v>
      </c>
      <c r="D15" s="413" t="s">
        <v>581</v>
      </c>
      <c r="E15" s="414" t="s">
        <v>45</v>
      </c>
      <c r="F15" s="423">
        <v>20513328819</v>
      </c>
      <c r="G15" s="413" t="str">
        <f t="shared" si="0"/>
        <v>20513328819-CARDIF/P0012/</v>
      </c>
    </row>
    <row r="16" spans="2:7" x14ac:dyDescent="0.25">
      <c r="B16" s="411" t="s">
        <v>51</v>
      </c>
      <c r="C16" s="252" t="s">
        <v>540</v>
      </c>
      <c r="D16" s="413" t="s">
        <v>581</v>
      </c>
      <c r="E16" s="414" t="s">
        <v>45</v>
      </c>
      <c r="F16" s="423">
        <v>20513328819</v>
      </c>
      <c r="G16" s="413" t="str">
        <f t="shared" si="0"/>
        <v>20513328819-CARDIF/P0013/</v>
      </c>
    </row>
    <row r="17" spans="2:7" x14ac:dyDescent="0.25">
      <c r="B17" s="411" t="s">
        <v>204</v>
      </c>
      <c r="C17" s="252" t="s">
        <v>531</v>
      </c>
      <c r="D17" s="413" t="s">
        <v>581</v>
      </c>
      <c r="E17" s="414" t="s">
        <v>48</v>
      </c>
      <c r="F17" s="423">
        <v>20600098633</v>
      </c>
      <c r="G17" s="413" t="str">
        <f t="shared" si="0"/>
        <v>20600098633-CRECER/P0014/</v>
      </c>
    </row>
    <row r="18" spans="2:7" x14ac:dyDescent="0.25">
      <c r="B18" s="411" t="s">
        <v>104</v>
      </c>
      <c r="C18" s="412" t="s">
        <v>541</v>
      </c>
      <c r="D18" s="413" t="s">
        <v>583</v>
      </c>
      <c r="E18" s="414" t="s">
        <v>541</v>
      </c>
      <c r="F18" s="425">
        <v>20517207331</v>
      </c>
      <c r="G18" s="413" t="str">
        <f t="shared" si="0"/>
        <v>20517207331-PROTECTA /P0015/</v>
      </c>
    </row>
    <row r="19" spans="2:7" x14ac:dyDescent="0.25">
      <c r="B19" s="411" t="s">
        <v>542</v>
      </c>
      <c r="C19" s="252" t="s">
        <v>580</v>
      </c>
      <c r="D19" s="413" t="s">
        <v>578</v>
      </c>
      <c r="E19" s="414" t="s">
        <v>91</v>
      </c>
      <c r="F19" s="423">
        <v>20503758114</v>
      </c>
      <c r="G19" s="413" t="str">
        <f t="shared" si="0"/>
        <v>20503758114-CALIDDA/P0016/</v>
      </c>
    </row>
    <row r="20" spans="2:7" x14ac:dyDescent="0.25">
      <c r="B20" s="411" t="s">
        <v>433</v>
      </c>
      <c r="C20" s="252" t="s">
        <v>531</v>
      </c>
      <c r="D20" s="413" t="s">
        <v>581</v>
      </c>
      <c r="E20" s="414" t="s">
        <v>48</v>
      </c>
      <c r="F20" s="423">
        <v>20600098633</v>
      </c>
      <c r="G20" s="413" t="str">
        <f t="shared" si="0"/>
        <v>20600098633-CRECER/P0017/</v>
      </c>
    </row>
    <row r="21" spans="2:7" x14ac:dyDescent="0.25">
      <c r="B21" s="411" t="s">
        <v>203</v>
      </c>
      <c r="C21" s="252" t="s">
        <v>96</v>
      </c>
      <c r="D21" s="413" t="s">
        <v>586</v>
      </c>
      <c r="E21" s="414" t="s">
        <v>96</v>
      </c>
      <c r="F21" s="425">
        <v>20470982625</v>
      </c>
      <c r="G21" s="413" t="str">
        <f t="shared" si="0"/>
        <v>20470982625-PALABRITAS/P0018/</v>
      </c>
    </row>
    <row r="22" spans="2:7" x14ac:dyDescent="0.25">
      <c r="B22" s="411" t="s">
        <v>228</v>
      </c>
      <c r="C22" s="415" t="s">
        <v>227</v>
      </c>
      <c r="D22" s="413" t="s">
        <v>578</v>
      </c>
      <c r="E22" s="414" t="s">
        <v>227</v>
      </c>
      <c r="F22" s="423">
        <v>20100049008</v>
      </c>
      <c r="G22" s="413" t="str">
        <f t="shared" si="0"/>
        <v>20100049008-AMERICA TV/P0019/</v>
      </c>
    </row>
    <row r="23" spans="2:7" x14ac:dyDescent="0.25">
      <c r="B23" s="411" t="s">
        <v>196</v>
      </c>
      <c r="C23" s="415" t="s">
        <v>50</v>
      </c>
      <c r="D23" s="413" t="s">
        <v>578</v>
      </c>
      <c r="E23" s="414" t="s">
        <v>50</v>
      </c>
      <c r="F23" s="423">
        <v>20100022142</v>
      </c>
      <c r="G23" s="413" t="str">
        <f t="shared" si="0"/>
        <v>20100022142-ABB/P0020/</v>
      </c>
    </row>
    <row r="24" spans="2:7" x14ac:dyDescent="0.25">
      <c r="B24" s="411" t="s">
        <v>545</v>
      </c>
      <c r="C24" s="415" t="s">
        <v>546</v>
      </c>
      <c r="D24" s="413" t="s">
        <v>578</v>
      </c>
      <c r="E24" s="414" t="s">
        <v>921</v>
      </c>
      <c r="F24" s="424">
        <v>20107290339</v>
      </c>
      <c r="G24" s="413" t="str">
        <f t="shared" si="0"/>
        <v>20107290339-APESEG/P0021/</v>
      </c>
    </row>
    <row r="25" spans="2:7" x14ac:dyDescent="0.25">
      <c r="B25" s="411" t="s">
        <v>198</v>
      </c>
      <c r="C25" s="252" t="s">
        <v>541</v>
      </c>
      <c r="D25" s="413" t="s">
        <v>583</v>
      </c>
      <c r="E25" s="414" t="s">
        <v>541</v>
      </c>
      <c r="F25" s="424">
        <v>20517207331</v>
      </c>
      <c r="G25" s="413" t="str">
        <f t="shared" si="0"/>
        <v>20517207331-PROTECTA /P0022/</v>
      </c>
    </row>
    <row r="26" spans="2:7" x14ac:dyDescent="0.25">
      <c r="B26" s="411" t="s">
        <v>206</v>
      </c>
      <c r="C26" s="252" t="s">
        <v>590</v>
      </c>
      <c r="D26" s="413" t="s">
        <v>586</v>
      </c>
      <c r="E26" s="414" t="s">
        <v>234</v>
      </c>
      <c r="F26" s="424">
        <v>20421239275</v>
      </c>
      <c r="G26" s="413" t="str">
        <f t="shared" si="0"/>
        <v>20421239275-EDUCA_D/P0023/</v>
      </c>
    </row>
    <row r="27" spans="2:7" x14ac:dyDescent="0.25">
      <c r="B27" s="411" t="s">
        <v>221</v>
      </c>
      <c r="C27" s="252" t="s">
        <v>548</v>
      </c>
      <c r="D27" s="413" t="s">
        <v>578</v>
      </c>
      <c r="E27" s="414" t="s">
        <v>78</v>
      </c>
      <c r="F27" s="424">
        <v>20377985843</v>
      </c>
      <c r="G27" s="413" t="str">
        <f t="shared" si="0"/>
        <v>20377985843-SUSALUD/P0024/</v>
      </c>
    </row>
    <row r="28" spans="2:7" x14ac:dyDescent="0.25">
      <c r="B28" s="411" t="s">
        <v>306</v>
      </c>
      <c r="C28" s="252" t="s">
        <v>541</v>
      </c>
      <c r="D28" s="413" t="s">
        <v>927</v>
      </c>
      <c r="E28" s="414" t="s">
        <v>541</v>
      </c>
      <c r="F28" s="424">
        <v>20517207331</v>
      </c>
      <c r="G28" s="413" t="str">
        <f t="shared" si="0"/>
        <v>20517207331-PROTECTA /P0025/</v>
      </c>
    </row>
    <row r="29" spans="2:7" x14ac:dyDescent="0.25">
      <c r="B29" s="411" t="s">
        <v>305</v>
      </c>
      <c r="C29" s="252" t="s">
        <v>541</v>
      </c>
      <c r="D29" s="413" t="s">
        <v>926</v>
      </c>
      <c r="E29" s="414" t="s">
        <v>541</v>
      </c>
      <c r="F29" s="424">
        <v>20517207331</v>
      </c>
      <c r="G29" s="413" t="str">
        <f t="shared" si="0"/>
        <v>20517207331-PROTECTA /P0026/</v>
      </c>
    </row>
    <row r="30" spans="2:7" x14ac:dyDescent="0.25">
      <c r="B30" s="411" t="s">
        <v>361</v>
      </c>
      <c r="C30" s="252" t="s">
        <v>541</v>
      </c>
      <c r="D30" s="413" t="s">
        <v>925</v>
      </c>
      <c r="E30" s="414" t="s">
        <v>541</v>
      </c>
      <c r="F30" s="424">
        <v>20517207331</v>
      </c>
      <c r="G30" s="413" t="str">
        <f t="shared" si="0"/>
        <v>20517207331-PROTECTA /P0027/</v>
      </c>
    </row>
    <row r="31" spans="2:7" s="247" customFormat="1" x14ac:dyDescent="0.25">
      <c r="B31" s="408"/>
      <c r="C31" s="409"/>
      <c r="D31" s="410"/>
      <c r="E31" s="410"/>
      <c r="F31" s="422"/>
      <c r="G31" s="413"/>
    </row>
    <row r="32" spans="2:7" x14ac:dyDescent="0.25">
      <c r="B32" s="411" t="s">
        <v>549</v>
      </c>
      <c r="C32" s="252" t="s">
        <v>227</v>
      </c>
      <c r="D32" s="413" t="s">
        <v>578</v>
      </c>
      <c r="E32" s="414" t="s">
        <v>227</v>
      </c>
      <c r="F32" s="424">
        <v>20100049008</v>
      </c>
      <c r="G32" s="413" t="str">
        <f t="shared" si="0"/>
        <v>20100049008-AMERICA TV/P0029/</v>
      </c>
    </row>
    <row r="33" spans="2:7" x14ac:dyDescent="0.25">
      <c r="B33" s="411" t="s">
        <v>411</v>
      </c>
      <c r="C33" s="252" t="s">
        <v>50</v>
      </c>
      <c r="D33" s="413" t="s">
        <v>578</v>
      </c>
      <c r="E33" s="414" t="s">
        <v>50</v>
      </c>
      <c r="F33" s="424">
        <v>20100022142</v>
      </c>
      <c r="G33" s="413" t="str">
        <f t="shared" si="0"/>
        <v>20100022142-ABB/P0030/</v>
      </c>
    </row>
    <row r="34" spans="2:7" s="247" customFormat="1" x14ac:dyDescent="0.25">
      <c r="B34" s="408"/>
      <c r="C34" s="409"/>
      <c r="D34" s="410"/>
      <c r="E34" s="410"/>
      <c r="F34" s="422"/>
      <c r="G34" s="413"/>
    </row>
    <row r="35" spans="2:7" x14ac:dyDescent="0.25">
      <c r="B35" s="411" t="s">
        <v>415</v>
      </c>
      <c r="C35" s="252" t="s">
        <v>45</v>
      </c>
      <c r="D35" s="413" t="s">
        <v>581</v>
      </c>
      <c r="E35" s="414" t="s">
        <v>45</v>
      </c>
      <c r="F35" s="424">
        <v>20513328819</v>
      </c>
      <c r="G35" s="413" t="str">
        <f t="shared" si="0"/>
        <v>20513328819-CARDIF/P0032/</v>
      </c>
    </row>
    <row r="36" spans="2:7" x14ac:dyDescent="0.25">
      <c r="B36" s="411" t="s">
        <v>562</v>
      </c>
      <c r="C36" s="252" t="s">
        <v>541</v>
      </c>
      <c r="D36" s="413" t="s">
        <v>924</v>
      </c>
      <c r="E36" s="414" t="s">
        <v>541</v>
      </c>
      <c r="F36" s="424">
        <v>20517207331</v>
      </c>
      <c r="G36" s="413" t="str">
        <f t="shared" si="0"/>
        <v>20517207331-PROTECTA /P0033/</v>
      </c>
    </row>
    <row r="37" spans="2:7" x14ac:dyDescent="0.25">
      <c r="B37" s="411" t="s">
        <v>639</v>
      </c>
      <c r="C37" s="252" t="s">
        <v>50</v>
      </c>
      <c r="D37" s="413" t="s">
        <v>578</v>
      </c>
      <c r="E37" s="414" t="s">
        <v>50</v>
      </c>
      <c r="F37" s="424">
        <v>20100022142</v>
      </c>
      <c r="G37" s="413" t="str">
        <f t="shared" si="0"/>
        <v>20100022142-ABB/P0034/</v>
      </c>
    </row>
    <row r="38" spans="2:7" x14ac:dyDescent="0.25">
      <c r="B38" s="411" t="s">
        <v>913</v>
      </c>
      <c r="C38" s="252" t="s">
        <v>541</v>
      </c>
      <c r="D38" s="413" t="s">
        <v>924</v>
      </c>
      <c r="E38" s="414" t="s">
        <v>541</v>
      </c>
      <c r="F38" s="424">
        <v>20517207331</v>
      </c>
      <c r="G38" s="413" t="str">
        <f t="shared" si="0"/>
        <v>20517207331-PROTECTA /P0035/</v>
      </c>
    </row>
    <row r="39" spans="2:7" x14ac:dyDescent="0.25">
      <c r="B39" s="417"/>
      <c r="C39" s="418"/>
      <c r="D39" s="419"/>
      <c r="E39" s="420"/>
      <c r="F39" s="420"/>
      <c r="G39" s="419"/>
    </row>
    <row r="40" spans="2:7" x14ac:dyDescent="0.25">
      <c r="B40" s="417"/>
      <c r="C40" s="418"/>
      <c r="D40" s="419"/>
      <c r="E40" s="420"/>
      <c r="F40" s="420"/>
      <c r="G40" s="419"/>
    </row>
    <row r="41" spans="2:7" x14ac:dyDescent="0.25">
      <c r="B41" s="417"/>
      <c r="C41" s="418"/>
      <c r="D41" s="419"/>
      <c r="E41" s="420"/>
      <c r="F41" s="420"/>
      <c r="G41" s="419"/>
    </row>
    <row r="42" spans="2:7" x14ac:dyDescent="0.25">
      <c r="B42" s="417"/>
      <c r="C42" s="418"/>
      <c r="D42" s="419"/>
      <c r="E42" s="420"/>
      <c r="F42" s="420"/>
      <c r="G42" s="419"/>
    </row>
    <row r="43" spans="2:7" x14ac:dyDescent="0.25">
      <c r="B43" s="417"/>
      <c r="C43" s="418"/>
      <c r="D43" s="419"/>
      <c r="E43" s="416"/>
      <c r="F43" s="416"/>
      <c r="G43" s="421"/>
    </row>
    <row r="44" spans="2:7" x14ac:dyDescent="0.25">
      <c r="B44" s="417"/>
      <c r="C44" s="418"/>
      <c r="D44" s="419"/>
      <c r="E44" s="420"/>
      <c r="F44" s="420"/>
      <c r="G44" s="419"/>
    </row>
    <row r="45" spans="2:7" x14ac:dyDescent="0.25">
      <c r="B45" s="417"/>
      <c r="C45" s="418"/>
      <c r="D45" s="419"/>
      <c r="E45" s="420"/>
      <c r="F45" s="420"/>
      <c r="G45" s="419"/>
    </row>
  </sheetData>
  <sortState ref="B4:E35">
    <sortCondition ref="B3"/>
  </sortState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B2:M211"/>
  <sheetViews>
    <sheetView topLeftCell="F1" workbookViewId="0">
      <selection activeCell="B2" sqref="B2:M211"/>
    </sheetView>
  </sheetViews>
  <sheetFormatPr baseColWidth="10" defaultRowHeight="15" x14ac:dyDescent="0.25"/>
  <cols>
    <col min="2" max="2" width="30.7109375" customWidth="1"/>
    <col min="3" max="3" width="14.28515625" bestFit="1" customWidth="1"/>
    <col min="4" max="4" width="13.7109375" customWidth="1"/>
    <col min="5" max="5" width="40.7109375" style="247" bestFit="1" customWidth="1"/>
    <col min="6" max="6" width="90.140625" customWidth="1"/>
  </cols>
  <sheetData>
    <row r="2" spans="2:13" ht="30" x14ac:dyDescent="0.25">
      <c r="B2" s="346" t="s">
        <v>72</v>
      </c>
      <c r="C2" s="346" t="s">
        <v>73</v>
      </c>
      <c r="D2" s="346" t="s">
        <v>74</v>
      </c>
      <c r="E2" s="346" t="s">
        <v>642</v>
      </c>
      <c r="F2" s="346" t="s">
        <v>133</v>
      </c>
      <c r="G2" s="346" t="s">
        <v>388</v>
      </c>
      <c r="H2" s="346" t="s">
        <v>389</v>
      </c>
      <c r="I2" s="346" t="s">
        <v>390</v>
      </c>
      <c r="J2" s="346" t="s">
        <v>391</v>
      </c>
      <c r="K2" s="346" t="s">
        <v>392</v>
      </c>
      <c r="L2" s="346" t="s">
        <v>393</v>
      </c>
      <c r="M2" s="346" t="s">
        <v>394</v>
      </c>
    </row>
    <row r="3" spans="2:13" x14ac:dyDescent="0.25">
      <c r="B3" t="s">
        <v>28</v>
      </c>
      <c r="C3" t="s">
        <v>91</v>
      </c>
      <c r="D3" t="s">
        <v>92</v>
      </c>
      <c r="E3" s="247" t="str">
        <f>CONCATENATE(D3,"-",F3)</f>
        <v>P0007-Up Grade Web de Licitaciones Calidda</v>
      </c>
      <c r="F3" t="s">
        <v>117</v>
      </c>
      <c r="G3">
        <v>9</v>
      </c>
      <c r="H3">
        <v>0</v>
      </c>
      <c r="I3">
        <v>8</v>
      </c>
      <c r="J3">
        <v>0</v>
      </c>
      <c r="K3">
        <v>0</v>
      </c>
      <c r="L3">
        <v>0</v>
      </c>
      <c r="M3">
        <v>0</v>
      </c>
    </row>
    <row r="4" spans="2:13" x14ac:dyDescent="0.25">
      <c r="B4" t="s">
        <v>28</v>
      </c>
      <c r="C4" t="s">
        <v>78</v>
      </c>
      <c r="D4" t="s">
        <v>79</v>
      </c>
      <c r="E4" s="247" t="str">
        <f t="shared" ref="E4:E67" si="0">CONCATENATE(D4,"-",F4)</f>
        <v>P0008-Aplicativo para la consulta de expedientes de SAREFIS y SADERECHOS con DNI electrónico</v>
      </c>
      <c r="F4" t="s">
        <v>164</v>
      </c>
      <c r="G4">
        <v>0</v>
      </c>
      <c r="H4">
        <v>0</v>
      </c>
      <c r="I4">
        <v>52</v>
      </c>
      <c r="J4">
        <v>0</v>
      </c>
      <c r="K4">
        <v>0</v>
      </c>
      <c r="L4">
        <v>0</v>
      </c>
      <c r="M4">
        <v>0</v>
      </c>
    </row>
    <row r="5" spans="2:13" x14ac:dyDescent="0.25">
      <c r="B5" t="s">
        <v>28</v>
      </c>
      <c r="C5" t="s">
        <v>93</v>
      </c>
      <c r="D5" t="s">
        <v>94</v>
      </c>
      <c r="E5" s="247" t="str">
        <f t="shared" si="0"/>
        <v>P0006-Implementación y despliegue de Pagos Masivos para Caja Arequipa</v>
      </c>
      <c r="F5" t="s">
        <v>116</v>
      </c>
      <c r="G5">
        <v>35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</row>
    <row r="6" spans="2:13" x14ac:dyDescent="0.25">
      <c r="B6" t="s">
        <v>28</v>
      </c>
      <c r="C6" t="s">
        <v>89</v>
      </c>
      <c r="D6" t="s">
        <v>90</v>
      </c>
      <c r="E6" s="247" t="str">
        <f t="shared" si="0"/>
        <v>P0002-Implementación del Módulo Básico de Interconexión Radios - Tetra Server - BD PNP</v>
      </c>
      <c r="F6" t="s">
        <v>113</v>
      </c>
      <c r="G6">
        <v>35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</row>
    <row r="7" spans="2:13" x14ac:dyDescent="0.25">
      <c r="B7" t="s">
        <v>28</v>
      </c>
      <c r="C7" t="s">
        <v>89</v>
      </c>
      <c r="D7" t="s">
        <v>95</v>
      </c>
      <c r="E7" s="247" t="str">
        <f t="shared" si="0"/>
        <v>P0003-Implementación de los Módulos para la interconexión de los Radios - Tetra Server - BD PNP</v>
      </c>
      <c r="F7" t="s">
        <v>165</v>
      </c>
      <c r="G7">
        <v>9</v>
      </c>
      <c r="H7">
        <v>70</v>
      </c>
      <c r="I7">
        <v>0</v>
      </c>
      <c r="J7">
        <v>0</v>
      </c>
      <c r="K7">
        <v>0</v>
      </c>
      <c r="L7">
        <v>0</v>
      </c>
      <c r="M7">
        <v>0</v>
      </c>
    </row>
    <row r="8" spans="2:13" x14ac:dyDescent="0.25">
      <c r="B8" t="s">
        <v>28</v>
      </c>
      <c r="C8" t="s">
        <v>78</v>
      </c>
      <c r="D8" t="s">
        <v>221</v>
      </c>
      <c r="E8" s="247" t="str">
        <f t="shared" si="0"/>
        <v>P0024-Totem Digital</v>
      </c>
      <c r="F8" t="s">
        <v>222</v>
      </c>
      <c r="G8">
        <v>0</v>
      </c>
      <c r="H8">
        <v>0</v>
      </c>
      <c r="I8">
        <v>0</v>
      </c>
      <c r="J8">
        <v>0</v>
      </c>
      <c r="K8">
        <v>0</v>
      </c>
      <c r="L8">
        <v>24</v>
      </c>
      <c r="M8">
        <v>0</v>
      </c>
    </row>
    <row r="9" spans="2:13" x14ac:dyDescent="0.25">
      <c r="B9" t="s">
        <v>28</v>
      </c>
      <c r="C9" t="s">
        <v>227</v>
      </c>
      <c r="D9" t="s">
        <v>228</v>
      </c>
      <c r="E9" s="247" t="str">
        <f t="shared" si="0"/>
        <v xml:space="preserve">P0019-Servicios de soporte de segundo nivel sobre Linux en Cloud Softlayer
</v>
      </c>
      <c r="F9" t="s">
        <v>229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</row>
    <row r="10" spans="2:13" x14ac:dyDescent="0.25">
      <c r="B10" t="s">
        <v>28</v>
      </c>
      <c r="C10" t="s">
        <v>46</v>
      </c>
      <c r="D10" t="s">
        <v>46</v>
      </c>
      <c r="E10" s="247" t="str">
        <f t="shared" si="0"/>
        <v>PROPUESTA-Propuesta</v>
      </c>
      <c r="F10" t="s">
        <v>132</v>
      </c>
      <c r="G10">
        <v>0</v>
      </c>
      <c r="H10">
        <v>0</v>
      </c>
      <c r="I10">
        <v>0</v>
      </c>
      <c r="J10">
        <v>0</v>
      </c>
      <c r="K10">
        <v>144</v>
      </c>
      <c r="L10">
        <v>104</v>
      </c>
      <c r="M10">
        <v>92</v>
      </c>
    </row>
    <row r="11" spans="2:13" x14ac:dyDescent="0.25">
      <c r="B11" t="s">
        <v>28</v>
      </c>
      <c r="C11" t="s">
        <v>208</v>
      </c>
      <c r="D11" t="s">
        <v>208</v>
      </c>
      <c r="E11" s="247" t="str">
        <f t="shared" si="0"/>
        <v>INASISTENCIAS-Inasistencias</v>
      </c>
      <c r="F11" t="s">
        <v>210</v>
      </c>
      <c r="G11">
        <v>0</v>
      </c>
      <c r="H11">
        <v>0</v>
      </c>
      <c r="I11">
        <v>0</v>
      </c>
      <c r="J11">
        <v>0</v>
      </c>
      <c r="K11">
        <v>0</v>
      </c>
      <c r="L11">
        <v>40</v>
      </c>
      <c r="M11">
        <v>0</v>
      </c>
    </row>
    <row r="12" spans="2:13" x14ac:dyDescent="0.25">
      <c r="B12" t="s">
        <v>28</v>
      </c>
      <c r="C12" t="s">
        <v>209</v>
      </c>
      <c r="D12" t="s">
        <v>209</v>
      </c>
      <c r="E12" s="247" t="str">
        <f t="shared" si="0"/>
        <v>VACACIONES-Vacaciones</v>
      </c>
      <c r="F12" t="s">
        <v>243</v>
      </c>
      <c r="G12">
        <v>88</v>
      </c>
      <c r="H12">
        <v>90</v>
      </c>
      <c r="I12">
        <v>0</v>
      </c>
      <c r="J12">
        <v>0</v>
      </c>
      <c r="K12">
        <v>0</v>
      </c>
      <c r="L12">
        <v>0</v>
      </c>
      <c r="M12">
        <v>0</v>
      </c>
    </row>
    <row r="13" spans="2:13" x14ac:dyDescent="0.25">
      <c r="B13" t="s">
        <v>28</v>
      </c>
      <c r="C13" t="s">
        <v>75</v>
      </c>
      <c r="D13" t="s">
        <v>75</v>
      </c>
      <c r="E13" s="247" t="str">
        <f t="shared" si="0"/>
        <v>NO FACT.-No facturable</v>
      </c>
      <c r="F13" t="s">
        <v>131</v>
      </c>
      <c r="G13">
        <v>0</v>
      </c>
      <c r="H13">
        <v>0</v>
      </c>
      <c r="I13">
        <v>124</v>
      </c>
      <c r="J13">
        <v>144</v>
      </c>
      <c r="K13">
        <v>32</v>
      </c>
      <c r="L13">
        <v>0</v>
      </c>
      <c r="M13">
        <v>0</v>
      </c>
    </row>
    <row r="14" spans="2:13" x14ac:dyDescent="0.25">
      <c r="B14" t="s">
        <v>28</v>
      </c>
      <c r="C14" t="s">
        <v>50</v>
      </c>
      <c r="D14" t="s">
        <v>196</v>
      </c>
      <c r="E14" s="247" t="str">
        <f t="shared" si="0"/>
        <v>P0020-Fabrica de Software</v>
      </c>
      <c r="F14" t="s">
        <v>127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68</v>
      </c>
    </row>
    <row r="15" spans="2:13" x14ac:dyDescent="0.25">
      <c r="B15" t="s">
        <v>28</v>
      </c>
      <c r="C15" t="s">
        <v>50</v>
      </c>
      <c r="D15" t="s">
        <v>639</v>
      </c>
      <c r="E15" s="247" t="str">
        <f t="shared" si="0"/>
        <v>P0034-Servicios de Desarrollo GDO</v>
      </c>
      <c r="F15" t="s">
        <v>640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</row>
    <row r="16" spans="2:13" x14ac:dyDescent="0.25">
      <c r="B16" t="s">
        <v>28</v>
      </c>
      <c r="C16" t="s">
        <v>50</v>
      </c>
      <c r="D16" t="s">
        <v>412</v>
      </c>
      <c r="E16" s="247" t="str">
        <f t="shared" si="0"/>
        <v>P0031-Servicios de Analisis y Desarrollo</v>
      </c>
      <c r="F16" t="s">
        <v>409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</row>
    <row r="17" spans="2:13" x14ac:dyDescent="0.25">
      <c r="B17" t="s">
        <v>282</v>
      </c>
      <c r="C17" t="s">
        <v>44</v>
      </c>
      <c r="D17" t="s">
        <v>42</v>
      </c>
      <c r="E17" s="247" t="str">
        <f t="shared" si="0"/>
        <v>MP004-Software Factory</v>
      </c>
      <c r="F17" t="s">
        <v>304</v>
      </c>
      <c r="G17">
        <v>0</v>
      </c>
      <c r="H17">
        <v>0</v>
      </c>
      <c r="I17">
        <v>0</v>
      </c>
      <c r="J17">
        <v>0</v>
      </c>
      <c r="K17">
        <v>122.5</v>
      </c>
      <c r="L17">
        <v>168</v>
      </c>
      <c r="M17">
        <v>0</v>
      </c>
    </row>
    <row r="18" spans="2:13" x14ac:dyDescent="0.25">
      <c r="B18" t="s">
        <v>0</v>
      </c>
      <c r="C18" t="s">
        <v>103</v>
      </c>
      <c r="D18" t="s">
        <v>562</v>
      </c>
      <c r="E18" s="247" t="str">
        <f t="shared" si="0"/>
        <v>P0033-Mejoras Sistema V-Time</v>
      </c>
      <c r="F18" t="s">
        <v>563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</row>
    <row r="19" spans="2:13" x14ac:dyDescent="0.25">
      <c r="B19" t="s">
        <v>0</v>
      </c>
      <c r="C19" t="s">
        <v>44</v>
      </c>
      <c r="D19" t="s">
        <v>42</v>
      </c>
      <c r="E19" s="247" t="str">
        <f t="shared" si="0"/>
        <v>MP004-Software Factory</v>
      </c>
      <c r="F19" t="s">
        <v>304</v>
      </c>
      <c r="G19">
        <v>176</v>
      </c>
      <c r="H19">
        <v>160</v>
      </c>
      <c r="I19">
        <v>184</v>
      </c>
      <c r="J19">
        <v>144</v>
      </c>
      <c r="K19">
        <v>176</v>
      </c>
      <c r="L19">
        <v>0</v>
      </c>
      <c r="M19">
        <v>0</v>
      </c>
    </row>
    <row r="20" spans="2:13" x14ac:dyDescent="0.25">
      <c r="B20" t="s">
        <v>1</v>
      </c>
      <c r="C20" t="s">
        <v>208</v>
      </c>
      <c r="D20" t="s">
        <v>208</v>
      </c>
      <c r="E20" s="247" t="str">
        <f t="shared" si="0"/>
        <v>INASISTENCIAS-Inasistencias</v>
      </c>
      <c r="F20" t="s">
        <v>210</v>
      </c>
      <c r="G20">
        <v>0</v>
      </c>
      <c r="H20">
        <v>0</v>
      </c>
      <c r="I20">
        <v>0</v>
      </c>
      <c r="J20">
        <v>0</v>
      </c>
      <c r="K20">
        <v>8</v>
      </c>
      <c r="L20">
        <v>0</v>
      </c>
      <c r="M20">
        <v>0</v>
      </c>
    </row>
    <row r="21" spans="2:13" x14ac:dyDescent="0.25">
      <c r="B21" t="s">
        <v>1</v>
      </c>
      <c r="C21" t="s">
        <v>44</v>
      </c>
      <c r="D21" t="s">
        <v>42</v>
      </c>
      <c r="E21" s="247" t="str">
        <f t="shared" si="0"/>
        <v>MP004-Software Factory</v>
      </c>
      <c r="F21" t="s">
        <v>304</v>
      </c>
      <c r="G21">
        <v>176</v>
      </c>
      <c r="H21">
        <v>160</v>
      </c>
      <c r="I21">
        <v>184</v>
      </c>
      <c r="J21">
        <v>144</v>
      </c>
      <c r="K21">
        <v>168</v>
      </c>
      <c r="L21">
        <v>168</v>
      </c>
      <c r="M21">
        <v>160</v>
      </c>
    </row>
    <row r="22" spans="2:13" x14ac:dyDescent="0.25">
      <c r="B22" t="s">
        <v>2</v>
      </c>
      <c r="C22" t="s">
        <v>209</v>
      </c>
      <c r="D22" t="s">
        <v>209</v>
      </c>
      <c r="E22" s="247" t="str">
        <f t="shared" si="0"/>
        <v>VACACIONES-Vacaciones</v>
      </c>
      <c r="F22" t="s">
        <v>243</v>
      </c>
      <c r="G22">
        <v>40</v>
      </c>
      <c r="H22">
        <v>0</v>
      </c>
      <c r="I22">
        <v>0</v>
      </c>
      <c r="J22">
        <v>0</v>
      </c>
      <c r="K22">
        <v>8</v>
      </c>
      <c r="L22">
        <v>8</v>
      </c>
      <c r="M22">
        <v>0</v>
      </c>
    </row>
    <row r="23" spans="2:13" x14ac:dyDescent="0.25">
      <c r="B23" t="s">
        <v>2</v>
      </c>
      <c r="C23" t="s">
        <v>208</v>
      </c>
      <c r="D23" t="s">
        <v>208</v>
      </c>
      <c r="E23" s="247" t="str">
        <f t="shared" si="0"/>
        <v>INASISTENCIAS-Inasistencias</v>
      </c>
      <c r="F23" t="s">
        <v>210</v>
      </c>
      <c r="G23">
        <v>32</v>
      </c>
      <c r="H23">
        <v>0</v>
      </c>
      <c r="I23">
        <v>16</v>
      </c>
      <c r="J23">
        <v>16</v>
      </c>
      <c r="K23">
        <v>0</v>
      </c>
      <c r="L23">
        <v>0</v>
      </c>
      <c r="M23">
        <v>0</v>
      </c>
    </row>
    <row r="24" spans="2:13" x14ac:dyDescent="0.25">
      <c r="B24" t="s">
        <v>2</v>
      </c>
      <c r="C24" t="s">
        <v>44</v>
      </c>
      <c r="D24" t="s">
        <v>42</v>
      </c>
      <c r="E24" s="247" t="str">
        <f t="shared" si="0"/>
        <v>MP004-Software Factory</v>
      </c>
      <c r="F24" t="s">
        <v>304</v>
      </c>
      <c r="G24">
        <v>104</v>
      </c>
      <c r="H24">
        <v>160</v>
      </c>
      <c r="I24">
        <v>168</v>
      </c>
      <c r="J24">
        <v>128</v>
      </c>
      <c r="K24">
        <v>168</v>
      </c>
      <c r="L24">
        <v>160</v>
      </c>
      <c r="M24">
        <v>160</v>
      </c>
    </row>
    <row r="25" spans="2:13" x14ac:dyDescent="0.25">
      <c r="B25" t="s">
        <v>3</v>
      </c>
      <c r="C25" t="s">
        <v>209</v>
      </c>
      <c r="D25" t="s">
        <v>209</v>
      </c>
      <c r="E25" s="247" t="str">
        <f t="shared" si="0"/>
        <v>VACACIONES-Vacaciones</v>
      </c>
      <c r="F25" t="s">
        <v>243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</row>
    <row r="26" spans="2:13" x14ac:dyDescent="0.25">
      <c r="B26" t="s">
        <v>3</v>
      </c>
      <c r="C26" t="s">
        <v>44</v>
      </c>
      <c r="D26" t="s">
        <v>42</v>
      </c>
      <c r="E26" s="247" t="str">
        <f t="shared" si="0"/>
        <v>MP004-Software Factory</v>
      </c>
      <c r="F26" t="s">
        <v>304</v>
      </c>
      <c r="G26">
        <v>170</v>
      </c>
      <c r="H26">
        <v>152</v>
      </c>
      <c r="I26">
        <v>184</v>
      </c>
      <c r="J26">
        <v>120</v>
      </c>
      <c r="K26">
        <v>176</v>
      </c>
      <c r="L26">
        <v>168</v>
      </c>
      <c r="M26">
        <v>152</v>
      </c>
    </row>
    <row r="27" spans="2:13" x14ac:dyDescent="0.25">
      <c r="B27" t="s">
        <v>3</v>
      </c>
      <c r="C27" t="s">
        <v>208</v>
      </c>
      <c r="D27" t="s">
        <v>208</v>
      </c>
      <c r="E27" s="247" t="str">
        <f t="shared" si="0"/>
        <v>INASISTENCIAS-Inasistencias</v>
      </c>
      <c r="F27" t="s">
        <v>210</v>
      </c>
      <c r="G27">
        <v>6</v>
      </c>
      <c r="H27">
        <v>8</v>
      </c>
      <c r="I27">
        <v>0</v>
      </c>
      <c r="J27">
        <v>24</v>
      </c>
      <c r="K27">
        <v>0</v>
      </c>
      <c r="L27">
        <v>0</v>
      </c>
      <c r="M27">
        <v>0</v>
      </c>
    </row>
    <row r="28" spans="2:13" x14ac:dyDescent="0.25">
      <c r="B28" t="s">
        <v>3</v>
      </c>
      <c r="C28" t="s">
        <v>209</v>
      </c>
      <c r="D28" t="s">
        <v>209</v>
      </c>
      <c r="E28" s="247" t="str">
        <f t="shared" si="0"/>
        <v>VACACIONES-Vacaciones</v>
      </c>
      <c r="F28" t="s">
        <v>243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8</v>
      </c>
    </row>
    <row r="29" spans="2:13" x14ac:dyDescent="0.25">
      <c r="B29" t="s">
        <v>4</v>
      </c>
      <c r="C29" t="s">
        <v>44</v>
      </c>
      <c r="D29" t="s">
        <v>42</v>
      </c>
      <c r="E29" s="247" t="str">
        <f t="shared" si="0"/>
        <v>MP004-Software Factory</v>
      </c>
      <c r="F29" t="s">
        <v>304</v>
      </c>
      <c r="G29">
        <v>0</v>
      </c>
      <c r="H29">
        <v>160</v>
      </c>
      <c r="I29">
        <v>184</v>
      </c>
      <c r="J29">
        <v>144</v>
      </c>
      <c r="K29">
        <v>176</v>
      </c>
      <c r="L29">
        <v>168</v>
      </c>
      <c r="M29">
        <v>160</v>
      </c>
    </row>
    <row r="30" spans="2:13" x14ac:dyDescent="0.25">
      <c r="B30" t="s">
        <v>29</v>
      </c>
      <c r="C30" t="s">
        <v>45</v>
      </c>
      <c r="D30" t="s">
        <v>51</v>
      </c>
      <c r="E30" s="247" t="str">
        <f t="shared" si="0"/>
        <v>P0013-Reportes SBS</v>
      </c>
      <c r="F30" t="s">
        <v>122</v>
      </c>
      <c r="G30">
        <v>0</v>
      </c>
      <c r="H30">
        <v>0</v>
      </c>
      <c r="I30">
        <v>0</v>
      </c>
      <c r="J30">
        <v>32</v>
      </c>
      <c r="K30">
        <v>176</v>
      </c>
      <c r="L30">
        <v>168</v>
      </c>
      <c r="M30">
        <v>0</v>
      </c>
    </row>
    <row r="31" spans="2:13" x14ac:dyDescent="0.25">
      <c r="B31" t="s">
        <v>29</v>
      </c>
      <c r="C31" t="s">
        <v>44</v>
      </c>
      <c r="D31" t="s">
        <v>42</v>
      </c>
      <c r="E31" s="247" t="str">
        <f t="shared" si="0"/>
        <v>MP004-Software Factory</v>
      </c>
      <c r="F31" t="s">
        <v>304</v>
      </c>
      <c r="G31">
        <v>176</v>
      </c>
      <c r="H31">
        <v>160</v>
      </c>
      <c r="I31">
        <v>184</v>
      </c>
      <c r="J31">
        <v>16</v>
      </c>
      <c r="K31">
        <v>0</v>
      </c>
      <c r="L31">
        <v>0</v>
      </c>
      <c r="M31">
        <v>0</v>
      </c>
    </row>
    <row r="32" spans="2:13" x14ac:dyDescent="0.25">
      <c r="B32" t="s">
        <v>29</v>
      </c>
      <c r="C32" t="s">
        <v>75</v>
      </c>
      <c r="D32" t="s">
        <v>75</v>
      </c>
      <c r="E32" s="247" t="str">
        <f t="shared" si="0"/>
        <v>NO FACT.-No facturable</v>
      </c>
      <c r="F32" t="s">
        <v>131</v>
      </c>
      <c r="G32">
        <v>0</v>
      </c>
      <c r="H32">
        <v>0</v>
      </c>
      <c r="I32">
        <v>0</v>
      </c>
      <c r="J32">
        <v>96</v>
      </c>
      <c r="K32">
        <v>0</v>
      </c>
      <c r="L32">
        <v>0</v>
      </c>
      <c r="M32">
        <v>120</v>
      </c>
    </row>
    <row r="33" spans="2:13" x14ac:dyDescent="0.25">
      <c r="B33" t="s">
        <v>29</v>
      </c>
      <c r="C33" t="s">
        <v>208</v>
      </c>
      <c r="D33" t="s">
        <v>208</v>
      </c>
      <c r="E33" s="247" t="str">
        <f t="shared" si="0"/>
        <v>INASISTENCIAS-Inasistencias</v>
      </c>
      <c r="F33" t="s">
        <v>210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</row>
    <row r="34" spans="2:13" x14ac:dyDescent="0.25">
      <c r="B34" t="s">
        <v>29</v>
      </c>
      <c r="C34" t="s">
        <v>86</v>
      </c>
      <c r="D34" t="s">
        <v>87</v>
      </c>
      <c r="E34" s="247" t="str">
        <f t="shared" si="0"/>
        <v>MP001-Analista Programador Java Python</v>
      </c>
      <c r="F34" t="s">
        <v>125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40</v>
      </c>
    </row>
    <row r="35" spans="2:13" x14ac:dyDescent="0.25">
      <c r="B35" t="s">
        <v>5</v>
      </c>
      <c r="C35" t="s">
        <v>208</v>
      </c>
      <c r="D35" t="s">
        <v>208</v>
      </c>
      <c r="E35" s="247" t="str">
        <f t="shared" si="0"/>
        <v>INASISTENCIAS-Inasistencias</v>
      </c>
      <c r="F35" t="s">
        <v>210</v>
      </c>
      <c r="G35">
        <v>0</v>
      </c>
      <c r="H35">
        <v>0</v>
      </c>
      <c r="I35">
        <v>0</v>
      </c>
      <c r="J35">
        <v>0</v>
      </c>
      <c r="K35">
        <v>22</v>
      </c>
      <c r="L35">
        <v>0</v>
      </c>
      <c r="M35">
        <v>0</v>
      </c>
    </row>
    <row r="36" spans="2:13" x14ac:dyDescent="0.25">
      <c r="B36" t="s">
        <v>5</v>
      </c>
      <c r="C36" t="s">
        <v>209</v>
      </c>
      <c r="D36" t="s">
        <v>209</v>
      </c>
      <c r="E36" s="247" t="str">
        <f t="shared" si="0"/>
        <v>VACACIONES-Vacaciones</v>
      </c>
      <c r="F36" t="s">
        <v>243</v>
      </c>
      <c r="G36">
        <v>64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</row>
    <row r="37" spans="2:13" x14ac:dyDescent="0.25">
      <c r="B37" t="s">
        <v>5</v>
      </c>
      <c r="C37" t="s">
        <v>44</v>
      </c>
      <c r="D37" t="s">
        <v>42</v>
      </c>
      <c r="E37" s="247" t="str">
        <f t="shared" si="0"/>
        <v>MP004-Software Factory</v>
      </c>
      <c r="F37" t="s">
        <v>304</v>
      </c>
      <c r="G37">
        <v>112</v>
      </c>
      <c r="H37">
        <v>160</v>
      </c>
      <c r="I37">
        <v>184</v>
      </c>
      <c r="J37">
        <v>144</v>
      </c>
      <c r="K37">
        <v>154</v>
      </c>
      <c r="L37">
        <v>168</v>
      </c>
      <c r="M37">
        <v>160</v>
      </c>
    </row>
    <row r="38" spans="2:13" x14ac:dyDescent="0.25">
      <c r="B38" t="s">
        <v>30</v>
      </c>
      <c r="C38" t="s">
        <v>76</v>
      </c>
      <c r="D38" t="s">
        <v>77</v>
      </c>
      <c r="E38" s="247" t="str">
        <f t="shared" si="0"/>
        <v>P0005-Implementación del Sistema de Certificados de Retenciones</v>
      </c>
      <c r="F38" t="s">
        <v>115</v>
      </c>
      <c r="G38">
        <v>0</v>
      </c>
      <c r="H38">
        <v>0</v>
      </c>
      <c r="I38">
        <v>46</v>
      </c>
      <c r="J38">
        <v>33</v>
      </c>
      <c r="K38">
        <v>36</v>
      </c>
      <c r="L38">
        <v>63</v>
      </c>
      <c r="M38">
        <v>82</v>
      </c>
    </row>
    <row r="39" spans="2:13" x14ac:dyDescent="0.25">
      <c r="B39" t="s">
        <v>30</v>
      </c>
      <c r="C39" t="s">
        <v>103</v>
      </c>
      <c r="D39" t="s">
        <v>305</v>
      </c>
      <c r="E39" s="247" t="str">
        <f t="shared" si="0"/>
        <v xml:space="preserve">P0026-Implementación de Extractores de Gestión TABLEAU </v>
      </c>
      <c r="F39" t="s">
        <v>436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58</v>
      </c>
    </row>
    <row r="40" spans="2:13" x14ac:dyDescent="0.25">
      <c r="B40" t="s">
        <v>30</v>
      </c>
      <c r="C40" t="s">
        <v>78</v>
      </c>
      <c r="D40" t="s">
        <v>79</v>
      </c>
      <c r="E40" s="247" t="str">
        <f t="shared" si="0"/>
        <v>P0008-Aplicativo para la consulta de expedientes de SAREFIS y SADERECHOS con DNI electrónico</v>
      </c>
      <c r="F40" t="s">
        <v>164</v>
      </c>
      <c r="G40">
        <v>0</v>
      </c>
      <c r="H40">
        <v>32</v>
      </c>
      <c r="I40">
        <v>6</v>
      </c>
      <c r="J40">
        <v>0</v>
      </c>
      <c r="K40">
        <v>0</v>
      </c>
      <c r="L40">
        <v>0</v>
      </c>
      <c r="M40">
        <v>0</v>
      </c>
    </row>
    <row r="41" spans="2:13" x14ac:dyDescent="0.25">
      <c r="B41" t="s">
        <v>30</v>
      </c>
      <c r="C41" t="s">
        <v>80</v>
      </c>
      <c r="D41" t="s">
        <v>81</v>
      </c>
      <c r="E41" s="247" t="str">
        <f t="shared" si="0"/>
        <v>MP002-Soporte Tecnico</v>
      </c>
      <c r="F41" t="s">
        <v>126</v>
      </c>
      <c r="G41">
        <v>0</v>
      </c>
      <c r="H41">
        <v>0</v>
      </c>
      <c r="I41">
        <v>0</v>
      </c>
      <c r="J41">
        <v>18</v>
      </c>
      <c r="K41">
        <v>1</v>
      </c>
      <c r="L41">
        <v>0</v>
      </c>
      <c r="M41">
        <v>0</v>
      </c>
    </row>
    <row r="42" spans="2:13" x14ac:dyDescent="0.25">
      <c r="B42" t="s">
        <v>30</v>
      </c>
      <c r="C42" t="s">
        <v>82</v>
      </c>
      <c r="D42" t="s">
        <v>83</v>
      </c>
      <c r="E42" s="247" t="str">
        <f t="shared" si="0"/>
        <v>MP003-Soporte Tecnico</v>
      </c>
      <c r="F42" t="s">
        <v>126</v>
      </c>
      <c r="G42">
        <v>0</v>
      </c>
      <c r="H42">
        <v>0</v>
      </c>
      <c r="I42">
        <v>0</v>
      </c>
      <c r="J42">
        <v>8</v>
      </c>
      <c r="K42">
        <v>1</v>
      </c>
      <c r="L42">
        <v>0</v>
      </c>
      <c r="M42">
        <v>0</v>
      </c>
    </row>
    <row r="43" spans="2:13" x14ac:dyDescent="0.25">
      <c r="B43" t="s">
        <v>30</v>
      </c>
      <c r="C43" t="s">
        <v>50</v>
      </c>
      <c r="D43" t="s">
        <v>196</v>
      </c>
      <c r="E43" s="247" t="str">
        <f t="shared" si="0"/>
        <v>P0020-Fabrica de Software</v>
      </c>
      <c r="F43" t="s">
        <v>127</v>
      </c>
      <c r="G43">
        <v>123</v>
      </c>
      <c r="H43">
        <v>96</v>
      </c>
      <c r="I43">
        <v>92.5</v>
      </c>
      <c r="J43">
        <v>0</v>
      </c>
      <c r="K43">
        <v>0</v>
      </c>
      <c r="L43">
        <v>0</v>
      </c>
      <c r="M43">
        <v>0</v>
      </c>
    </row>
    <row r="44" spans="2:13" x14ac:dyDescent="0.25">
      <c r="B44" t="s">
        <v>30</v>
      </c>
      <c r="C44" t="s">
        <v>84</v>
      </c>
      <c r="D44" t="s">
        <v>85</v>
      </c>
      <c r="E44" s="247" t="str">
        <f t="shared" si="0"/>
        <v>P0010-Soporte de Analista de Calidad</v>
      </c>
      <c r="F44" t="s">
        <v>123</v>
      </c>
      <c r="G44">
        <v>0</v>
      </c>
      <c r="H44">
        <v>0</v>
      </c>
      <c r="I44">
        <v>0</v>
      </c>
      <c r="J44">
        <v>5</v>
      </c>
      <c r="K44">
        <v>1</v>
      </c>
      <c r="L44">
        <v>0</v>
      </c>
      <c r="M44">
        <v>0</v>
      </c>
    </row>
    <row r="45" spans="2:13" x14ac:dyDescent="0.25">
      <c r="B45" t="s">
        <v>30</v>
      </c>
      <c r="C45" t="s">
        <v>86</v>
      </c>
      <c r="D45" t="s">
        <v>87</v>
      </c>
      <c r="E45" s="247" t="str">
        <f t="shared" si="0"/>
        <v>MP001-Analista Programador Java Python</v>
      </c>
      <c r="F45" t="s">
        <v>125</v>
      </c>
      <c r="G45">
        <v>0</v>
      </c>
      <c r="H45">
        <v>0</v>
      </c>
      <c r="I45">
        <v>0</v>
      </c>
      <c r="J45">
        <v>13</v>
      </c>
      <c r="K45">
        <v>1</v>
      </c>
      <c r="L45">
        <v>0</v>
      </c>
      <c r="M45">
        <v>0</v>
      </c>
    </row>
    <row r="46" spans="2:13" x14ac:dyDescent="0.25">
      <c r="B46" t="s">
        <v>30</v>
      </c>
      <c r="C46" t="s">
        <v>209</v>
      </c>
      <c r="D46" t="s">
        <v>209</v>
      </c>
      <c r="E46" s="247" t="str">
        <f t="shared" si="0"/>
        <v>VACACIONES-Vacaciones</v>
      </c>
      <c r="F46" t="s">
        <v>243</v>
      </c>
      <c r="G46">
        <v>0</v>
      </c>
      <c r="H46">
        <v>0</v>
      </c>
      <c r="I46">
        <v>0</v>
      </c>
      <c r="J46">
        <v>0</v>
      </c>
      <c r="K46">
        <v>0</v>
      </c>
      <c r="L46">
        <v>8</v>
      </c>
      <c r="M46">
        <v>0</v>
      </c>
    </row>
    <row r="47" spans="2:13" x14ac:dyDescent="0.25">
      <c r="B47" t="s">
        <v>30</v>
      </c>
      <c r="C47" t="s">
        <v>75</v>
      </c>
      <c r="D47" t="s">
        <v>75</v>
      </c>
      <c r="E47" s="247" t="str">
        <f t="shared" si="0"/>
        <v>NO FACT.-No facturable</v>
      </c>
      <c r="F47" t="s">
        <v>131</v>
      </c>
      <c r="G47">
        <v>26.5</v>
      </c>
      <c r="H47">
        <v>16</v>
      </c>
      <c r="I47">
        <v>39.5</v>
      </c>
      <c r="J47">
        <v>67</v>
      </c>
      <c r="K47">
        <v>72</v>
      </c>
      <c r="L47">
        <v>0</v>
      </c>
      <c r="M47">
        <v>20</v>
      </c>
    </row>
    <row r="48" spans="2:13" x14ac:dyDescent="0.25">
      <c r="B48" t="s">
        <v>30</v>
      </c>
      <c r="C48" t="s">
        <v>46</v>
      </c>
      <c r="D48" t="s">
        <v>46</v>
      </c>
      <c r="E48" s="247" t="str">
        <f t="shared" si="0"/>
        <v>PROPUESTA-Propuesta</v>
      </c>
      <c r="F48" t="s">
        <v>132</v>
      </c>
      <c r="G48">
        <v>26.5</v>
      </c>
      <c r="H48">
        <v>16</v>
      </c>
      <c r="I48">
        <v>0</v>
      </c>
      <c r="J48">
        <v>0</v>
      </c>
      <c r="K48">
        <v>64</v>
      </c>
      <c r="L48">
        <v>97</v>
      </c>
      <c r="M48">
        <v>0</v>
      </c>
    </row>
    <row r="49" spans="2:13" x14ac:dyDescent="0.25">
      <c r="B49" t="s">
        <v>417</v>
      </c>
      <c r="C49" t="s">
        <v>44</v>
      </c>
      <c r="D49" t="s">
        <v>42</v>
      </c>
      <c r="E49" s="247" t="str">
        <f t="shared" si="0"/>
        <v>MP004-Software Factory</v>
      </c>
      <c r="F49" t="s">
        <v>304</v>
      </c>
      <c r="G49">
        <v>176</v>
      </c>
      <c r="H49">
        <v>112</v>
      </c>
      <c r="I49">
        <v>184</v>
      </c>
      <c r="J49">
        <v>144</v>
      </c>
      <c r="K49">
        <v>0</v>
      </c>
      <c r="L49">
        <v>0</v>
      </c>
      <c r="M49">
        <v>0</v>
      </c>
    </row>
    <row r="50" spans="2:13" x14ac:dyDescent="0.25">
      <c r="B50" t="s">
        <v>417</v>
      </c>
      <c r="C50" t="s">
        <v>209</v>
      </c>
      <c r="D50" t="s">
        <v>209</v>
      </c>
      <c r="E50" s="247" t="str">
        <f t="shared" si="0"/>
        <v>VACACIONES-Vacaciones</v>
      </c>
      <c r="F50" t="s">
        <v>243</v>
      </c>
      <c r="G50">
        <v>0</v>
      </c>
      <c r="H50">
        <v>48</v>
      </c>
      <c r="I50">
        <v>0</v>
      </c>
      <c r="J50">
        <v>0</v>
      </c>
      <c r="K50">
        <v>0</v>
      </c>
      <c r="L50">
        <v>0</v>
      </c>
      <c r="M50">
        <v>0</v>
      </c>
    </row>
    <row r="51" spans="2:13" x14ac:dyDescent="0.25">
      <c r="B51" t="s">
        <v>31</v>
      </c>
      <c r="C51" t="s">
        <v>84</v>
      </c>
      <c r="D51" t="s">
        <v>85</v>
      </c>
      <c r="E51" s="247" t="str">
        <f t="shared" si="0"/>
        <v>P0010-Soporte de Analista de Calidad</v>
      </c>
      <c r="F51" t="s">
        <v>123</v>
      </c>
      <c r="G51">
        <v>176</v>
      </c>
      <c r="H51">
        <v>160</v>
      </c>
      <c r="I51">
        <v>16</v>
      </c>
      <c r="J51">
        <v>144</v>
      </c>
      <c r="K51">
        <v>160</v>
      </c>
      <c r="L51">
        <v>24</v>
      </c>
      <c r="M51">
        <v>0</v>
      </c>
    </row>
    <row r="52" spans="2:13" x14ac:dyDescent="0.25">
      <c r="B52" t="s">
        <v>31</v>
      </c>
      <c r="C52" t="s">
        <v>208</v>
      </c>
      <c r="D52" t="s">
        <v>208</v>
      </c>
      <c r="E52" s="247" t="str">
        <f t="shared" si="0"/>
        <v>INASISTENCIAS-Inasistencias</v>
      </c>
      <c r="F52" t="s">
        <v>210</v>
      </c>
      <c r="G52">
        <v>0</v>
      </c>
      <c r="H52">
        <v>0</v>
      </c>
      <c r="I52">
        <v>0</v>
      </c>
      <c r="J52">
        <v>0</v>
      </c>
      <c r="K52">
        <v>16</v>
      </c>
      <c r="L52">
        <v>0</v>
      </c>
      <c r="M52">
        <v>0</v>
      </c>
    </row>
    <row r="53" spans="2:13" x14ac:dyDescent="0.25">
      <c r="B53" t="s">
        <v>31</v>
      </c>
      <c r="C53" t="s">
        <v>209</v>
      </c>
      <c r="D53" t="s">
        <v>209</v>
      </c>
      <c r="E53" s="247" t="str">
        <f t="shared" si="0"/>
        <v>VACACIONES-Vacaciones</v>
      </c>
      <c r="F53" t="s">
        <v>243</v>
      </c>
      <c r="G53">
        <v>0</v>
      </c>
      <c r="H53">
        <v>0</v>
      </c>
      <c r="I53">
        <v>88</v>
      </c>
      <c r="J53">
        <v>0</v>
      </c>
      <c r="K53">
        <v>0</v>
      </c>
      <c r="L53">
        <v>0</v>
      </c>
      <c r="M53">
        <v>0</v>
      </c>
    </row>
    <row r="54" spans="2:13" x14ac:dyDescent="0.25">
      <c r="B54" t="s">
        <v>31</v>
      </c>
      <c r="C54" t="s">
        <v>75</v>
      </c>
      <c r="D54" t="s">
        <v>75</v>
      </c>
      <c r="E54" s="247" t="str">
        <f t="shared" si="0"/>
        <v>NO FACT.-No facturable</v>
      </c>
      <c r="F54" t="s">
        <v>131</v>
      </c>
      <c r="G54">
        <v>0</v>
      </c>
      <c r="H54">
        <v>0</v>
      </c>
      <c r="I54">
        <v>80</v>
      </c>
      <c r="J54">
        <v>0</v>
      </c>
      <c r="K54">
        <v>0</v>
      </c>
      <c r="L54">
        <v>104</v>
      </c>
      <c r="M54">
        <v>0</v>
      </c>
    </row>
    <row r="55" spans="2:13" x14ac:dyDescent="0.25">
      <c r="B55" t="s">
        <v>418</v>
      </c>
      <c r="C55" t="s">
        <v>44</v>
      </c>
      <c r="D55" t="s">
        <v>42</v>
      </c>
      <c r="E55" s="247" t="str">
        <f t="shared" si="0"/>
        <v>MP004-Software Factory</v>
      </c>
      <c r="F55" t="s">
        <v>304</v>
      </c>
      <c r="G55">
        <v>0</v>
      </c>
      <c r="H55">
        <v>80</v>
      </c>
      <c r="I55">
        <v>184</v>
      </c>
      <c r="J55">
        <v>16</v>
      </c>
      <c r="K55">
        <v>0</v>
      </c>
      <c r="L55">
        <v>0</v>
      </c>
      <c r="M55">
        <v>0</v>
      </c>
    </row>
    <row r="56" spans="2:13" x14ac:dyDescent="0.25">
      <c r="B56" t="s">
        <v>418</v>
      </c>
      <c r="C56" t="s">
        <v>78</v>
      </c>
      <c r="D56" t="s">
        <v>79</v>
      </c>
      <c r="E56" s="247" t="str">
        <f t="shared" si="0"/>
        <v>P0008-Aplicativo para la consulta de expedientes de SAREFIS y SADERECHOS con DNI electrónico</v>
      </c>
      <c r="F56" t="s">
        <v>164</v>
      </c>
      <c r="G56">
        <v>0</v>
      </c>
      <c r="H56">
        <v>80</v>
      </c>
      <c r="I56">
        <v>0</v>
      </c>
      <c r="J56">
        <v>0</v>
      </c>
      <c r="K56">
        <v>0</v>
      </c>
      <c r="L56">
        <v>0</v>
      </c>
      <c r="M56">
        <v>0</v>
      </c>
    </row>
    <row r="57" spans="2:13" x14ac:dyDescent="0.25">
      <c r="B57" t="s">
        <v>418</v>
      </c>
      <c r="C57" t="s">
        <v>93</v>
      </c>
      <c r="D57" t="s">
        <v>94</v>
      </c>
      <c r="E57" s="247" t="str">
        <f t="shared" si="0"/>
        <v>P0006-Implementación y despliegue de Pagos Masivos para Caja Arequipa</v>
      </c>
      <c r="F57" t="s">
        <v>116</v>
      </c>
      <c r="G57">
        <v>88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</row>
    <row r="58" spans="2:13" x14ac:dyDescent="0.25">
      <c r="B58" t="s">
        <v>418</v>
      </c>
      <c r="C58" t="s">
        <v>91</v>
      </c>
      <c r="D58" t="s">
        <v>92</v>
      </c>
      <c r="E58" s="247" t="str">
        <f t="shared" si="0"/>
        <v>P0007-Up Grade Web de Licitaciones Calidda</v>
      </c>
      <c r="F58" t="s">
        <v>117</v>
      </c>
      <c r="G58">
        <v>88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</row>
    <row r="59" spans="2:13" x14ac:dyDescent="0.25">
      <c r="B59" t="s">
        <v>195</v>
      </c>
      <c r="C59" t="s">
        <v>50</v>
      </c>
      <c r="D59" t="s">
        <v>412</v>
      </c>
      <c r="E59" s="247" t="str">
        <f t="shared" si="0"/>
        <v>P0031-Servicios de Analisis y Desarrollo</v>
      </c>
      <c r="F59" t="s">
        <v>409</v>
      </c>
      <c r="G59">
        <v>0</v>
      </c>
      <c r="H59">
        <v>0</v>
      </c>
      <c r="I59">
        <v>0</v>
      </c>
      <c r="J59">
        <v>0</v>
      </c>
      <c r="K59">
        <v>96</v>
      </c>
      <c r="L59">
        <v>168</v>
      </c>
      <c r="M59">
        <v>160</v>
      </c>
    </row>
    <row r="60" spans="2:13" x14ac:dyDescent="0.25">
      <c r="B60" t="s">
        <v>442</v>
      </c>
      <c r="C60" t="s">
        <v>44</v>
      </c>
      <c r="D60" t="s">
        <v>42</v>
      </c>
      <c r="E60" s="247" t="str">
        <f t="shared" si="0"/>
        <v>MP004-Software Factory</v>
      </c>
      <c r="F60" t="s">
        <v>304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160</v>
      </c>
    </row>
    <row r="61" spans="2:13" x14ac:dyDescent="0.25">
      <c r="B61" t="s">
        <v>134</v>
      </c>
      <c r="C61" t="s">
        <v>96</v>
      </c>
      <c r="D61" t="s">
        <v>203</v>
      </c>
      <c r="E61" s="247" t="str">
        <f t="shared" si="0"/>
        <v>P0018-Palabritas</v>
      </c>
      <c r="F61" t="s">
        <v>156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16</v>
      </c>
    </row>
    <row r="62" spans="2:13" x14ac:dyDescent="0.25">
      <c r="B62" t="s">
        <v>134</v>
      </c>
      <c r="C62" t="s">
        <v>78</v>
      </c>
      <c r="D62" t="s">
        <v>98</v>
      </c>
      <c r="E62" s="247" t="str">
        <f t="shared" si="0"/>
        <v>P0009-Aplicativo SUSALUD contigo IOS</v>
      </c>
      <c r="F62" t="s">
        <v>135</v>
      </c>
      <c r="G62">
        <v>0</v>
      </c>
      <c r="H62">
        <v>0</v>
      </c>
      <c r="I62">
        <v>0</v>
      </c>
      <c r="J62">
        <v>40</v>
      </c>
      <c r="K62">
        <v>176</v>
      </c>
      <c r="L62">
        <v>96</v>
      </c>
      <c r="M62">
        <v>0</v>
      </c>
    </row>
    <row r="63" spans="2:13" x14ac:dyDescent="0.25">
      <c r="B63" t="s">
        <v>134</v>
      </c>
      <c r="C63" t="s">
        <v>75</v>
      </c>
      <c r="D63" t="s">
        <v>75</v>
      </c>
      <c r="E63" s="247" t="str">
        <f t="shared" si="0"/>
        <v>NO FACT.-No facturable</v>
      </c>
      <c r="F63" t="s">
        <v>131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</row>
    <row r="64" spans="2:13" x14ac:dyDescent="0.25">
      <c r="B64" t="s">
        <v>134</v>
      </c>
      <c r="C64" t="s">
        <v>234</v>
      </c>
      <c r="D64" t="s">
        <v>206</v>
      </c>
      <c r="E64" s="247" t="str">
        <f t="shared" si="0"/>
        <v>P0023- 8 Aplicaciones Móviles Universidades</v>
      </c>
      <c r="F64" t="s">
        <v>235</v>
      </c>
      <c r="G64">
        <v>0</v>
      </c>
      <c r="H64">
        <v>0</v>
      </c>
      <c r="I64">
        <v>0</v>
      </c>
      <c r="J64">
        <v>0</v>
      </c>
      <c r="K64">
        <v>0</v>
      </c>
      <c r="L64">
        <v>56</v>
      </c>
      <c r="M64">
        <v>144</v>
      </c>
    </row>
    <row r="65" spans="2:13" x14ac:dyDescent="0.25">
      <c r="B65" t="s">
        <v>134</v>
      </c>
      <c r="C65" t="s">
        <v>208</v>
      </c>
      <c r="D65" t="s">
        <v>208</v>
      </c>
      <c r="E65" s="247" t="str">
        <f t="shared" si="0"/>
        <v>INASISTENCIAS-Inasistencias</v>
      </c>
      <c r="F65" t="s">
        <v>210</v>
      </c>
      <c r="G65">
        <v>0</v>
      </c>
      <c r="H65">
        <v>0</v>
      </c>
      <c r="I65">
        <v>0</v>
      </c>
      <c r="J65">
        <v>0</v>
      </c>
      <c r="K65">
        <v>0</v>
      </c>
      <c r="L65">
        <v>16</v>
      </c>
      <c r="M65">
        <v>0</v>
      </c>
    </row>
    <row r="66" spans="2:13" x14ac:dyDescent="0.25">
      <c r="B66" t="s">
        <v>6</v>
      </c>
      <c r="C66" t="s">
        <v>44</v>
      </c>
      <c r="D66" t="s">
        <v>42</v>
      </c>
      <c r="E66" s="247" t="str">
        <f t="shared" si="0"/>
        <v>MP004-Software Factory</v>
      </c>
      <c r="F66" t="s">
        <v>304</v>
      </c>
      <c r="G66">
        <v>0</v>
      </c>
      <c r="H66">
        <v>0</v>
      </c>
      <c r="I66">
        <v>56</v>
      </c>
      <c r="J66">
        <v>144</v>
      </c>
      <c r="K66">
        <v>176</v>
      </c>
      <c r="L66">
        <v>168</v>
      </c>
      <c r="M66">
        <v>0</v>
      </c>
    </row>
    <row r="67" spans="2:13" x14ac:dyDescent="0.25">
      <c r="B67" t="s">
        <v>7</v>
      </c>
      <c r="C67" t="s">
        <v>44</v>
      </c>
      <c r="D67" t="s">
        <v>42</v>
      </c>
      <c r="E67" s="247" t="str">
        <f t="shared" si="0"/>
        <v>MP004-Software Factory</v>
      </c>
      <c r="F67" t="s">
        <v>304</v>
      </c>
      <c r="G67">
        <v>152</v>
      </c>
      <c r="H67">
        <v>160</v>
      </c>
      <c r="I67">
        <v>184</v>
      </c>
      <c r="J67">
        <v>144</v>
      </c>
      <c r="K67">
        <v>176</v>
      </c>
      <c r="L67">
        <v>168</v>
      </c>
      <c r="M67">
        <v>160</v>
      </c>
    </row>
    <row r="68" spans="2:13" x14ac:dyDescent="0.25">
      <c r="B68" t="s">
        <v>8</v>
      </c>
      <c r="C68" t="s">
        <v>44</v>
      </c>
      <c r="D68" t="s">
        <v>42</v>
      </c>
      <c r="E68" s="247" t="str">
        <f t="shared" ref="E68:E131" si="1">CONCATENATE(D68,"-",F68)</f>
        <v>MP004-Software Factory</v>
      </c>
      <c r="F68" t="s">
        <v>304</v>
      </c>
      <c r="G68">
        <v>136</v>
      </c>
      <c r="H68">
        <v>160</v>
      </c>
      <c r="I68">
        <v>176</v>
      </c>
      <c r="J68">
        <v>144</v>
      </c>
      <c r="K68">
        <v>176</v>
      </c>
      <c r="L68">
        <v>168</v>
      </c>
      <c r="M68">
        <v>160</v>
      </c>
    </row>
    <row r="69" spans="2:13" x14ac:dyDescent="0.25">
      <c r="B69" t="s">
        <v>8</v>
      </c>
      <c r="C69" t="s">
        <v>209</v>
      </c>
      <c r="D69" t="s">
        <v>209</v>
      </c>
      <c r="E69" s="247" t="str">
        <f t="shared" si="1"/>
        <v>VACACIONES-Vacaciones</v>
      </c>
      <c r="F69" t="s">
        <v>243</v>
      </c>
      <c r="G69">
        <v>40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</row>
    <row r="70" spans="2:13" x14ac:dyDescent="0.25">
      <c r="B70" t="s">
        <v>8</v>
      </c>
      <c r="C70" t="s">
        <v>208</v>
      </c>
      <c r="D70" t="s">
        <v>208</v>
      </c>
      <c r="E70" s="247" t="str">
        <f t="shared" si="1"/>
        <v>INASISTENCIAS-Inasistencias</v>
      </c>
      <c r="F70" t="s">
        <v>210</v>
      </c>
      <c r="G70">
        <v>0</v>
      </c>
      <c r="H70">
        <v>0</v>
      </c>
      <c r="I70">
        <v>8</v>
      </c>
      <c r="J70">
        <v>0</v>
      </c>
      <c r="K70">
        <v>0</v>
      </c>
      <c r="L70">
        <v>0</v>
      </c>
      <c r="M70">
        <v>0</v>
      </c>
    </row>
    <row r="71" spans="2:13" x14ac:dyDescent="0.25">
      <c r="B71" t="s">
        <v>9</v>
      </c>
      <c r="C71" t="s">
        <v>44</v>
      </c>
      <c r="D71" t="s">
        <v>42</v>
      </c>
      <c r="E71" s="247" t="str">
        <f t="shared" si="1"/>
        <v>MP004-Software Factory</v>
      </c>
      <c r="F71" t="s">
        <v>304</v>
      </c>
      <c r="G71">
        <v>176</v>
      </c>
      <c r="H71">
        <v>160</v>
      </c>
      <c r="I71">
        <v>184</v>
      </c>
      <c r="J71">
        <v>144</v>
      </c>
      <c r="K71">
        <v>176</v>
      </c>
      <c r="L71">
        <v>168</v>
      </c>
      <c r="M71">
        <v>160</v>
      </c>
    </row>
    <row r="72" spans="2:13" x14ac:dyDescent="0.25">
      <c r="B72" t="s">
        <v>419</v>
      </c>
      <c r="C72" t="s">
        <v>75</v>
      </c>
      <c r="D72" t="s">
        <v>75</v>
      </c>
      <c r="E72" s="247" t="str">
        <f t="shared" si="1"/>
        <v>NO FACT.-No facturable</v>
      </c>
      <c r="F72" t="s">
        <v>131</v>
      </c>
      <c r="G72">
        <v>176</v>
      </c>
      <c r="H72">
        <v>160</v>
      </c>
      <c r="I72">
        <v>184</v>
      </c>
      <c r="J72">
        <v>144</v>
      </c>
      <c r="K72">
        <v>0</v>
      </c>
      <c r="L72">
        <v>0</v>
      </c>
      <c r="M72">
        <v>0</v>
      </c>
    </row>
    <row r="73" spans="2:13" x14ac:dyDescent="0.25">
      <c r="B73" t="s">
        <v>10</v>
      </c>
      <c r="C73" t="s">
        <v>75</v>
      </c>
      <c r="D73" t="s">
        <v>75</v>
      </c>
      <c r="E73" s="247" t="str">
        <f t="shared" si="1"/>
        <v>NO FACT.-No facturable</v>
      </c>
      <c r="F73" t="s">
        <v>131</v>
      </c>
      <c r="G73">
        <v>0</v>
      </c>
      <c r="H73">
        <v>0</v>
      </c>
      <c r="I73">
        <v>0</v>
      </c>
      <c r="J73">
        <v>0</v>
      </c>
      <c r="K73">
        <v>0</v>
      </c>
      <c r="L73">
        <v>8</v>
      </c>
      <c r="M73">
        <v>0</v>
      </c>
    </row>
    <row r="74" spans="2:13" x14ac:dyDescent="0.25">
      <c r="B74" t="s">
        <v>10</v>
      </c>
      <c r="C74" t="s">
        <v>208</v>
      </c>
      <c r="D74" t="s">
        <v>208</v>
      </c>
      <c r="E74" s="247" t="str">
        <f t="shared" si="1"/>
        <v>INASISTENCIAS-Inasistencias</v>
      </c>
      <c r="F74" t="s">
        <v>210</v>
      </c>
      <c r="G74">
        <v>0</v>
      </c>
      <c r="H74">
        <v>0</v>
      </c>
      <c r="I74">
        <v>0</v>
      </c>
      <c r="J74">
        <v>0</v>
      </c>
      <c r="K74">
        <v>8</v>
      </c>
      <c r="L74">
        <v>0</v>
      </c>
      <c r="M74">
        <v>0</v>
      </c>
    </row>
    <row r="75" spans="2:13" x14ac:dyDescent="0.25">
      <c r="B75" t="s">
        <v>10</v>
      </c>
      <c r="C75" t="s">
        <v>103</v>
      </c>
      <c r="D75" t="s">
        <v>361</v>
      </c>
      <c r="E75" s="247" t="str">
        <f t="shared" si="1"/>
        <v>P0027-Implementacion del Sistema BackOffice SOAT</v>
      </c>
      <c r="F75" t="s">
        <v>362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8</v>
      </c>
    </row>
    <row r="76" spans="2:13" x14ac:dyDescent="0.25">
      <c r="B76" t="s">
        <v>10</v>
      </c>
      <c r="C76" t="s">
        <v>209</v>
      </c>
      <c r="D76" t="s">
        <v>209</v>
      </c>
      <c r="E76" s="247" t="str">
        <f t="shared" si="1"/>
        <v>VACACIONES-Vacaciones</v>
      </c>
      <c r="F76" t="s">
        <v>243</v>
      </c>
      <c r="G76">
        <v>0</v>
      </c>
      <c r="H76">
        <v>0</v>
      </c>
      <c r="I76">
        <v>40</v>
      </c>
      <c r="J76">
        <v>0</v>
      </c>
      <c r="K76">
        <v>0</v>
      </c>
      <c r="L76">
        <v>0</v>
      </c>
      <c r="M76">
        <v>0</v>
      </c>
    </row>
    <row r="77" spans="2:13" x14ac:dyDescent="0.25">
      <c r="B77" t="s">
        <v>10</v>
      </c>
      <c r="C77" t="s">
        <v>44</v>
      </c>
      <c r="D77" t="s">
        <v>42</v>
      </c>
      <c r="E77" s="247" t="str">
        <f t="shared" si="1"/>
        <v>MP004-Software Factory</v>
      </c>
      <c r="F77" t="s">
        <v>304</v>
      </c>
      <c r="G77">
        <v>176</v>
      </c>
      <c r="H77">
        <v>160</v>
      </c>
      <c r="I77">
        <v>144</v>
      </c>
      <c r="J77">
        <v>144</v>
      </c>
      <c r="K77">
        <v>168</v>
      </c>
      <c r="L77">
        <v>160</v>
      </c>
      <c r="M77">
        <v>152</v>
      </c>
    </row>
    <row r="78" spans="2:13" x14ac:dyDescent="0.25">
      <c r="B78" t="s">
        <v>230</v>
      </c>
      <c r="C78" t="s">
        <v>227</v>
      </c>
      <c r="D78" t="s">
        <v>228</v>
      </c>
      <c r="E78" s="247" t="str">
        <f t="shared" si="1"/>
        <v xml:space="preserve">P0019-Servicios de soporte de segundo nivel sobre Linux en Cloud Softlayer
</v>
      </c>
      <c r="F78" t="s">
        <v>229</v>
      </c>
      <c r="G78">
        <v>0</v>
      </c>
      <c r="H78">
        <v>0</v>
      </c>
      <c r="I78">
        <v>0</v>
      </c>
      <c r="J78">
        <v>0</v>
      </c>
      <c r="K78">
        <v>0</v>
      </c>
      <c r="L78">
        <v>152</v>
      </c>
      <c r="M78">
        <v>152</v>
      </c>
    </row>
    <row r="79" spans="2:13" x14ac:dyDescent="0.25">
      <c r="B79" t="s">
        <v>266</v>
      </c>
      <c r="C79" t="s">
        <v>209</v>
      </c>
      <c r="D79" t="s">
        <v>209</v>
      </c>
      <c r="E79" s="247" t="str">
        <f t="shared" si="1"/>
        <v>VACACIONES-Vacaciones</v>
      </c>
      <c r="F79" t="s">
        <v>243</v>
      </c>
      <c r="G79">
        <v>0</v>
      </c>
      <c r="H79">
        <v>0</v>
      </c>
      <c r="I79">
        <v>0</v>
      </c>
      <c r="J79">
        <v>16</v>
      </c>
      <c r="K79">
        <v>0</v>
      </c>
      <c r="L79">
        <v>0</v>
      </c>
      <c r="M79">
        <v>0</v>
      </c>
    </row>
    <row r="80" spans="2:13" x14ac:dyDescent="0.25">
      <c r="B80" t="s">
        <v>266</v>
      </c>
      <c r="C80" t="s">
        <v>44</v>
      </c>
      <c r="D80" t="s">
        <v>42</v>
      </c>
      <c r="E80" s="247" t="str">
        <f t="shared" si="1"/>
        <v>MP004-Software Factory</v>
      </c>
      <c r="F80" t="s">
        <v>304</v>
      </c>
      <c r="G80">
        <v>176</v>
      </c>
      <c r="H80">
        <v>160</v>
      </c>
      <c r="I80">
        <v>184</v>
      </c>
      <c r="J80">
        <v>128</v>
      </c>
      <c r="K80">
        <v>176</v>
      </c>
      <c r="L80">
        <v>168</v>
      </c>
      <c r="M80">
        <v>160</v>
      </c>
    </row>
    <row r="81" spans="2:13" x14ac:dyDescent="0.25">
      <c r="B81" t="s">
        <v>12</v>
      </c>
      <c r="C81" t="s">
        <v>44</v>
      </c>
      <c r="D81" t="s">
        <v>42</v>
      </c>
      <c r="E81" s="247" t="str">
        <f t="shared" si="1"/>
        <v>MP004-Software Factory</v>
      </c>
      <c r="F81" t="s">
        <v>304</v>
      </c>
      <c r="G81">
        <v>176</v>
      </c>
      <c r="H81">
        <v>160</v>
      </c>
      <c r="I81">
        <v>184</v>
      </c>
      <c r="J81">
        <v>144</v>
      </c>
      <c r="K81">
        <v>176</v>
      </c>
      <c r="L81">
        <v>168</v>
      </c>
      <c r="M81">
        <v>152</v>
      </c>
    </row>
    <row r="82" spans="2:13" x14ac:dyDescent="0.25">
      <c r="B82" t="s">
        <v>12</v>
      </c>
      <c r="C82" t="s">
        <v>103</v>
      </c>
      <c r="D82" t="s">
        <v>562</v>
      </c>
      <c r="E82" s="247" t="str">
        <f t="shared" si="1"/>
        <v>P0033-Mejoras Sistema V-Time</v>
      </c>
      <c r="F82" t="s">
        <v>563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</row>
    <row r="83" spans="2:13" x14ac:dyDescent="0.25">
      <c r="B83" t="s">
        <v>12</v>
      </c>
      <c r="C83" t="s">
        <v>103</v>
      </c>
      <c r="D83" t="s">
        <v>361</v>
      </c>
      <c r="E83" s="247" t="str">
        <f t="shared" si="1"/>
        <v>P0027-Implementacion del Sistema BackOffice SOAT</v>
      </c>
      <c r="F83" t="s">
        <v>362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8</v>
      </c>
    </row>
    <row r="84" spans="2:13" x14ac:dyDescent="0.25">
      <c r="B84" t="s">
        <v>32</v>
      </c>
      <c r="C84" t="s">
        <v>209</v>
      </c>
      <c r="D84" t="s">
        <v>209</v>
      </c>
      <c r="E84" s="247" t="str">
        <f t="shared" si="1"/>
        <v>VACACIONES-Vacaciones</v>
      </c>
      <c r="F84" t="s">
        <v>243</v>
      </c>
      <c r="G84">
        <v>40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</row>
    <row r="85" spans="2:13" x14ac:dyDescent="0.25">
      <c r="B85" t="s">
        <v>32</v>
      </c>
      <c r="C85" t="s">
        <v>86</v>
      </c>
      <c r="D85" t="s">
        <v>87</v>
      </c>
      <c r="E85" s="247" t="str">
        <f t="shared" si="1"/>
        <v>MP001-Analista Programador Java Python</v>
      </c>
      <c r="F85" t="s">
        <v>125</v>
      </c>
      <c r="G85">
        <v>136</v>
      </c>
      <c r="H85">
        <v>160</v>
      </c>
      <c r="I85">
        <v>184</v>
      </c>
      <c r="J85">
        <v>144</v>
      </c>
      <c r="K85">
        <v>32</v>
      </c>
      <c r="L85">
        <v>0</v>
      </c>
      <c r="M85">
        <v>0</v>
      </c>
    </row>
    <row r="86" spans="2:13" x14ac:dyDescent="0.25">
      <c r="B86" t="s">
        <v>13</v>
      </c>
      <c r="C86" t="s">
        <v>44</v>
      </c>
      <c r="D86" t="s">
        <v>42</v>
      </c>
      <c r="E86" s="247" t="str">
        <f t="shared" si="1"/>
        <v>MP004-Software Factory</v>
      </c>
      <c r="F86" t="s">
        <v>304</v>
      </c>
      <c r="G86">
        <v>176</v>
      </c>
      <c r="H86">
        <v>160</v>
      </c>
      <c r="I86">
        <v>184</v>
      </c>
      <c r="J86">
        <v>144</v>
      </c>
      <c r="K86">
        <v>176</v>
      </c>
      <c r="L86">
        <v>168</v>
      </c>
      <c r="M86">
        <v>160</v>
      </c>
    </row>
    <row r="87" spans="2:13" x14ac:dyDescent="0.25">
      <c r="B87" t="s">
        <v>107</v>
      </c>
      <c r="C87" t="s">
        <v>208</v>
      </c>
      <c r="D87" t="s">
        <v>208</v>
      </c>
      <c r="E87" s="247" t="str">
        <f t="shared" si="1"/>
        <v>INASISTENCIAS-Inasistencias</v>
      </c>
      <c r="F87" t="s">
        <v>210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8</v>
      </c>
    </row>
    <row r="88" spans="2:13" x14ac:dyDescent="0.25">
      <c r="B88" t="s">
        <v>107</v>
      </c>
      <c r="C88" t="s">
        <v>75</v>
      </c>
      <c r="D88" t="s">
        <v>75</v>
      </c>
      <c r="E88" s="247" t="str">
        <f t="shared" si="1"/>
        <v>NO FACT.-No facturable</v>
      </c>
      <c r="F88" t="s">
        <v>131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32</v>
      </c>
    </row>
    <row r="89" spans="2:13" x14ac:dyDescent="0.25">
      <c r="B89" t="s">
        <v>107</v>
      </c>
      <c r="C89" t="s">
        <v>86</v>
      </c>
      <c r="D89" t="s">
        <v>87</v>
      </c>
      <c r="E89" s="247" t="str">
        <f t="shared" si="1"/>
        <v>MP001-Analista Programador Java Python</v>
      </c>
      <c r="F89" t="s">
        <v>125</v>
      </c>
      <c r="G89">
        <v>0</v>
      </c>
      <c r="H89">
        <v>0</v>
      </c>
      <c r="I89">
        <v>0</v>
      </c>
      <c r="J89">
        <v>0</v>
      </c>
      <c r="K89">
        <v>168</v>
      </c>
      <c r="L89">
        <v>152</v>
      </c>
      <c r="M89">
        <v>120</v>
      </c>
    </row>
    <row r="90" spans="2:13" x14ac:dyDescent="0.25">
      <c r="B90" t="s">
        <v>107</v>
      </c>
      <c r="C90" t="s">
        <v>45</v>
      </c>
      <c r="D90" t="s">
        <v>51</v>
      </c>
      <c r="E90" s="247" t="str">
        <f t="shared" si="1"/>
        <v>P0013-Reportes SBS</v>
      </c>
      <c r="F90" t="s">
        <v>122</v>
      </c>
      <c r="G90">
        <v>0</v>
      </c>
      <c r="H90">
        <v>0</v>
      </c>
      <c r="I90">
        <v>0</v>
      </c>
      <c r="J90">
        <v>0</v>
      </c>
      <c r="K90">
        <v>0</v>
      </c>
      <c r="L90">
        <v>16</v>
      </c>
      <c r="M90">
        <v>0</v>
      </c>
    </row>
    <row r="91" spans="2:13" x14ac:dyDescent="0.25">
      <c r="B91" t="s">
        <v>14</v>
      </c>
      <c r="C91" t="s">
        <v>44</v>
      </c>
      <c r="D91" t="s">
        <v>42</v>
      </c>
      <c r="E91" s="247" t="str">
        <f t="shared" si="1"/>
        <v>MP004-Software Factory</v>
      </c>
      <c r="F91" t="s">
        <v>304</v>
      </c>
      <c r="G91">
        <v>176</v>
      </c>
      <c r="H91">
        <v>160</v>
      </c>
      <c r="I91">
        <v>184</v>
      </c>
      <c r="J91">
        <v>144</v>
      </c>
      <c r="K91">
        <v>176</v>
      </c>
      <c r="L91">
        <v>168</v>
      </c>
      <c r="M91">
        <v>160</v>
      </c>
    </row>
    <row r="92" spans="2:13" x14ac:dyDescent="0.25">
      <c r="B92" t="s">
        <v>33</v>
      </c>
      <c r="C92" t="s">
        <v>209</v>
      </c>
      <c r="D92" t="s">
        <v>209</v>
      </c>
      <c r="E92" s="247" t="str">
        <f t="shared" si="1"/>
        <v>VACACIONES-Vacaciones</v>
      </c>
      <c r="F92" t="s">
        <v>243</v>
      </c>
      <c r="G92">
        <v>0</v>
      </c>
      <c r="H92">
        <v>0</v>
      </c>
      <c r="I92">
        <v>0</v>
      </c>
      <c r="J92">
        <v>40</v>
      </c>
      <c r="K92">
        <v>0</v>
      </c>
      <c r="L92">
        <v>0</v>
      </c>
      <c r="M92">
        <v>0</v>
      </c>
    </row>
    <row r="93" spans="2:13" x14ac:dyDescent="0.25">
      <c r="B93" t="s">
        <v>33</v>
      </c>
      <c r="C93" t="s">
        <v>82</v>
      </c>
      <c r="D93" t="s">
        <v>83</v>
      </c>
      <c r="E93" s="247" t="str">
        <f t="shared" si="1"/>
        <v>MP003-Soporte Tecnico</v>
      </c>
      <c r="F93" t="s">
        <v>126</v>
      </c>
      <c r="G93">
        <v>176</v>
      </c>
      <c r="H93">
        <v>160</v>
      </c>
      <c r="I93">
        <v>184</v>
      </c>
      <c r="J93">
        <v>104</v>
      </c>
      <c r="K93">
        <v>176</v>
      </c>
      <c r="L93">
        <v>168</v>
      </c>
      <c r="M93">
        <v>160</v>
      </c>
    </row>
    <row r="94" spans="2:13" x14ac:dyDescent="0.25">
      <c r="B94" t="s">
        <v>15</v>
      </c>
      <c r="C94" t="s">
        <v>44</v>
      </c>
      <c r="D94" t="s">
        <v>42</v>
      </c>
      <c r="E94" s="247" t="str">
        <f t="shared" si="1"/>
        <v>MP004-Software Factory</v>
      </c>
      <c r="F94" t="s">
        <v>304</v>
      </c>
      <c r="G94">
        <v>0</v>
      </c>
      <c r="H94">
        <v>0</v>
      </c>
      <c r="I94">
        <v>56</v>
      </c>
      <c r="J94">
        <v>144</v>
      </c>
      <c r="K94">
        <v>176</v>
      </c>
      <c r="L94">
        <v>32</v>
      </c>
      <c r="M94">
        <v>0</v>
      </c>
    </row>
    <row r="95" spans="2:13" x14ac:dyDescent="0.25">
      <c r="B95" t="s">
        <v>420</v>
      </c>
      <c r="C95" t="s">
        <v>103</v>
      </c>
      <c r="D95" t="s">
        <v>104</v>
      </c>
      <c r="E95" s="247" t="str">
        <f t="shared" si="1"/>
        <v>P0015-Mejoras funcionales SOAT Operaciones y RQ de automatización cierre contable</v>
      </c>
      <c r="F95" t="s">
        <v>166</v>
      </c>
      <c r="G95">
        <v>0</v>
      </c>
      <c r="H95">
        <v>0</v>
      </c>
      <c r="I95">
        <v>0</v>
      </c>
      <c r="J95">
        <v>0</v>
      </c>
      <c r="K95">
        <v>144</v>
      </c>
      <c r="L95">
        <v>72</v>
      </c>
      <c r="M95">
        <v>0</v>
      </c>
    </row>
    <row r="96" spans="2:13" x14ac:dyDescent="0.25">
      <c r="B96" t="s">
        <v>420</v>
      </c>
      <c r="C96" t="s">
        <v>44</v>
      </c>
      <c r="D96" t="s">
        <v>42</v>
      </c>
      <c r="E96" s="247" t="str">
        <f t="shared" si="1"/>
        <v>MP004-Software Factory</v>
      </c>
      <c r="F96" t="s">
        <v>304</v>
      </c>
      <c r="G96">
        <v>64</v>
      </c>
      <c r="H96">
        <v>72</v>
      </c>
      <c r="I96">
        <v>0</v>
      </c>
      <c r="J96">
        <v>0</v>
      </c>
      <c r="K96">
        <v>0</v>
      </c>
      <c r="L96">
        <v>0</v>
      </c>
      <c r="M96">
        <v>0</v>
      </c>
    </row>
    <row r="97" spans="2:13" x14ac:dyDescent="0.25">
      <c r="B97" t="s">
        <v>420</v>
      </c>
      <c r="C97" t="s">
        <v>209</v>
      </c>
      <c r="D97" t="s">
        <v>209</v>
      </c>
      <c r="E97" s="247" t="str">
        <f t="shared" si="1"/>
        <v>VACACIONES-Vacaciones</v>
      </c>
      <c r="F97" t="s">
        <v>243</v>
      </c>
      <c r="G97">
        <v>112</v>
      </c>
      <c r="H97">
        <v>16</v>
      </c>
      <c r="I97">
        <v>0</v>
      </c>
      <c r="J97">
        <v>0</v>
      </c>
      <c r="K97">
        <v>0</v>
      </c>
      <c r="L97">
        <v>0</v>
      </c>
      <c r="M97">
        <v>0</v>
      </c>
    </row>
    <row r="98" spans="2:13" x14ac:dyDescent="0.25">
      <c r="B98" t="s">
        <v>420</v>
      </c>
      <c r="C98" t="s">
        <v>45</v>
      </c>
      <c r="D98" t="s">
        <v>51</v>
      </c>
      <c r="E98" s="247" t="str">
        <f t="shared" si="1"/>
        <v>P0013-Reportes SBS</v>
      </c>
      <c r="F98" t="s">
        <v>122</v>
      </c>
      <c r="G98">
        <v>0</v>
      </c>
      <c r="H98">
        <v>0</v>
      </c>
      <c r="I98">
        <v>0</v>
      </c>
      <c r="J98">
        <v>0</v>
      </c>
      <c r="K98">
        <v>0</v>
      </c>
      <c r="L98">
        <v>24</v>
      </c>
      <c r="M98">
        <v>0</v>
      </c>
    </row>
    <row r="99" spans="2:13" x14ac:dyDescent="0.25">
      <c r="B99" t="s">
        <v>16</v>
      </c>
      <c r="C99" t="s">
        <v>75</v>
      </c>
      <c r="D99" t="s">
        <v>75</v>
      </c>
      <c r="E99" s="247" t="str">
        <f t="shared" si="1"/>
        <v>NO FACT.-No facturable</v>
      </c>
      <c r="F99" t="s">
        <v>131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</row>
    <row r="100" spans="2:13" x14ac:dyDescent="0.25">
      <c r="B100" t="s">
        <v>16</v>
      </c>
      <c r="C100" t="s">
        <v>208</v>
      </c>
      <c r="D100" t="s">
        <v>208</v>
      </c>
      <c r="E100" s="247" t="str">
        <f t="shared" si="1"/>
        <v>INASISTENCIAS-Inasistencias</v>
      </c>
      <c r="F100" t="s">
        <v>210</v>
      </c>
      <c r="G100">
        <v>0</v>
      </c>
      <c r="H100">
        <v>0</v>
      </c>
      <c r="I100">
        <v>16</v>
      </c>
      <c r="J100">
        <v>0</v>
      </c>
      <c r="K100">
        <v>8</v>
      </c>
      <c r="L100">
        <v>8</v>
      </c>
      <c r="M100">
        <v>8</v>
      </c>
    </row>
    <row r="101" spans="2:13" x14ac:dyDescent="0.25">
      <c r="B101" t="s">
        <v>16</v>
      </c>
      <c r="C101" t="s">
        <v>209</v>
      </c>
      <c r="D101" t="s">
        <v>209</v>
      </c>
      <c r="E101" s="247" t="str">
        <f t="shared" si="1"/>
        <v>VACACIONES-Vacaciones</v>
      </c>
      <c r="F101" t="s">
        <v>243</v>
      </c>
      <c r="G101">
        <v>112</v>
      </c>
      <c r="H101">
        <v>40</v>
      </c>
      <c r="I101">
        <v>0</v>
      </c>
      <c r="J101">
        <v>0</v>
      </c>
      <c r="K101">
        <v>0</v>
      </c>
      <c r="L101">
        <v>0</v>
      </c>
      <c r="M101">
        <v>0</v>
      </c>
    </row>
    <row r="102" spans="2:13" x14ac:dyDescent="0.25">
      <c r="B102" t="s">
        <v>16</v>
      </c>
      <c r="C102" t="s">
        <v>44</v>
      </c>
      <c r="D102" t="s">
        <v>42</v>
      </c>
      <c r="E102" s="247" t="str">
        <f t="shared" si="1"/>
        <v>MP004-Software Factory</v>
      </c>
      <c r="F102" t="s">
        <v>304</v>
      </c>
      <c r="G102">
        <v>64</v>
      </c>
      <c r="H102">
        <v>120</v>
      </c>
      <c r="I102">
        <v>168</v>
      </c>
      <c r="J102">
        <v>144</v>
      </c>
      <c r="K102">
        <v>168</v>
      </c>
      <c r="L102">
        <v>160</v>
      </c>
      <c r="M102">
        <v>152</v>
      </c>
    </row>
    <row r="103" spans="2:13" x14ac:dyDescent="0.25">
      <c r="B103" t="s">
        <v>34</v>
      </c>
      <c r="C103" t="s">
        <v>48</v>
      </c>
      <c r="D103" t="s">
        <v>43</v>
      </c>
      <c r="E103" s="247" t="str">
        <f t="shared" si="1"/>
        <v>P0001-Evaluacion Sistema Integrado de Polizas - SDP</v>
      </c>
      <c r="F103" t="s">
        <v>128</v>
      </c>
      <c r="G103">
        <v>98</v>
      </c>
      <c r="H103">
        <v>148</v>
      </c>
      <c r="I103">
        <v>0</v>
      </c>
      <c r="J103">
        <v>0</v>
      </c>
      <c r="K103">
        <v>0</v>
      </c>
      <c r="L103">
        <v>0</v>
      </c>
      <c r="M103">
        <v>0</v>
      </c>
    </row>
    <row r="104" spans="2:13" x14ac:dyDescent="0.25">
      <c r="B104" t="s">
        <v>34</v>
      </c>
      <c r="C104" t="s">
        <v>45</v>
      </c>
      <c r="D104" t="s">
        <v>51</v>
      </c>
      <c r="E104" s="247" t="str">
        <f t="shared" si="1"/>
        <v>P0013-Reportes SBS</v>
      </c>
      <c r="F104" t="s">
        <v>122</v>
      </c>
      <c r="G104">
        <v>0</v>
      </c>
      <c r="H104">
        <v>0</v>
      </c>
      <c r="I104">
        <v>0</v>
      </c>
      <c r="J104">
        <v>11</v>
      </c>
      <c r="K104">
        <v>152</v>
      </c>
      <c r="L104">
        <v>96</v>
      </c>
      <c r="M104">
        <v>0</v>
      </c>
    </row>
    <row r="105" spans="2:13" x14ac:dyDescent="0.25">
      <c r="B105" t="s">
        <v>34</v>
      </c>
      <c r="C105" t="s">
        <v>44</v>
      </c>
      <c r="D105" t="s">
        <v>42</v>
      </c>
      <c r="E105" s="247" t="str">
        <f t="shared" si="1"/>
        <v>MP004-Software Factory</v>
      </c>
      <c r="F105" t="s">
        <v>304</v>
      </c>
      <c r="G105">
        <v>54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78.5</v>
      </c>
    </row>
    <row r="106" spans="2:13" x14ac:dyDescent="0.25">
      <c r="B106" t="s">
        <v>34</v>
      </c>
      <c r="C106" t="s">
        <v>50</v>
      </c>
      <c r="D106" t="s">
        <v>411</v>
      </c>
      <c r="E106" s="247" t="str">
        <f t="shared" si="1"/>
        <v>P0030-Servicios de Elaboracion REF - GA</v>
      </c>
      <c r="F106" t="s">
        <v>410</v>
      </c>
      <c r="G106">
        <v>0</v>
      </c>
      <c r="H106">
        <v>0</v>
      </c>
      <c r="I106">
        <v>0</v>
      </c>
      <c r="J106">
        <v>18</v>
      </c>
      <c r="K106">
        <v>0</v>
      </c>
      <c r="L106">
        <v>0</v>
      </c>
      <c r="M106">
        <v>0</v>
      </c>
    </row>
    <row r="107" spans="2:13" x14ac:dyDescent="0.25">
      <c r="B107" t="s">
        <v>34</v>
      </c>
      <c r="C107" t="s">
        <v>75</v>
      </c>
      <c r="D107" t="s">
        <v>75</v>
      </c>
      <c r="E107" s="247" t="str">
        <f t="shared" si="1"/>
        <v>NO FACT.-No facturable</v>
      </c>
      <c r="F107" t="s">
        <v>131</v>
      </c>
      <c r="G107">
        <v>0</v>
      </c>
      <c r="H107">
        <v>0</v>
      </c>
      <c r="I107">
        <v>37</v>
      </c>
      <c r="J107">
        <v>102</v>
      </c>
      <c r="K107">
        <v>0</v>
      </c>
      <c r="L107">
        <v>0</v>
      </c>
      <c r="M107">
        <v>0</v>
      </c>
    </row>
    <row r="108" spans="2:13" x14ac:dyDescent="0.25">
      <c r="B108" t="s">
        <v>34</v>
      </c>
      <c r="C108" t="s">
        <v>209</v>
      </c>
      <c r="D108" t="s">
        <v>209</v>
      </c>
      <c r="E108" s="247" t="str">
        <f t="shared" si="1"/>
        <v>VACACIONES-Vacaciones</v>
      </c>
      <c r="F108" t="s">
        <v>243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24</v>
      </c>
    </row>
    <row r="109" spans="2:13" x14ac:dyDescent="0.25">
      <c r="B109" t="s">
        <v>34</v>
      </c>
      <c r="C109" t="s">
        <v>46</v>
      </c>
      <c r="D109" t="s">
        <v>46</v>
      </c>
      <c r="E109" s="247" t="str">
        <f t="shared" si="1"/>
        <v>PROPUESTA-Propuesta</v>
      </c>
      <c r="F109" t="s">
        <v>132</v>
      </c>
      <c r="G109">
        <v>24</v>
      </c>
      <c r="H109">
        <v>12</v>
      </c>
      <c r="I109">
        <v>0</v>
      </c>
      <c r="J109">
        <v>11</v>
      </c>
      <c r="K109">
        <v>0</v>
      </c>
      <c r="L109">
        <v>0</v>
      </c>
      <c r="M109">
        <v>0</v>
      </c>
    </row>
    <row r="110" spans="2:13" x14ac:dyDescent="0.25">
      <c r="B110" t="s">
        <v>34</v>
      </c>
      <c r="C110" t="s">
        <v>208</v>
      </c>
      <c r="D110" t="s">
        <v>208</v>
      </c>
      <c r="E110" s="247" t="str">
        <f t="shared" si="1"/>
        <v>INASISTENCIAS-Inasistencias</v>
      </c>
      <c r="F110" t="s">
        <v>210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8</v>
      </c>
      <c r="M110">
        <v>0</v>
      </c>
    </row>
    <row r="111" spans="2:13" x14ac:dyDescent="0.25">
      <c r="B111" t="s">
        <v>34</v>
      </c>
      <c r="C111" t="s">
        <v>50</v>
      </c>
      <c r="D111" t="s">
        <v>411</v>
      </c>
      <c r="E111" s="247" t="str">
        <f t="shared" si="1"/>
        <v>P0030-Servicios de Elaboracion REF - GA</v>
      </c>
      <c r="F111" t="s">
        <v>410</v>
      </c>
      <c r="G111">
        <v>0</v>
      </c>
      <c r="H111">
        <v>0</v>
      </c>
      <c r="I111">
        <v>123</v>
      </c>
      <c r="J111">
        <v>0</v>
      </c>
      <c r="K111">
        <v>0</v>
      </c>
      <c r="L111">
        <v>0</v>
      </c>
      <c r="M111">
        <v>0</v>
      </c>
    </row>
    <row r="112" spans="2:13" x14ac:dyDescent="0.25">
      <c r="B112" t="s">
        <v>34</v>
      </c>
      <c r="C112" t="s">
        <v>45</v>
      </c>
      <c r="D112" t="s">
        <v>47</v>
      </c>
      <c r="E112" s="247" t="str">
        <f t="shared" si="1"/>
        <v>P0011-outsourcing  de configuración de productos BBVA</v>
      </c>
      <c r="F112" t="s">
        <v>120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</row>
    <row r="113" spans="2:13" x14ac:dyDescent="0.25">
      <c r="B113" t="s">
        <v>34</v>
      </c>
      <c r="C113" t="s">
        <v>48</v>
      </c>
      <c r="D113" t="s">
        <v>204</v>
      </c>
      <c r="E113" s="247" t="str">
        <f t="shared" si="1"/>
        <v>P0014-REQUERIMIENTO CORE URGENCIA ALTA:DOC REQ.FUNCIONAL 100% FINALIZADO</v>
      </c>
      <c r="F113" t="s">
        <v>435</v>
      </c>
      <c r="G113">
        <v>0</v>
      </c>
      <c r="H113">
        <v>0</v>
      </c>
      <c r="I113">
        <v>24</v>
      </c>
      <c r="J113">
        <v>2</v>
      </c>
      <c r="K113">
        <v>0</v>
      </c>
      <c r="L113">
        <v>0</v>
      </c>
      <c r="M113">
        <v>0</v>
      </c>
    </row>
    <row r="114" spans="2:13" x14ac:dyDescent="0.25">
      <c r="B114" t="s">
        <v>34</v>
      </c>
      <c r="C114" t="s">
        <v>48</v>
      </c>
      <c r="D114" t="s">
        <v>433</v>
      </c>
      <c r="E114" s="247" t="str">
        <f t="shared" si="1"/>
        <v>P0017-Análisis Funcional - Requerimientos</v>
      </c>
      <c r="F114" t="s">
        <v>434</v>
      </c>
      <c r="G114">
        <v>0</v>
      </c>
      <c r="H114">
        <v>0</v>
      </c>
      <c r="I114">
        <v>0</v>
      </c>
      <c r="J114">
        <v>0</v>
      </c>
      <c r="K114">
        <v>24</v>
      </c>
      <c r="L114">
        <v>64</v>
      </c>
      <c r="M114">
        <v>57.5</v>
      </c>
    </row>
    <row r="115" spans="2:13" x14ac:dyDescent="0.25">
      <c r="B115" t="s">
        <v>17</v>
      </c>
      <c r="C115" t="s">
        <v>44</v>
      </c>
      <c r="D115" t="s">
        <v>42</v>
      </c>
      <c r="E115" s="247" t="str">
        <f t="shared" si="1"/>
        <v>MP004-Software Factory</v>
      </c>
      <c r="F115" t="s">
        <v>304</v>
      </c>
      <c r="G115">
        <v>0</v>
      </c>
      <c r="H115">
        <v>0</v>
      </c>
      <c r="I115">
        <v>0</v>
      </c>
      <c r="J115">
        <v>128</v>
      </c>
      <c r="K115">
        <v>176</v>
      </c>
      <c r="L115">
        <v>168</v>
      </c>
      <c r="M115">
        <v>8</v>
      </c>
    </row>
    <row r="116" spans="2:13" x14ac:dyDescent="0.25">
      <c r="B116" t="s">
        <v>428</v>
      </c>
      <c r="C116" t="s">
        <v>50</v>
      </c>
      <c r="D116" t="s">
        <v>639</v>
      </c>
      <c r="E116" s="247" t="str">
        <f t="shared" si="1"/>
        <v>P0034-Servicios de Analisis y Desarrollo</v>
      </c>
      <c r="F116" t="s">
        <v>409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72</v>
      </c>
    </row>
    <row r="117" spans="2:13" x14ac:dyDescent="0.25">
      <c r="B117" t="s">
        <v>428</v>
      </c>
      <c r="C117" t="s">
        <v>75</v>
      </c>
      <c r="D117" t="s">
        <v>75</v>
      </c>
      <c r="E117" s="247" t="str">
        <f t="shared" si="1"/>
        <v>NO FACT.-No facturable</v>
      </c>
      <c r="F117" t="s">
        <v>131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40</v>
      </c>
    </row>
    <row r="118" spans="2:13" x14ac:dyDescent="0.25">
      <c r="B118" t="s">
        <v>428</v>
      </c>
      <c r="C118" t="s">
        <v>45</v>
      </c>
      <c r="D118" t="s">
        <v>51</v>
      </c>
      <c r="E118" s="247" t="str">
        <f t="shared" si="1"/>
        <v>P0013-Reportes SBS</v>
      </c>
      <c r="F118" t="s">
        <v>122</v>
      </c>
      <c r="G118">
        <v>0</v>
      </c>
      <c r="H118">
        <v>0</v>
      </c>
      <c r="I118">
        <v>0</v>
      </c>
      <c r="J118">
        <v>0</v>
      </c>
      <c r="K118">
        <v>168</v>
      </c>
      <c r="L118">
        <v>168</v>
      </c>
      <c r="M118">
        <v>48</v>
      </c>
    </row>
    <row r="119" spans="2:13" x14ac:dyDescent="0.25">
      <c r="B119" t="s">
        <v>18</v>
      </c>
      <c r="C119" t="s">
        <v>75</v>
      </c>
      <c r="D119" t="s">
        <v>75</v>
      </c>
      <c r="E119" s="247" t="str">
        <f t="shared" si="1"/>
        <v>NO FACT.-No facturable</v>
      </c>
      <c r="F119" t="s">
        <v>131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</row>
    <row r="120" spans="2:13" x14ac:dyDescent="0.25">
      <c r="B120" t="s">
        <v>18</v>
      </c>
      <c r="C120" t="s">
        <v>208</v>
      </c>
      <c r="D120" t="s">
        <v>208</v>
      </c>
      <c r="E120" s="247" t="str">
        <f t="shared" si="1"/>
        <v>INASISTENCIAS-Inasistencias</v>
      </c>
      <c r="F120" t="s">
        <v>210</v>
      </c>
      <c r="G120">
        <v>0</v>
      </c>
      <c r="H120">
        <v>0</v>
      </c>
      <c r="I120">
        <v>0</v>
      </c>
      <c r="J120">
        <v>8</v>
      </c>
      <c r="K120">
        <v>0</v>
      </c>
      <c r="L120">
        <v>24</v>
      </c>
      <c r="M120">
        <v>0</v>
      </c>
    </row>
    <row r="121" spans="2:13" x14ac:dyDescent="0.25">
      <c r="B121" t="s">
        <v>18</v>
      </c>
      <c r="C121" t="s">
        <v>44</v>
      </c>
      <c r="D121" t="s">
        <v>42</v>
      </c>
      <c r="E121" s="247" t="str">
        <f t="shared" si="1"/>
        <v>MP004-Software Factory</v>
      </c>
      <c r="F121" t="s">
        <v>304</v>
      </c>
      <c r="G121">
        <v>176</v>
      </c>
      <c r="H121">
        <v>160</v>
      </c>
      <c r="I121">
        <v>184</v>
      </c>
      <c r="J121">
        <v>136</v>
      </c>
      <c r="K121">
        <v>176</v>
      </c>
      <c r="L121">
        <v>144</v>
      </c>
      <c r="M121">
        <v>160</v>
      </c>
    </row>
    <row r="122" spans="2:13" x14ac:dyDescent="0.25">
      <c r="B122" t="s">
        <v>19</v>
      </c>
      <c r="C122" t="s">
        <v>44</v>
      </c>
      <c r="D122" t="s">
        <v>42</v>
      </c>
      <c r="E122" s="247" t="str">
        <f t="shared" si="1"/>
        <v>MP004-Software Factory</v>
      </c>
      <c r="F122" t="s">
        <v>304</v>
      </c>
      <c r="G122">
        <v>174</v>
      </c>
      <c r="H122">
        <v>160</v>
      </c>
      <c r="I122">
        <v>184</v>
      </c>
      <c r="J122">
        <v>144</v>
      </c>
      <c r="K122">
        <v>176</v>
      </c>
      <c r="L122">
        <v>168</v>
      </c>
      <c r="M122">
        <v>152</v>
      </c>
    </row>
    <row r="123" spans="2:13" x14ac:dyDescent="0.25">
      <c r="B123" t="s">
        <v>19</v>
      </c>
      <c r="C123" t="s">
        <v>208</v>
      </c>
      <c r="D123" t="s">
        <v>208</v>
      </c>
      <c r="E123" s="247" t="str">
        <f t="shared" si="1"/>
        <v>INASISTENCIAS-Inasistencias</v>
      </c>
      <c r="F123" t="s">
        <v>210</v>
      </c>
      <c r="G123">
        <v>2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8</v>
      </c>
    </row>
    <row r="124" spans="2:13" x14ac:dyDescent="0.25">
      <c r="B124" t="s">
        <v>421</v>
      </c>
      <c r="C124" t="s">
        <v>45</v>
      </c>
      <c r="D124" t="s">
        <v>47</v>
      </c>
      <c r="E124" s="247" t="str">
        <f t="shared" si="1"/>
        <v>P0011-outsourcing  de configuración de productos BBVA</v>
      </c>
      <c r="F124" t="s">
        <v>120</v>
      </c>
      <c r="G124">
        <v>100</v>
      </c>
      <c r="H124">
        <v>94</v>
      </c>
      <c r="I124">
        <v>4</v>
      </c>
      <c r="J124">
        <v>0</v>
      </c>
      <c r="K124">
        <v>0</v>
      </c>
      <c r="L124">
        <v>0</v>
      </c>
      <c r="M124">
        <v>0</v>
      </c>
    </row>
    <row r="125" spans="2:13" x14ac:dyDescent="0.25">
      <c r="B125" t="s">
        <v>421</v>
      </c>
      <c r="C125" t="s">
        <v>48</v>
      </c>
      <c r="D125" t="s">
        <v>43</v>
      </c>
      <c r="E125" s="247" t="str">
        <f t="shared" si="1"/>
        <v>P0001-Evaluacion Sistema Integrado de Polizas - SDP</v>
      </c>
      <c r="F125" t="s">
        <v>128</v>
      </c>
      <c r="G125">
        <v>76</v>
      </c>
      <c r="H125">
        <v>66</v>
      </c>
      <c r="I125">
        <v>0</v>
      </c>
      <c r="J125">
        <v>0</v>
      </c>
      <c r="K125">
        <v>0</v>
      </c>
      <c r="L125">
        <v>0</v>
      </c>
      <c r="M125">
        <v>0</v>
      </c>
    </row>
    <row r="126" spans="2:13" x14ac:dyDescent="0.25">
      <c r="B126" t="s">
        <v>421</v>
      </c>
      <c r="C126" t="s">
        <v>75</v>
      </c>
      <c r="D126" t="s">
        <v>75</v>
      </c>
      <c r="E126" s="247" t="str">
        <f t="shared" si="1"/>
        <v>NO FACT.-No facturable</v>
      </c>
      <c r="F126" t="s">
        <v>131</v>
      </c>
      <c r="G126">
        <v>0</v>
      </c>
      <c r="H126">
        <v>0</v>
      </c>
      <c r="I126">
        <v>55</v>
      </c>
      <c r="J126">
        <v>0</v>
      </c>
      <c r="K126">
        <v>0</v>
      </c>
      <c r="L126">
        <v>0</v>
      </c>
      <c r="M126">
        <v>0</v>
      </c>
    </row>
    <row r="127" spans="2:13" x14ac:dyDescent="0.25">
      <c r="B127" t="s">
        <v>421</v>
      </c>
      <c r="C127" t="s">
        <v>46</v>
      </c>
      <c r="D127" t="s">
        <v>46</v>
      </c>
      <c r="E127" s="247" t="str">
        <f t="shared" si="1"/>
        <v>PROPUESTA-Propuesta</v>
      </c>
      <c r="F127" t="s">
        <v>132</v>
      </c>
      <c r="G127">
        <v>0</v>
      </c>
      <c r="H127">
        <v>0</v>
      </c>
      <c r="I127">
        <v>29</v>
      </c>
      <c r="J127">
        <v>0</v>
      </c>
      <c r="K127">
        <v>0</v>
      </c>
      <c r="L127">
        <v>0</v>
      </c>
      <c r="M127">
        <v>0</v>
      </c>
    </row>
    <row r="128" spans="2:13" x14ac:dyDescent="0.25">
      <c r="B128" t="s">
        <v>20</v>
      </c>
      <c r="C128" t="s">
        <v>209</v>
      </c>
      <c r="D128" t="s">
        <v>209</v>
      </c>
      <c r="E128" s="247" t="str">
        <f t="shared" si="1"/>
        <v>VACACIONES-Vacaciones</v>
      </c>
      <c r="F128" t="s">
        <v>243</v>
      </c>
      <c r="G128">
        <v>0</v>
      </c>
      <c r="H128">
        <v>0</v>
      </c>
      <c r="I128">
        <v>0</v>
      </c>
      <c r="J128">
        <v>40</v>
      </c>
      <c r="K128">
        <v>0</v>
      </c>
      <c r="L128">
        <v>4</v>
      </c>
      <c r="M128">
        <v>0</v>
      </c>
    </row>
    <row r="129" spans="2:13" x14ac:dyDescent="0.25">
      <c r="B129" t="s">
        <v>20</v>
      </c>
      <c r="C129" t="s">
        <v>208</v>
      </c>
      <c r="D129" t="s">
        <v>208</v>
      </c>
      <c r="E129" s="247" t="str">
        <f t="shared" si="1"/>
        <v>INASISTENCIAS-Inasistencias</v>
      </c>
      <c r="F129" t="s">
        <v>210</v>
      </c>
      <c r="G129">
        <v>8</v>
      </c>
      <c r="H129">
        <v>0</v>
      </c>
      <c r="I129">
        <v>0</v>
      </c>
      <c r="J129">
        <v>0</v>
      </c>
      <c r="K129">
        <v>16</v>
      </c>
      <c r="L129">
        <v>0</v>
      </c>
      <c r="M129">
        <v>0</v>
      </c>
    </row>
    <row r="130" spans="2:13" x14ac:dyDescent="0.25">
      <c r="B130" t="s">
        <v>20</v>
      </c>
      <c r="C130" t="s">
        <v>44</v>
      </c>
      <c r="D130" t="s">
        <v>42</v>
      </c>
      <c r="E130" s="247" t="str">
        <f t="shared" si="1"/>
        <v>MP004-Software Factory</v>
      </c>
      <c r="F130" t="s">
        <v>304</v>
      </c>
      <c r="G130">
        <v>168</v>
      </c>
      <c r="H130">
        <v>160</v>
      </c>
      <c r="I130">
        <v>184</v>
      </c>
      <c r="J130">
        <v>104</v>
      </c>
      <c r="K130">
        <v>160</v>
      </c>
      <c r="L130">
        <v>164</v>
      </c>
      <c r="M130">
        <v>160</v>
      </c>
    </row>
    <row r="131" spans="2:13" x14ac:dyDescent="0.25">
      <c r="B131" t="s">
        <v>21</v>
      </c>
      <c r="C131" t="s">
        <v>208</v>
      </c>
      <c r="D131" t="s">
        <v>208</v>
      </c>
      <c r="E131" s="247" t="str">
        <f t="shared" si="1"/>
        <v>INASISTENCIAS-Inasistencias</v>
      </c>
      <c r="F131" t="s">
        <v>210</v>
      </c>
      <c r="G131">
        <v>0</v>
      </c>
      <c r="H131">
        <v>0</v>
      </c>
      <c r="I131">
        <v>0</v>
      </c>
      <c r="J131">
        <v>24</v>
      </c>
      <c r="K131">
        <v>0</v>
      </c>
      <c r="L131">
        <v>0</v>
      </c>
      <c r="M131">
        <v>0</v>
      </c>
    </row>
    <row r="132" spans="2:13" x14ac:dyDescent="0.25">
      <c r="B132" t="s">
        <v>21</v>
      </c>
      <c r="C132" t="s">
        <v>44</v>
      </c>
      <c r="D132" t="s">
        <v>42</v>
      </c>
      <c r="E132" s="247" t="str">
        <f t="shared" ref="E132:E195" si="2">CONCATENATE(D132,"-",F132)</f>
        <v>MP004-Software Factory</v>
      </c>
      <c r="F132" t="s">
        <v>304</v>
      </c>
      <c r="G132">
        <v>176</v>
      </c>
      <c r="H132">
        <v>160</v>
      </c>
      <c r="I132">
        <v>184</v>
      </c>
      <c r="J132">
        <v>120</v>
      </c>
      <c r="K132">
        <v>176</v>
      </c>
      <c r="L132">
        <v>168</v>
      </c>
      <c r="M132">
        <v>160</v>
      </c>
    </row>
    <row r="133" spans="2:13" x14ac:dyDescent="0.25">
      <c r="B133" t="s">
        <v>272</v>
      </c>
      <c r="C133" t="s">
        <v>75</v>
      </c>
      <c r="D133" t="s">
        <v>75</v>
      </c>
      <c r="E133" s="247" t="str">
        <f t="shared" si="2"/>
        <v>NO FACT.-No facturable</v>
      </c>
      <c r="F133" t="s">
        <v>131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8</v>
      </c>
      <c r="M133">
        <v>0</v>
      </c>
    </row>
    <row r="134" spans="2:13" x14ac:dyDescent="0.25">
      <c r="B134" t="s">
        <v>272</v>
      </c>
      <c r="C134" t="s">
        <v>44</v>
      </c>
      <c r="D134" t="s">
        <v>42</v>
      </c>
      <c r="E134" s="247" t="str">
        <f t="shared" si="2"/>
        <v>MP004-Software Factory</v>
      </c>
      <c r="F134" t="s">
        <v>304</v>
      </c>
      <c r="G134">
        <v>0</v>
      </c>
      <c r="H134">
        <v>56</v>
      </c>
      <c r="I134">
        <v>184</v>
      </c>
      <c r="J134">
        <v>144</v>
      </c>
      <c r="K134">
        <v>176</v>
      </c>
      <c r="L134">
        <v>136</v>
      </c>
      <c r="M134">
        <v>0</v>
      </c>
    </row>
    <row r="135" spans="2:13" x14ac:dyDescent="0.25">
      <c r="B135" t="s">
        <v>22</v>
      </c>
      <c r="C135" t="s">
        <v>44</v>
      </c>
      <c r="D135" t="s">
        <v>42</v>
      </c>
      <c r="E135" s="247" t="str">
        <f t="shared" si="2"/>
        <v>MP004-Software Factory</v>
      </c>
      <c r="F135" t="s">
        <v>304</v>
      </c>
      <c r="G135">
        <v>176</v>
      </c>
      <c r="H135">
        <v>160</v>
      </c>
      <c r="I135">
        <v>24</v>
      </c>
      <c r="J135">
        <v>0</v>
      </c>
      <c r="K135">
        <v>0</v>
      </c>
      <c r="L135">
        <v>0</v>
      </c>
      <c r="M135">
        <v>0</v>
      </c>
    </row>
    <row r="136" spans="2:13" x14ac:dyDescent="0.25">
      <c r="B136" t="s">
        <v>22</v>
      </c>
      <c r="C136" t="s">
        <v>209</v>
      </c>
      <c r="D136" t="s">
        <v>209</v>
      </c>
      <c r="E136" s="247" t="str">
        <f t="shared" si="2"/>
        <v>VACACIONES-Vacaciones</v>
      </c>
      <c r="F136" t="s">
        <v>243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</row>
    <row r="137" spans="2:13" x14ac:dyDescent="0.25">
      <c r="B137" t="s">
        <v>22</v>
      </c>
      <c r="C137" t="s">
        <v>44</v>
      </c>
      <c r="D137" t="s">
        <v>42</v>
      </c>
      <c r="E137" s="247" t="str">
        <f t="shared" si="2"/>
        <v>MP004-Software Factory</v>
      </c>
      <c r="F137" t="s">
        <v>304</v>
      </c>
      <c r="G137">
        <v>0</v>
      </c>
      <c r="H137">
        <v>0</v>
      </c>
      <c r="I137">
        <v>160</v>
      </c>
      <c r="J137">
        <v>144</v>
      </c>
      <c r="K137">
        <v>176</v>
      </c>
      <c r="L137">
        <v>168</v>
      </c>
      <c r="M137">
        <v>160</v>
      </c>
    </row>
    <row r="138" spans="2:13" x14ac:dyDescent="0.25">
      <c r="B138" t="s">
        <v>422</v>
      </c>
      <c r="C138" t="s">
        <v>44</v>
      </c>
      <c r="D138" t="s">
        <v>42</v>
      </c>
      <c r="E138" s="247" t="str">
        <f t="shared" si="2"/>
        <v>MP004-Software Factory</v>
      </c>
      <c r="F138" t="s">
        <v>304</v>
      </c>
      <c r="G138">
        <v>176</v>
      </c>
      <c r="H138">
        <v>104</v>
      </c>
      <c r="I138">
        <v>0</v>
      </c>
      <c r="J138">
        <v>0</v>
      </c>
      <c r="K138">
        <v>0</v>
      </c>
      <c r="L138">
        <v>0</v>
      </c>
      <c r="M138">
        <v>0</v>
      </c>
    </row>
    <row r="139" spans="2:13" x14ac:dyDescent="0.25">
      <c r="B139" t="s">
        <v>422</v>
      </c>
      <c r="C139" t="s">
        <v>75</v>
      </c>
      <c r="D139" t="s">
        <v>75</v>
      </c>
      <c r="E139" s="247" t="str">
        <f t="shared" si="2"/>
        <v>NO FACT.-No facturable</v>
      </c>
      <c r="F139" t="s">
        <v>131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</row>
    <row r="140" spans="2:13" x14ac:dyDescent="0.25">
      <c r="B140" t="s">
        <v>430</v>
      </c>
      <c r="C140" t="s">
        <v>44</v>
      </c>
      <c r="D140" t="s">
        <v>42</v>
      </c>
      <c r="E140" s="247" t="str">
        <f t="shared" si="2"/>
        <v>MP004-Software Factory</v>
      </c>
      <c r="F140" t="s">
        <v>304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160</v>
      </c>
    </row>
    <row r="141" spans="2:13" x14ac:dyDescent="0.25">
      <c r="B141" t="s">
        <v>23</v>
      </c>
      <c r="C141" t="s">
        <v>44</v>
      </c>
      <c r="D141" t="s">
        <v>42</v>
      </c>
      <c r="E141" s="247" t="str">
        <f t="shared" si="2"/>
        <v>MP004-Software Factory</v>
      </c>
      <c r="F141" t="s">
        <v>304</v>
      </c>
      <c r="G141">
        <v>176</v>
      </c>
      <c r="H141">
        <v>160</v>
      </c>
      <c r="I141">
        <v>184</v>
      </c>
      <c r="J141">
        <v>144</v>
      </c>
      <c r="K141">
        <v>176</v>
      </c>
      <c r="L141">
        <v>168</v>
      </c>
      <c r="M141">
        <v>80</v>
      </c>
    </row>
    <row r="142" spans="2:13" x14ac:dyDescent="0.25">
      <c r="B142" t="s">
        <v>423</v>
      </c>
      <c r="C142" t="s">
        <v>208</v>
      </c>
      <c r="D142" t="s">
        <v>208</v>
      </c>
      <c r="E142" s="247" t="str">
        <f t="shared" si="2"/>
        <v>INASISTENCIAS-Inasistencias</v>
      </c>
      <c r="F142" t="s">
        <v>210</v>
      </c>
      <c r="G142">
        <v>8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</row>
    <row r="143" spans="2:13" x14ac:dyDescent="0.25">
      <c r="B143" t="s">
        <v>423</v>
      </c>
      <c r="C143" t="s">
        <v>209</v>
      </c>
      <c r="D143" t="s">
        <v>209</v>
      </c>
      <c r="E143" s="247" t="str">
        <f t="shared" si="2"/>
        <v>VACACIONES-Vacaciones</v>
      </c>
      <c r="F143" t="s">
        <v>243</v>
      </c>
      <c r="G143">
        <v>0</v>
      </c>
      <c r="H143">
        <v>48</v>
      </c>
      <c r="I143">
        <v>0</v>
      </c>
      <c r="J143">
        <v>0</v>
      </c>
      <c r="K143">
        <v>64</v>
      </c>
      <c r="L143">
        <v>16</v>
      </c>
      <c r="M143">
        <v>0</v>
      </c>
    </row>
    <row r="144" spans="2:13" x14ac:dyDescent="0.25">
      <c r="B144" t="s">
        <v>423</v>
      </c>
      <c r="C144" t="s">
        <v>44</v>
      </c>
      <c r="D144" t="s">
        <v>42</v>
      </c>
      <c r="E144" s="247" t="str">
        <f t="shared" si="2"/>
        <v>MP004-Software Factory</v>
      </c>
      <c r="F144" t="s">
        <v>304</v>
      </c>
      <c r="G144">
        <v>168</v>
      </c>
      <c r="H144">
        <v>112</v>
      </c>
      <c r="I144">
        <v>184</v>
      </c>
      <c r="J144">
        <v>144</v>
      </c>
      <c r="K144">
        <v>112</v>
      </c>
      <c r="L144">
        <v>152</v>
      </c>
      <c r="M144">
        <v>160</v>
      </c>
    </row>
    <row r="145" spans="2:13" x14ac:dyDescent="0.25">
      <c r="B145" t="s">
        <v>35</v>
      </c>
      <c r="C145" t="s">
        <v>91</v>
      </c>
      <c r="D145" t="s">
        <v>92</v>
      </c>
      <c r="E145" s="247" t="str">
        <f t="shared" si="2"/>
        <v>P0007-Up Grade Web de Licitaciones Calidda</v>
      </c>
      <c r="F145" t="s">
        <v>117</v>
      </c>
      <c r="G145">
        <v>0</v>
      </c>
      <c r="H145">
        <v>0</v>
      </c>
      <c r="I145">
        <v>8</v>
      </c>
      <c r="J145">
        <v>72</v>
      </c>
      <c r="K145">
        <v>0</v>
      </c>
      <c r="L145">
        <v>24</v>
      </c>
      <c r="M145">
        <v>0</v>
      </c>
    </row>
    <row r="146" spans="2:13" x14ac:dyDescent="0.25">
      <c r="B146" t="s">
        <v>35</v>
      </c>
      <c r="C146" t="s">
        <v>78</v>
      </c>
      <c r="D146" t="s">
        <v>79</v>
      </c>
      <c r="E146" s="247" t="str">
        <f t="shared" si="2"/>
        <v>P0008-Aplicativo para la consulta de expedientes de SAREFIS y SADERECHOS con DNI electrónico</v>
      </c>
      <c r="F146" t="s">
        <v>164</v>
      </c>
      <c r="G146">
        <v>0</v>
      </c>
      <c r="H146">
        <v>156</v>
      </c>
      <c r="I146">
        <v>176</v>
      </c>
      <c r="J146">
        <v>32</v>
      </c>
      <c r="K146">
        <v>8</v>
      </c>
      <c r="L146">
        <v>0</v>
      </c>
      <c r="M146">
        <v>0</v>
      </c>
    </row>
    <row r="147" spans="2:13" x14ac:dyDescent="0.25">
      <c r="B147" t="s">
        <v>35</v>
      </c>
      <c r="C147" t="s">
        <v>93</v>
      </c>
      <c r="D147" t="s">
        <v>94</v>
      </c>
      <c r="E147" s="247" t="str">
        <f t="shared" si="2"/>
        <v>P0006-Implementación y despliegue de Pagos Masivos para Caja Arequipa</v>
      </c>
      <c r="F147" t="s">
        <v>116</v>
      </c>
      <c r="G147">
        <v>176</v>
      </c>
      <c r="H147">
        <v>4</v>
      </c>
      <c r="I147">
        <v>0</v>
      </c>
      <c r="J147">
        <v>0</v>
      </c>
      <c r="K147">
        <v>0</v>
      </c>
      <c r="L147">
        <v>0</v>
      </c>
      <c r="M147">
        <v>2</v>
      </c>
    </row>
    <row r="148" spans="2:13" x14ac:dyDescent="0.25">
      <c r="B148" t="s">
        <v>35</v>
      </c>
      <c r="C148" t="s">
        <v>50</v>
      </c>
      <c r="D148" t="s">
        <v>196</v>
      </c>
      <c r="E148" s="247" t="str">
        <f t="shared" si="2"/>
        <v>P0020-Fabrica de Software</v>
      </c>
      <c r="F148" t="s">
        <v>127</v>
      </c>
      <c r="G148">
        <v>0</v>
      </c>
      <c r="H148">
        <v>0</v>
      </c>
      <c r="I148">
        <v>0</v>
      </c>
      <c r="J148">
        <v>40</v>
      </c>
      <c r="K148">
        <v>168</v>
      </c>
      <c r="L148">
        <v>96</v>
      </c>
      <c r="M148">
        <v>128</v>
      </c>
    </row>
    <row r="149" spans="2:13" x14ac:dyDescent="0.25">
      <c r="B149" t="s">
        <v>35</v>
      </c>
      <c r="C149" t="s">
        <v>208</v>
      </c>
      <c r="D149" t="s">
        <v>208</v>
      </c>
      <c r="E149" s="247" t="str">
        <f t="shared" si="2"/>
        <v>INASISTENCIAS-Inasistencias</v>
      </c>
      <c r="F149" t="s">
        <v>210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16</v>
      </c>
      <c r="M149">
        <v>0</v>
      </c>
    </row>
    <row r="150" spans="2:13" x14ac:dyDescent="0.25">
      <c r="B150" t="s">
        <v>35</v>
      </c>
      <c r="C150" t="s">
        <v>78</v>
      </c>
      <c r="D150" t="s">
        <v>221</v>
      </c>
      <c r="E150" s="247" t="str">
        <f t="shared" si="2"/>
        <v>P0024-Totem Digital</v>
      </c>
      <c r="F150" t="s">
        <v>222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32</v>
      </c>
      <c r="M150">
        <v>30</v>
      </c>
    </row>
    <row r="151" spans="2:13" x14ac:dyDescent="0.25">
      <c r="B151" t="s">
        <v>35</v>
      </c>
      <c r="C151" t="s">
        <v>50</v>
      </c>
      <c r="D151" t="s">
        <v>639</v>
      </c>
      <c r="E151" s="247" t="str">
        <f t="shared" si="2"/>
        <v>P0034-Servicios de Desarrollo GDO</v>
      </c>
      <c r="F151" t="s">
        <v>640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</row>
    <row r="152" spans="2:13" x14ac:dyDescent="0.25">
      <c r="B152" t="s">
        <v>35</v>
      </c>
      <c r="C152" t="s">
        <v>50</v>
      </c>
      <c r="D152" t="s">
        <v>412</v>
      </c>
      <c r="E152" s="247" t="str">
        <f t="shared" si="2"/>
        <v>P0031-Servicios de Analisis y Desarrollo</v>
      </c>
      <c r="F152" t="s">
        <v>409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</row>
    <row r="153" spans="2:13" x14ac:dyDescent="0.25">
      <c r="B153" t="s">
        <v>36</v>
      </c>
      <c r="C153" t="s">
        <v>89</v>
      </c>
      <c r="D153" t="s">
        <v>90</v>
      </c>
      <c r="E153" s="247" t="str">
        <f t="shared" si="2"/>
        <v>P0002-Implementación del Módulo Básico de Interconexión Radios - Tetra Server - BD PNP</v>
      </c>
      <c r="F153" t="s">
        <v>113</v>
      </c>
      <c r="G153">
        <v>140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</row>
    <row r="154" spans="2:13" x14ac:dyDescent="0.25">
      <c r="B154" t="s">
        <v>36</v>
      </c>
      <c r="C154" t="s">
        <v>89</v>
      </c>
      <c r="D154" t="s">
        <v>95</v>
      </c>
      <c r="E154" s="247" t="str">
        <f t="shared" si="2"/>
        <v>P0003-Implementación de los Módulos para la interconexión de los Radios - Tetra Server - BD PNP</v>
      </c>
      <c r="F154" t="s">
        <v>165</v>
      </c>
      <c r="G154">
        <v>36</v>
      </c>
      <c r="H154">
        <v>160</v>
      </c>
      <c r="I154">
        <v>0</v>
      </c>
      <c r="J154">
        <v>0</v>
      </c>
      <c r="K154">
        <v>0</v>
      </c>
      <c r="L154">
        <v>0</v>
      </c>
      <c r="M154">
        <v>0</v>
      </c>
    </row>
    <row r="155" spans="2:13" x14ac:dyDescent="0.25">
      <c r="B155" t="s">
        <v>36</v>
      </c>
      <c r="C155" t="s">
        <v>96</v>
      </c>
      <c r="D155" t="s">
        <v>203</v>
      </c>
      <c r="E155" s="247" t="str">
        <f t="shared" si="2"/>
        <v>P0018-Palabritas</v>
      </c>
      <c r="F155" t="s">
        <v>156</v>
      </c>
      <c r="G155">
        <v>0</v>
      </c>
      <c r="H155">
        <v>0</v>
      </c>
      <c r="I155">
        <v>168</v>
      </c>
      <c r="J155">
        <v>124</v>
      </c>
      <c r="K155">
        <v>132</v>
      </c>
      <c r="L155">
        <v>104</v>
      </c>
      <c r="M155">
        <v>0</v>
      </c>
    </row>
    <row r="156" spans="2:13" x14ac:dyDescent="0.25">
      <c r="B156" t="s">
        <v>36</v>
      </c>
      <c r="C156" t="s">
        <v>78</v>
      </c>
      <c r="D156" t="s">
        <v>98</v>
      </c>
      <c r="E156" s="247" t="str">
        <f t="shared" si="2"/>
        <v>P0009-Aplicativo SUSALUD contigo IOS</v>
      </c>
      <c r="F156" t="s">
        <v>135</v>
      </c>
      <c r="G156">
        <v>0</v>
      </c>
      <c r="H156">
        <v>0</v>
      </c>
      <c r="I156">
        <v>0</v>
      </c>
      <c r="J156">
        <v>0</v>
      </c>
      <c r="K156">
        <v>4</v>
      </c>
      <c r="L156">
        <v>0</v>
      </c>
      <c r="M156">
        <v>0</v>
      </c>
    </row>
    <row r="157" spans="2:13" x14ac:dyDescent="0.25">
      <c r="B157" t="s">
        <v>36</v>
      </c>
      <c r="C157" t="s">
        <v>45</v>
      </c>
      <c r="D157" t="s">
        <v>51</v>
      </c>
      <c r="E157" s="247" t="str">
        <f t="shared" si="2"/>
        <v>P0013-Reportes SBS</v>
      </c>
      <c r="F157" t="s">
        <v>122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16</v>
      </c>
      <c r="M157">
        <v>0</v>
      </c>
    </row>
    <row r="158" spans="2:13" x14ac:dyDescent="0.25">
      <c r="B158" t="s">
        <v>36</v>
      </c>
      <c r="C158" t="s">
        <v>234</v>
      </c>
      <c r="D158" t="s">
        <v>206</v>
      </c>
      <c r="E158" s="247" t="str">
        <f t="shared" si="2"/>
        <v>P0023- 8 Aplicaciones Móviles Universidades</v>
      </c>
      <c r="F158" t="s">
        <v>235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40</v>
      </c>
      <c r="M158">
        <v>107</v>
      </c>
    </row>
    <row r="159" spans="2:13" x14ac:dyDescent="0.25">
      <c r="B159" t="s">
        <v>36</v>
      </c>
      <c r="C159" t="s">
        <v>75</v>
      </c>
      <c r="D159" t="s">
        <v>75</v>
      </c>
      <c r="E159" s="247" t="str">
        <f t="shared" si="2"/>
        <v>NO FACT.-No facturable</v>
      </c>
      <c r="F159" t="s">
        <v>131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13</v>
      </c>
    </row>
    <row r="160" spans="2:13" x14ac:dyDescent="0.25">
      <c r="B160" t="s">
        <v>36</v>
      </c>
      <c r="C160" t="s">
        <v>209</v>
      </c>
      <c r="D160" t="s">
        <v>209</v>
      </c>
      <c r="E160" s="247" t="str">
        <f t="shared" si="2"/>
        <v>VACACIONES-Vacaciones</v>
      </c>
      <c r="F160" t="s">
        <v>243</v>
      </c>
      <c r="G160">
        <v>0</v>
      </c>
      <c r="H160">
        <v>0</v>
      </c>
      <c r="I160">
        <v>16</v>
      </c>
      <c r="J160">
        <v>8</v>
      </c>
      <c r="K160">
        <v>40</v>
      </c>
      <c r="L160">
        <v>8</v>
      </c>
      <c r="M160">
        <v>32</v>
      </c>
    </row>
    <row r="161" spans="2:13" x14ac:dyDescent="0.25">
      <c r="B161" t="s">
        <v>36</v>
      </c>
      <c r="C161" t="s">
        <v>46</v>
      </c>
      <c r="D161" t="s">
        <v>46</v>
      </c>
      <c r="E161" s="247" t="str">
        <f t="shared" si="2"/>
        <v>PROPUESTA-Propuesta</v>
      </c>
      <c r="F161" t="s">
        <v>132</v>
      </c>
      <c r="G161">
        <v>0</v>
      </c>
      <c r="H161">
        <v>0</v>
      </c>
      <c r="I161">
        <v>0</v>
      </c>
      <c r="J161">
        <v>12</v>
      </c>
      <c r="K161">
        <v>0</v>
      </c>
      <c r="L161">
        <v>0</v>
      </c>
      <c r="M161">
        <v>0</v>
      </c>
    </row>
    <row r="162" spans="2:13" x14ac:dyDescent="0.25">
      <c r="B162" t="s">
        <v>36</v>
      </c>
      <c r="C162" t="s">
        <v>208</v>
      </c>
      <c r="D162" t="s">
        <v>208</v>
      </c>
      <c r="E162" s="247" t="str">
        <f t="shared" si="2"/>
        <v>INASISTENCIAS-Inasistencias</v>
      </c>
      <c r="F162" t="s">
        <v>210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8</v>
      </c>
    </row>
    <row r="163" spans="2:13" x14ac:dyDescent="0.25">
      <c r="B163" t="s">
        <v>37</v>
      </c>
      <c r="C163" t="s">
        <v>75</v>
      </c>
      <c r="D163" t="s">
        <v>75</v>
      </c>
      <c r="E163" s="247" t="str">
        <f t="shared" si="2"/>
        <v>NO FACT.-No facturable</v>
      </c>
      <c r="F163" t="s">
        <v>131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13</v>
      </c>
    </row>
    <row r="164" spans="2:13" x14ac:dyDescent="0.25">
      <c r="B164" t="s">
        <v>37</v>
      </c>
      <c r="C164" t="s">
        <v>89</v>
      </c>
      <c r="D164" t="s">
        <v>90</v>
      </c>
      <c r="E164" s="247" t="str">
        <f t="shared" si="2"/>
        <v>P0002-Implementación del Módulo Básico de Interconexión Radios - Tetra Server - BD PNP</v>
      </c>
      <c r="F164" t="s">
        <v>113</v>
      </c>
      <c r="G164">
        <v>140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</row>
    <row r="165" spans="2:13" x14ac:dyDescent="0.25">
      <c r="B165" t="s">
        <v>37</v>
      </c>
      <c r="C165" t="s">
        <v>89</v>
      </c>
      <c r="D165" t="s">
        <v>95</v>
      </c>
      <c r="E165" s="247" t="str">
        <f t="shared" si="2"/>
        <v>P0003-Implementación de los Módulos para la interconexión de los Radios - Tetra Server - BD PNP</v>
      </c>
      <c r="F165" t="s">
        <v>165</v>
      </c>
      <c r="G165">
        <v>36</v>
      </c>
      <c r="H165">
        <v>160</v>
      </c>
      <c r="I165">
        <v>0</v>
      </c>
      <c r="J165">
        <v>0</v>
      </c>
      <c r="K165">
        <v>0</v>
      </c>
      <c r="L165">
        <v>0</v>
      </c>
      <c r="M165">
        <v>0</v>
      </c>
    </row>
    <row r="166" spans="2:13" x14ac:dyDescent="0.25">
      <c r="B166" t="s">
        <v>37</v>
      </c>
      <c r="C166" t="s">
        <v>78</v>
      </c>
      <c r="D166" t="s">
        <v>98</v>
      </c>
      <c r="E166" s="247" t="str">
        <f t="shared" si="2"/>
        <v>P0009-Aplicativo SUSALUD contigo IOS</v>
      </c>
      <c r="F166" t="s">
        <v>135</v>
      </c>
      <c r="G166">
        <v>0</v>
      </c>
      <c r="H166">
        <v>0</v>
      </c>
      <c r="I166">
        <v>0</v>
      </c>
      <c r="J166">
        <v>12</v>
      </c>
      <c r="K166">
        <v>12</v>
      </c>
      <c r="L166">
        <v>50</v>
      </c>
      <c r="M166">
        <v>0</v>
      </c>
    </row>
    <row r="167" spans="2:13" x14ac:dyDescent="0.25">
      <c r="B167" t="s">
        <v>37</v>
      </c>
      <c r="C167" t="s">
        <v>96</v>
      </c>
      <c r="D167" t="s">
        <v>203</v>
      </c>
      <c r="E167" s="247" t="str">
        <f t="shared" si="2"/>
        <v>P0018-Palabritas</v>
      </c>
      <c r="F167" t="s">
        <v>156</v>
      </c>
      <c r="G167">
        <v>0</v>
      </c>
      <c r="H167">
        <v>0</v>
      </c>
      <c r="I167">
        <v>184</v>
      </c>
      <c r="J167">
        <v>92</v>
      </c>
      <c r="K167">
        <v>133</v>
      </c>
      <c r="L167">
        <v>48</v>
      </c>
      <c r="M167">
        <v>16</v>
      </c>
    </row>
    <row r="168" spans="2:13" x14ac:dyDescent="0.25">
      <c r="B168" t="s">
        <v>37</v>
      </c>
      <c r="C168" t="s">
        <v>45</v>
      </c>
      <c r="D168" t="s">
        <v>51</v>
      </c>
      <c r="E168" s="247" t="str">
        <f t="shared" si="2"/>
        <v>P0013-Reportes SBS</v>
      </c>
      <c r="F168" t="s">
        <v>122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16</v>
      </c>
      <c r="M168">
        <v>0</v>
      </c>
    </row>
    <row r="169" spans="2:13" x14ac:dyDescent="0.25">
      <c r="B169" t="s">
        <v>37</v>
      </c>
      <c r="C169" t="s">
        <v>234</v>
      </c>
      <c r="D169" t="s">
        <v>206</v>
      </c>
      <c r="E169" s="247" t="str">
        <f t="shared" si="2"/>
        <v>P0023- 8 Aplicaciones Móviles Universidades</v>
      </c>
      <c r="F169" t="s">
        <v>235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46</v>
      </c>
      <c r="M169">
        <v>115</v>
      </c>
    </row>
    <row r="170" spans="2:13" x14ac:dyDescent="0.25">
      <c r="B170" t="s">
        <v>37</v>
      </c>
      <c r="C170" t="s">
        <v>209</v>
      </c>
      <c r="D170" t="s">
        <v>209</v>
      </c>
      <c r="E170" s="247" t="str">
        <f t="shared" si="2"/>
        <v>VACACIONES-Vacaciones</v>
      </c>
      <c r="F170" t="s">
        <v>243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8</v>
      </c>
    </row>
    <row r="171" spans="2:13" x14ac:dyDescent="0.25">
      <c r="B171" t="s">
        <v>37</v>
      </c>
      <c r="C171" t="s">
        <v>46</v>
      </c>
      <c r="D171" t="s">
        <v>46</v>
      </c>
      <c r="E171" s="247" t="str">
        <f t="shared" si="2"/>
        <v>PROPUESTA-Propuesta</v>
      </c>
      <c r="F171" t="s">
        <v>132</v>
      </c>
      <c r="G171">
        <v>0</v>
      </c>
      <c r="H171">
        <v>0</v>
      </c>
      <c r="I171">
        <v>0</v>
      </c>
      <c r="J171">
        <v>40</v>
      </c>
      <c r="K171">
        <v>31</v>
      </c>
      <c r="L171">
        <v>8</v>
      </c>
      <c r="M171">
        <v>8</v>
      </c>
    </row>
    <row r="172" spans="2:13" x14ac:dyDescent="0.25">
      <c r="B172" t="s">
        <v>424</v>
      </c>
      <c r="C172" t="s">
        <v>44</v>
      </c>
      <c r="D172" t="s">
        <v>42</v>
      </c>
      <c r="E172" s="247" t="str">
        <f t="shared" si="2"/>
        <v>MP004-Software Factory</v>
      </c>
      <c r="F172" t="s">
        <v>304</v>
      </c>
      <c r="G172">
        <v>168</v>
      </c>
      <c r="H172">
        <v>160</v>
      </c>
      <c r="I172">
        <v>184</v>
      </c>
      <c r="J172">
        <v>144</v>
      </c>
      <c r="K172">
        <v>0</v>
      </c>
      <c r="L172">
        <v>0</v>
      </c>
      <c r="M172">
        <v>0</v>
      </c>
    </row>
    <row r="173" spans="2:13" x14ac:dyDescent="0.25">
      <c r="B173" t="s">
        <v>424</v>
      </c>
      <c r="C173" t="s">
        <v>208</v>
      </c>
      <c r="D173" t="s">
        <v>208</v>
      </c>
      <c r="E173" s="247" t="str">
        <f t="shared" si="2"/>
        <v>INASISTENCIAS-Inasistencias</v>
      </c>
      <c r="F173" t="s">
        <v>210</v>
      </c>
      <c r="G173">
        <v>8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</row>
    <row r="174" spans="2:13" x14ac:dyDescent="0.25">
      <c r="B174" t="s">
        <v>614</v>
      </c>
      <c r="C174" t="s">
        <v>82</v>
      </c>
      <c r="D174" t="s">
        <v>83</v>
      </c>
      <c r="E174" s="247" t="str">
        <f t="shared" si="2"/>
        <v>MP003-Soporte Tecnico</v>
      </c>
      <c r="F174" t="s">
        <v>126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</row>
    <row r="175" spans="2:13" x14ac:dyDescent="0.25">
      <c r="B175" t="s">
        <v>38</v>
      </c>
      <c r="C175" t="s">
        <v>50</v>
      </c>
      <c r="D175" t="s">
        <v>196</v>
      </c>
      <c r="E175" s="247" t="str">
        <f t="shared" si="2"/>
        <v>P0020-Fabrica de Software</v>
      </c>
      <c r="F175" t="s">
        <v>127</v>
      </c>
      <c r="G175">
        <v>176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</row>
    <row r="176" spans="2:13" x14ac:dyDescent="0.25">
      <c r="B176" t="s">
        <v>38</v>
      </c>
      <c r="C176" t="s">
        <v>76</v>
      </c>
      <c r="D176" t="s">
        <v>77</v>
      </c>
      <c r="E176" s="247" t="str">
        <f t="shared" si="2"/>
        <v>P0005-Implementación del Sistema de Certificados de Retenciones</v>
      </c>
      <c r="F176" t="s">
        <v>115</v>
      </c>
      <c r="G176">
        <v>0</v>
      </c>
      <c r="H176">
        <v>160</v>
      </c>
      <c r="I176">
        <v>184</v>
      </c>
      <c r="J176">
        <v>112</v>
      </c>
      <c r="K176">
        <v>96</v>
      </c>
      <c r="L176">
        <v>0</v>
      </c>
      <c r="M176">
        <v>0</v>
      </c>
    </row>
    <row r="177" spans="2:13" x14ac:dyDescent="0.25">
      <c r="B177" t="s">
        <v>38</v>
      </c>
      <c r="C177" t="s">
        <v>44</v>
      </c>
      <c r="D177" t="s">
        <v>42</v>
      </c>
      <c r="E177" s="247" t="str">
        <f t="shared" si="2"/>
        <v>MP004-Software Factory</v>
      </c>
      <c r="F177" t="s">
        <v>304</v>
      </c>
      <c r="G177">
        <v>0</v>
      </c>
      <c r="H177">
        <v>0</v>
      </c>
      <c r="I177">
        <v>0</v>
      </c>
      <c r="J177">
        <v>0</v>
      </c>
      <c r="K177">
        <v>64</v>
      </c>
      <c r="L177">
        <v>16</v>
      </c>
      <c r="M177">
        <v>0</v>
      </c>
    </row>
    <row r="178" spans="2:13" x14ac:dyDescent="0.25">
      <c r="B178" t="s">
        <v>38</v>
      </c>
      <c r="C178" t="s">
        <v>75</v>
      </c>
      <c r="D178" t="s">
        <v>75</v>
      </c>
      <c r="E178" s="247" t="str">
        <f t="shared" si="2"/>
        <v>NO FACT.-No facturable</v>
      </c>
      <c r="F178" t="s">
        <v>131</v>
      </c>
      <c r="G178">
        <v>0</v>
      </c>
      <c r="H178">
        <v>0</v>
      </c>
      <c r="I178">
        <v>0</v>
      </c>
      <c r="J178">
        <v>32</v>
      </c>
      <c r="K178">
        <v>16</v>
      </c>
      <c r="L178">
        <v>0</v>
      </c>
      <c r="M178">
        <v>0</v>
      </c>
    </row>
    <row r="179" spans="2:13" x14ac:dyDescent="0.25">
      <c r="B179" t="s">
        <v>197</v>
      </c>
      <c r="C179" t="s">
        <v>103</v>
      </c>
      <c r="D179" t="s">
        <v>198</v>
      </c>
      <c r="E179" s="247" t="str">
        <f t="shared" si="2"/>
        <v>P0022-Adecuacion SISWEP-Cargas Masivas</v>
      </c>
      <c r="F179" t="s">
        <v>199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112</v>
      </c>
      <c r="M179">
        <v>160</v>
      </c>
    </row>
    <row r="180" spans="2:13" x14ac:dyDescent="0.25">
      <c r="B180" t="s">
        <v>197</v>
      </c>
      <c r="C180" t="s">
        <v>75</v>
      </c>
      <c r="D180" t="s">
        <v>75</v>
      </c>
      <c r="E180" s="247" t="str">
        <f t="shared" si="2"/>
        <v>NO FACT.-No facturable</v>
      </c>
      <c r="F180" t="s">
        <v>131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</row>
    <row r="181" spans="2:13" x14ac:dyDescent="0.25">
      <c r="B181" t="s">
        <v>197</v>
      </c>
      <c r="C181" t="s">
        <v>103</v>
      </c>
      <c r="D181" t="s">
        <v>361</v>
      </c>
      <c r="E181" s="247" t="str">
        <f t="shared" si="2"/>
        <v>P0027-Implementacion del Sistema BackOffice SOAT</v>
      </c>
      <c r="F181" t="s">
        <v>362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</row>
    <row r="182" spans="2:13" x14ac:dyDescent="0.25">
      <c r="B182" t="s">
        <v>200</v>
      </c>
      <c r="C182" t="s">
        <v>45</v>
      </c>
      <c r="D182" t="s">
        <v>51</v>
      </c>
      <c r="E182" s="247" t="str">
        <f t="shared" si="2"/>
        <v>P0013-Reportes SBS</v>
      </c>
      <c r="F182" t="s">
        <v>122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120</v>
      </c>
      <c r="M182">
        <v>0</v>
      </c>
    </row>
    <row r="183" spans="2:13" x14ac:dyDescent="0.25">
      <c r="B183" t="s">
        <v>431</v>
      </c>
      <c r="C183" t="s">
        <v>75</v>
      </c>
      <c r="D183" t="s">
        <v>75</v>
      </c>
      <c r="E183" s="247" t="str">
        <f t="shared" si="2"/>
        <v>NO FACT.-No facturable</v>
      </c>
      <c r="F183" t="s">
        <v>131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1</v>
      </c>
    </row>
    <row r="184" spans="2:13" x14ac:dyDescent="0.25">
      <c r="B184" t="s">
        <v>431</v>
      </c>
      <c r="C184" t="s">
        <v>103</v>
      </c>
      <c r="D184" t="s">
        <v>562</v>
      </c>
      <c r="E184" s="247" t="str">
        <f t="shared" si="2"/>
        <v>P0033-Mejoras Sistema V-Time</v>
      </c>
      <c r="F184" t="s">
        <v>563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2</v>
      </c>
    </row>
    <row r="185" spans="2:13" x14ac:dyDescent="0.25">
      <c r="B185" t="s">
        <v>431</v>
      </c>
      <c r="C185" t="s">
        <v>103</v>
      </c>
      <c r="D185" t="s">
        <v>306</v>
      </c>
      <c r="E185" s="247" t="str">
        <f t="shared" si="2"/>
        <v xml:space="preserve">P0025-Implementación de Indicadores de Gestión TABLEAU </v>
      </c>
      <c r="F185" t="s">
        <v>437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</row>
    <row r="186" spans="2:13" x14ac:dyDescent="0.25">
      <c r="B186" t="s">
        <v>431</v>
      </c>
      <c r="C186" t="s">
        <v>103</v>
      </c>
      <c r="D186" t="s">
        <v>361</v>
      </c>
      <c r="E186" s="247" t="str">
        <f t="shared" si="2"/>
        <v>P0027-Implementacion del Sistema BackOffice SOAT</v>
      </c>
      <c r="F186" t="s">
        <v>362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37</v>
      </c>
    </row>
    <row r="187" spans="2:13" x14ac:dyDescent="0.25">
      <c r="B187" t="s">
        <v>432</v>
      </c>
      <c r="C187" t="s">
        <v>86</v>
      </c>
      <c r="D187" t="s">
        <v>87</v>
      </c>
      <c r="E187" s="247" t="str">
        <f t="shared" si="2"/>
        <v>MP001-Analista Programador Java Python</v>
      </c>
      <c r="F187" t="s">
        <v>125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8</v>
      </c>
    </row>
    <row r="188" spans="2:13" x14ac:dyDescent="0.25">
      <c r="B188" t="s">
        <v>425</v>
      </c>
      <c r="C188" t="s">
        <v>44</v>
      </c>
      <c r="D188" t="s">
        <v>42</v>
      </c>
      <c r="E188" s="247" t="str">
        <f t="shared" si="2"/>
        <v>MP004-Software Factory</v>
      </c>
      <c r="F188" t="s">
        <v>304</v>
      </c>
      <c r="G188">
        <v>176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</row>
    <row r="189" spans="2:13" x14ac:dyDescent="0.25">
      <c r="B189" t="s">
        <v>425</v>
      </c>
      <c r="C189" t="s">
        <v>50</v>
      </c>
      <c r="D189" t="s">
        <v>196</v>
      </c>
      <c r="E189" s="247" t="str">
        <f t="shared" si="2"/>
        <v>P0020-Fabrica de Software</v>
      </c>
      <c r="F189" t="s">
        <v>127</v>
      </c>
      <c r="G189">
        <v>0</v>
      </c>
      <c r="H189">
        <v>160</v>
      </c>
      <c r="I189">
        <v>0</v>
      </c>
      <c r="J189">
        <v>0</v>
      </c>
      <c r="K189">
        <v>0</v>
      </c>
      <c r="L189">
        <v>0</v>
      </c>
      <c r="M189">
        <v>0</v>
      </c>
    </row>
    <row r="190" spans="2:13" x14ac:dyDescent="0.25">
      <c r="B190" t="s">
        <v>425</v>
      </c>
      <c r="C190" t="s">
        <v>75</v>
      </c>
      <c r="D190" t="s">
        <v>75</v>
      </c>
      <c r="E190" s="247" t="str">
        <f t="shared" si="2"/>
        <v>NO FACT.-No facturable</v>
      </c>
      <c r="F190" t="s">
        <v>131</v>
      </c>
      <c r="G190">
        <v>0</v>
      </c>
      <c r="H190">
        <v>0</v>
      </c>
      <c r="I190">
        <v>184</v>
      </c>
      <c r="J190">
        <v>0</v>
      </c>
      <c r="K190">
        <v>0</v>
      </c>
      <c r="L190">
        <v>0</v>
      </c>
      <c r="M190">
        <v>0</v>
      </c>
    </row>
    <row r="191" spans="2:13" x14ac:dyDescent="0.25">
      <c r="B191" t="s">
        <v>39</v>
      </c>
      <c r="C191" t="s">
        <v>76</v>
      </c>
      <c r="D191" t="s">
        <v>77</v>
      </c>
      <c r="E191" s="247" t="str">
        <f t="shared" si="2"/>
        <v>P0005-Implementación del Sistema de Certificados de Retenciones</v>
      </c>
      <c r="F191" t="s">
        <v>115</v>
      </c>
      <c r="G191">
        <v>0</v>
      </c>
      <c r="H191">
        <v>0</v>
      </c>
      <c r="I191">
        <v>176</v>
      </c>
      <c r="J191">
        <v>0</v>
      </c>
      <c r="K191">
        <v>0</v>
      </c>
      <c r="L191">
        <v>0</v>
      </c>
      <c r="M191">
        <v>80</v>
      </c>
    </row>
    <row r="192" spans="2:13" x14ac:dyDescent="0.25">
      <c r="B192" t="s">
        <v>39</v>
      </c>
      <c r="C192" t="s">
        <v>45</v>
      </c>
      <c r="D192" t="s">
        <v>47</v>
      </c>
      <c r="E192" s="247" t="str">
        <f t="shared" si="2"/>
        <v>P0011-outsourcing  de configuración de productos BBVA</v>
      </c>
      <c r="F192" t="s">
        <v>120</v>
      </c>
      <c r="G192">
        <v>80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</row>
    <row r="193" spans="2:13" x14ac:dyDescent="0.25">
      <c r="B193" t="s">
        <v>39</v>
      </c>
      <c r="C193" t="s">
        <v>45</v>
      </c>
      <c r="D193" t="s">
        <v>51</v>
      </c>
      <c r="E193" s="247" t="str">
        <f t="shared" si="2"/>
        <v>P0013-Reportes SBS</v>
      </c>
      <c r="F193" t="s">
        <v>122</v>
      </c>
      <c r="G193">
        <v>0</v>
      </c>
      <c r="H193">
        <v>0</v>
      </c>
      <c r="I193">
        <v>0</v>
      </c>
      <c r="J193">
        <v>0</v>
      </c>
      <c r="K193">
        <v>36</v>
      </c>
      <c r="L193">
        <v>40</v>
      </c>
      <c r="M193">
        <v>0</v>
      </c>
    </row>
    <row r="194" spans="2:13" x14ac:dyDescent="0.25">
      <c r="B194" t="s">
        <v>39</v>
      </c>
      <c r="C194" t="s">
        <v>45</v>
      </c>
      <c r="D194" t="s">
        <v>88</v>
      </c>
      <c r="E194" s="247" t="str">
        <f t="shared" si="2"/>
        <v>P0012-Configuración de productos PIMS</v>
      </c>
      <c r="F194" t="s">
        <v>121</v>
      </c>
      <c r="G194">
        <v>0</v>
      </c>
      <c r="H194">
        <v>0</v>
      </c>
      <c r="I194">
        <v>0</v>
      </c>
      <c r="J194">
        <v>120</v>
      </c>
      <c r="K194">
        <v>132</v>
      </c>
      <c r="L194">
        <v>112</v>
      </c>
      <c r="M194">
        <v>0</v>
      </c>
    </row>
    <row r="195" spans="2:13" x14ac:dyDescent="0.25">
      <c r="B195" t="s">
        <v>39</v>
      </c>
      <c r="C195" t="s">
        <v>89</v>
      </c>
      <c r="D195" t="s">
        <v>90</v>
      </c>
      <c r="E195" s="247" t="str">
        <f t="shared" si="2"/>
        <v>P0002-Implementación del Módulo Básico de Interconexión Radios - Tetra Server - BD PNP</v>
      </c>
      <c r="F195" t="s">
        <v>113</v>
      </c>
      <c r="G195">
        <v>88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</row>
    <row r="196" spans="2:13" x14ac:dyDescent="0.25">
      <c r="B196" t="s">
        <v>39</v>
      </c>
      <c r="C196" t="s">
        <v>45</v>
      </c>
      <c r="D196" t="s">
        <v>415</v>
      </c>
      <c r="E196" s="247" t="str">
        <f t="shared" ref="E196:E211" si="3">CONCATENATE(D196,"-",F196)</f>
        <v>P0032-Configuración de nuevos productos PIMS</v>
      </c>
      <c r="F196" t="s">
        <v>416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40</v>
      </c>
    </row>
    <row r="197" spans="2:13" x14ac:dyDescent="0.25">
      <c r="B197" t="s">
        <v>39</v>
      </c>
      <c r="C197" t="s">
        <v>208</v>
      </c>
      <c r="D197" t="s">
        <v>208</v>
      </c>
      <c r="E197" s="247" t="str">
        <f t="shared" si="3"/>
        <v>INASISTENCIAS-Inasistencias</v>
      </c>
      <c r="F197" t="s">
        <v>210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32</v>
      </c>
    </row>
    <row r="198" spans="2:13" x14ac:dyDescent="0.25">
      <c r="B198" t="s">
        <v>39</v>
      </c>
      <c r="C198" t="s">
        <v>209</v>
      </c>
      <c r="D198" t="s">
        <v>209</v>
      </c>
      <c r="E198" s="247" t="str">
        <f t="shared" si="3"/>
        <v>VACACIONES-Vacaciones</v>
      </c>
      <c r="F198" t="s">
        <v>243</v>
      </c>
      <c r="G198">
        <v>0</v>
      </c>
      <c r="H198">
        <v>0</v>
      </c>
      <c r="I198">
        <v>0</v>
      </c>
      <c r="J198">
        <v>24</v>
      </c>
      <c r="K198">
        <v>0</v>
      </c>
      <c r="L198">
        <v>0</v>
      </c>
      <c r="M198">
        <v>0</v>
      </c>
    </row>
    <row r="199" spans="2:13" x14ac:dyDescent="0.25">
      <c r="B199" t="s">
        <v>39</v>
      </c>
      <c r="C199" t="s">
        <v>75</v>
      </c>
      <c r="D199" t="s">
        <v>75</v>
      </c>
      <c r="E199" s="247" t="str">
        <f t="shared" si="3"/>
        <v>NO FACT.-No facturable</v>
      </c>
      <c r="F199" t="s">
        <v>131</v>
      </c>
      <c r="G199">
        <v>8</v>
      </c>
      <c r="H199">
        <v>160</v>
      </c>
      <c r="I199">
        <v>8</v>
      </c>
      <c r="J199">
        <v>0</v>
      </c>
      <c r="K199">
        <v>8</v>
      </c>
      <c r="L199">
        <v>16</v>
      </c>
      <c r="M199">
        <v>8</v>
      </c>
    </row>
    <row r="200" spans="2:13" x14ac:dyDescent="0.25">
      <c r="B200" t="s">
        <v>280</v>
      </c>
      <c r="C200" t="s">
        <v>44</v>
      </c>
      <c r="D200" t="s">
        <v>42</v>
      </c>
      <c r="E200" s="247" t="str">
        <f t="shared" si="3"/>
        <v>MP004-Software Factory</v>
      </c>
      <c r="F200" t="s">
        <v>304</v>
      </c>
      <c r="G200">
        <v>168</v>
      </c>
      <c r="H200">
        <v>160</v>
      </c>
      <c r="I200">
        <v>184</v>
      </c>
      <c r="J200">
        <v>144</v>
      </c>
      <c r="K200">
        <v>176</v>
      </c>
      <c r="L200">
        <v>168</v>
      </c>
      <c r="M200">
        <v>160</v>
      </c>
    </row>
    <row r="201" spans="2:13" x14ac:dyDescent="0.25">
      <c r="B201" t="s">
        <v>280</v>
      </c>
      <c r="C201" t="s">
        <v>208</v>
      </c>
      <c r="D201" t="s">
        <v>208</v>
      </c>
      <c r="E201" s="247" t="str">
        <f t="shared" si="3"/>
        <v>INASISTENCIAS-Inasistencias</v>
      </c>
      <c r="F201" t="s">
        <v>210</v>
      </c>
      <c r="G201">
        <v>8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</row>
    <row r="202" spans="2:13" x14ac:dyDescent="0.25">
      <c r="B202" t="s">
        <v>426</v>
      </c>
      <c r="C202" t="s">
        <v>208</v>
      </c>
      <c r="D202" t="s">
        <v>208</v>
      </c>
      <c r="E202" s="247" t="str">
        <f t="shared" si="3"/>
        <v>INASISTENCIAS-Inasistencias</v>
      </c>
      <c r="F202" t="s">
        <v>210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</row>
    <row r="203" spans="2:13" x14ac:dyDescent="0.25">
      <c r="B203" t="s">
        <v>426</v>
      </c>
      <c r="C203" t="s">
        <v>209</v>
      </c>
      <c r="D203" t="s">
        <v>209</v>
      </c>
      <c r="E203" s="247" t="str">
        <f t="shared" si="3"/>
        <v>VACACIONES-Vacaciones</v>
      </c>
      <c r="F203" t="s">
        <v>243</v>
      </c>
      <c r="G203">
        <v>40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</row>
    <row r="204" spans="2:13" x14ac:dyDescent="0.25">
      <c r="B204" t="s">
        <v>426</v>
      </c>
      <c r="C204" t="s">
        <v>44</v>
      </c>
      <c r="D204" t="s">
        <v>42</v>
      </c>
      <c r="E204" s="247" t="str">
        <f t="shared" si="3"/>
        <v>MP004-Software Factory</v>
      </c>
      <c r="F204" t="s">
        <v>304</v>
      </c>
      <c r="G204">
        <v>136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</row>
    <row r="205" spans="2:13" x14ac:dyDescent="0.25">
      <c r="B205" t="s">
        <v>429</v>
      </c>
      <c r="C205" t="s">
        <v>45</v>
      </c>
      <c r="D205" t="s">
        <v>51</v>
      </c>
      <c r="E205" s="247" t="str">
        <f t="shared" si="3"/>
        <v>P0013-Reportes SBS</v>
      </c>
      <c r="F205" t="s">
        <v>122</v>
      </c>
      <c r="G205">
        <v>0</v>
      </c>
      <c r="H205">
        <v>0</v>
      </c>
      <c r="I205">
        <v>0</v>
      </c>
      <c r="J205">
        <v>0</v>
      </c>
      <c r="K205">
        <v>176</v>
      </c>
      <c r="L205">
        <v>128</v>
      </c>
      <c r="M205">
        <v>0</v>
      </c>
    </row>
    <row r="206" spans="2:13" x14ac:dyDescent="0.25">
      <c r="B206" t="s">
        <v>26</v>
      </c>
      <c r="C206" t="s">
        <v>44</v>
      </c>
      <c r="D206" t="s">
        <v>42</v>
      </c>
      <c r="E206" s="247" t="str">
        <f t="shared" si="3"/>
        <v>MP004-Software Factory</v>
      </c>
      <c r="F206" t="s">
        <v>304</v>
      </c>
      <c r="G206">
        <v>152</v>
      </c>
      <c r="H206">
        <v>160</v>
      </c>
      <c r="I206">
        <v>184</v>
      </c>
      <c r="J206">
        <v>144</v>
      </c>
      <c r="K206">
        <v>176</v>
      </c>
      <c r="L206">
        <v>168</v>
      </c>
      <c r="M206">
        <v>160</v>
      </c>
    </row>
    <row r="207" spans="2:13" x14ac:dyDescent="0.25">
      <c r="B207" t="s">
        <v>26</v>
      </c>
      <c r="C207" t="s">
        <v>209</v>
      </c>
      <c r="D207" t="s">
        <v>209</v>
      </c>
      <c r="E207" s="247" t="str">
        <f t="shared" si="3"/>
        <v>VACACIONES-Vacaciones</v>
      </c>
      <c r="F207" t="s">
        <v>243</v>
      </c>
      <c r="G207">
        <v>24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</row>
    <row r="208" spans="2:13" x14ac:dyDescent="0.25">
      <c r="B208" t="s">
        <v>106</v>
      </c>
      <c r="C208" t="s">
        <v>80</v>
      </c>
      <c r="D208" t="s">
        <v>81</v>
      </c>
      <c r="E208" s="247" t="str">
        <f t="shared" si="3"/>
        <v>MP002-Soporte Tecnico</v>
      </c>
      <c r="F208" t="s">
        <v>126</v>
      </c>
      <c r="G208">
        <v>176</v>
      </c>
      <c r="H208">
        <v>160</v>
      </c>
      <c r="I208">
        <v>184</v>
      </c>
      <c r="J208">
        <v>144</v>
      </c>
      <c r="K208">
        <v>176</v>
      </c>
      <c r="L208">
        <v>168</v>
      </c>
      <c r="M208">
        <v>160</v>
      </c>
    </row>
    <row r="209" spans="2:13" x14ac:dyDescent="0.25">
      <c r="B209" t="s">
        <v>265</v>
      </c>
      <c r="C209" t="s">
        <v>44</v>
      </c>
      <c r="D209" t="s">
        <v>42</v>
      </c>
      <c r="E209" s="247" t="str">
        <f t="shared" si="3"/>
        <v>MP004-Software Factory</v>
      </c>
      <c r="F209" t="s">
        <v>304</v>
      </c>
      <c r="G209">
        <v>106</v>
      </c>
      <c r="H209">
        <v>160</v>
      </c>
      <c r="I209">
        <v>184</v>
      </c>
      <c r="J209">
        <v>144</v>
      </c>
      <c r="K209">
        <v>176</v>
      </c>
      <c r="L209">
        <v>168</v>
      </c>
      <c r="M209">
        <v>160</v>
      </c>
    </row>
    <row r="210" spans="2:13" x14ac:dyDescent="0.25">
      <c r="B210" t="s">
        <v>427</v>
      </c>
      <c r="C210" t="s">
        <v>44</v>
      </c>
      <c r="D210" t="s">
        <v>42</v>
      </c>
      <c r="E210" s="247" t="str">
        <f t="shared" si="3"/>
        <v>MP004-Software Factory</v>
      </c>
      <c r="F210" t="s">
        <v>304</v>
      </c>
      <c r="G210">
        <v>80</v>
      </c>
      <c r="H210">
        <v>0</v>
      </c>
      <c r="I210">
        <v>60</v>
      </c>
      <c r="J210">
        <v>0</v>
      </c>
      <c r="K210">
        <v>0</v>
      </c>
      <c r="L210">
        <v>0</v>
      </c>
      <c r="M210">
        <v>0</v>
      </c>
    </row>
    <row r="211" spans="2:13" x14ac:dyDescent="0.25">
      <c r="B211" t="s">
        <v>427</v>
      </c>
      <c r="C211" t="s">
        <v>50</v>
      </c>
      <c r="D211" t="s">
        <v>196</v>
      </c>
      <c r="E211" s="247" t="str">
        <f t="shared" si="3"/>
        <v>P0020-Fabrica de Software</v>
      </c>
      <c r="F211" t="s">
        <v>127</v>
      </c>
      <c r="G211">
        <v>96</v>
      </c>
      <c r="H211">
        <v>160</v>
      </c>
      <c r="I211">
        <v>4</v>
      </c>
      <c r="J211">
        <v>0</v>
      </c>
      <c r="K211">
        <v>0</v>
      </c>
      <c r="L211">
        <v>0</v>
      </c>
      <c r="M211">
        <v>0</v>
      </c>
    </row>
  </sheetData>
  <sortState ref="B3:L211">
    <sortCondition ref="B3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/>
  <dimension ref="B1:I51"/>
  <sheetViews>
    <sheetView workbookViewId="0">
      <selection activeCell="H16" sqref="H16"/>
    </sheetView>
  </sheetViews>
  <sheetFormatPr baseColWidth="10" defaultRowHeight="15" x14ac:dyDescent="0.25"/>
  <cols>
    <col min="2" max="2" width="39.42578125" bestFit="1" customWidth="1"/>
    <col min="3" max="3" width="8.5703125" bestFit="1" customWidth="1"/>
    <col min="4" max="4" width="33.28515625" bestFit="1" customWidth="1"/>
    <col min="5" max="5" width="12.42578125" bestFit="1" customWidth="1"/>
  </cols>
  <sheetData>
    <row r="1" spans="2:9" x14ac:dyDescent="0.25">
      <c r="G1" s="365" t="s">
        <v>890</v>
      </c>
      <c r="H1" s="365" t="s">
        <v>322</v>
      </c>
      <c r="I1" s="365"/>
    </row>
    <row r="2" spans="2:9" s="247" customFormat="1" x14ac:dyDescent="0.25">
      <c r="G2" s="365" t="s">
        <v>891</v>
      </c>
      <c r="H2" s="365" t="s">
        <v>335</v>
      </c>
      <c r="I2" s="365"/>
    </row>
    <row r="3" spans="2:9" s="247" customFormat="1" x14ac:dyDescent="0.25">
      <c r="G3" s="365" t="s">
        <v>892</v>
      </c>
      <c r="H3" s="365" t="s">
        <v>308</v>
      </c>
      <c r="I3" s="365"/>
    </row>
    <row r="4" spans="2:9" s="247" customFormat="1" x14ac:dyDescent="0.25">
      <c r="G4" s="365" t="s">
        <v>895</v>
      </c>
      <c r="H4" s="365" t="s">
        <v>327</v>
      </c>
      <c r="I4" s="365"/>
    </row>
    <row r="5" spans="2:9" s="247" customFormat="1" x14ac:dyDescent="0.25">
      <c r="G5" s="365" t="s">
        <v>893</v>
      </c>
      <c r="H5" s="365" t="s">
        <v>896</v>
      </c>
      <c r="I5" s="365"/>
    </row>
    <row r="6" spans="2:9" x14ac:dyDescent="0.25">
      <c r="B6" s="630" t="s">
        <v>882</v>
      </c>
      <c r="C6" s="630"/>
      <c r="D6" s="630"/>
    </row>
    <row r="8" spans="2:9" x14ac:dyDescent="0.25">
      <c r="B8" s="390" t="s">
        <v>883</v>
      </c>
      <c r="C8" s="391" t="s">
        <v>884</v>
      </c>
      <c r="D8" s="391" t="s">
        <v>885</v>
      </c>
      <c r="E8" s="391" t="s">
        <v>889</v>
      </c>
    </row>
    <row r="9" spans="2:9" x14ac:dyDescent="0.25">
      <c r="B9" t="s">
        <v>28</v>
      </c>
      <c r="C9" t="s">
        <v>214</v>
      </c>
      <c r="D9" s="389" t="s">
        <v>886</v>
      </c>
      <c r="E9" s="389" t="s">
        <v>890</v>
      </c>
    </row>
    <row r="10" spans="2:9" x14ac:dyDescent="0.25">
      <c r="B10" t="s">
        <v>1</v>
      </c>
      <c r="C10" t="s">
        <v>214</v>
      </c>
      <c r="D10" s="389" t="s">
        <v>44</v>
      </c>
      <c r="E10" s="389" t="s">
        <v>891</v>
      </c>
    </row>
    <row r="11" spans="2:9" x14ac:dyDescent="0.25">
      <c r="B11" t="s">
        <v>2</v>
      </c>
      <c r="C11" t="s">
        <v>214</v>
      </c>
      <c r="D11" s="389" t="s">
        <v>44</v>
      </c>
      <c r="E11" s="389" t="s">
        <v>891</v>
      </c>
    </row>
    <row r="12" spans="2:9" x14ac:dyDescent="0.25">
      <c r="B12" t="s">
        <v>3</v>
      </c>
      <c r="C12" t="s">
        <v>214</v>
      </c>
      <c r="D12" s="389" t="s">
        <v>44</v>
      </c>
      <c r="E12" s="389" t="s">
        <v>891</v>
      </c>
    </row>
    <row r="13" spans="2:9" x14ac:dyDescent="0.25">
      <c r="B13" t="s">
        <v>4</v>
      </c>
      <c r="C13" t="s">
        <v>214</v>
      </c>
      <c r="D13" s="389" t="s">
        <v>44</v>
      </c>
      <c r="E13" s="389" t="s">
        <v>891</v>
      </c>
    </row>
    <row r="14" spans="2:9" x14ac:dyDescent="0.25">
      <c r="B14" t="s">
        <v>29</v>
      </c>
      <c r="C14" t="s">
        <v>214</v>
      </c>
      <c r="D14" s="389" t="s">
        <v>86</v>
      </c>
      <c r="E14" s="389" t="s">
        <v>892</v>
      </c>
    </row>
    <row r="15" spans="2:9" x14ac:dyDescent="0.25">
      <c r="B15" t="s">
        <v>5</v>
      </c>
      <c r="C15" t="s">
        <v>214</v>
      </c>
      <c r="D15" s="389" t="s">
        <v>44</v>
      </c>
      <c r="E15" s="389" t="s">
        <v>891</v>
      </c>
    </row>
    <row r="16" spans="2:9" x14ac:dyDescent="0.25">
      <c r="B16" t="s">
        <v>30</v>
      </c>
      <c r="C16" t="s">
        <v>214</v>
      </c>
      <c r="D16" s="389" t="s">
        <v>103</v>
      </c>
      <c r="E16" s="389" t="s">
        <v>893</v>
      </c>
    </row>
    <row r="17" spans="2:5" x14ac:dyDescent="0.25">
      <c r="B17" t="s">
        <v>31</v>
      </c>
      <c r="C17" t="s">
        <v>214</v>
      </c>
      <c r="D17" s="389" t="s">
        <v>84</v>
      </c>
      <c r="E17" s="389" t="s">
        <v>892</v>
      </c>
    </row>
    <row r="18" spans="2:5" x14ac:dyDescent="0.25">
      <c r="B18" t="s">
        <v>195</v>
      </c>
      <c r="C18" t="s">
        <v>214</v>
      </c>
      <c r="D18" s="389" t="s">
        <v>50</v>
      </c>
      <c r="E18" s="389" t="s">
        <v>894</v>
      </c>
    </row>
    <row r="19" spans="2:5" x14ac:dyDescent="0.25">
      <c r="B19" t="s">
        <v>442</v>
      </c>
      <c r="C19" t="s">
        <v>214</v>
      </c>
      <c r="D19" s="392" t="s">
        <v>44</v>
      </c>
      <c r="E19" s="392" t="s">
        <v>891</v>
      </c>
    </row>
    <row r="20" spans="2:5" x14ac:dyDescent="0.25">
      <c r="B20" t="s">
        <v>134</v>
      </c>
      <c r="C20" t="s">
        <v>214</v>
      </c>
      <c r="D20" s="389" t="s">
        <v>234</v>
      </c>
      <c r="E20" s="389" t="s">
        <v>895</v>
      </c>
    </row>
    <row r="21" spans="2:5" x14ac:dyDescent="0.25">
      <c r="B21" t="s">
        <v>7</v>
      </c>
      <c r="C21" t="s">
        <v>214</v>
      </c>
      <c r="D21" s="389" t="s">
        <v>44</v>
      </c>
      <c r="E21" s="389" t="s">
        <v>891</v>
      </c>
    </row>
    <row r="22" spans="2:5" x14ac:dyDescent="0.25">
      <c r="B22" t="s">
        <v>8</v>
      </c>
      <c r="C22" t="s">
        <v>214</v>
      </c>
      <c r="D22" s="389" t="s">
        <v>44</v>
      </c>
      <c r="E22" s="389" t="s">
        <v>891</v>
      </c>
    </row>
    <row r="23" spans="2:5" x14ac:dyDescent="0.25">
      <c r="B23" t="s">
        <v>9</v>
      </c>
      <c r="C23" t="s">
        <v>214</v>
      </c>
      <c r="D23" s="389" t="s">
        <v>44</v>
      </c>
      <c r="E23" s="389" t="s">
        <v>891</v>
      </c>
    </row>
    <row r="24" spans="2:5" x14ac:dyDescent="0.25">
      <c r="B24" t="s">
        <v>881</v>
      </c>
      <c r="C24" t="s">
        <v>214</v>
      </c>
      <c r="D24" s="389" t="s">
        <v>103</v>
      </c>
      <c r="E24" s="389" t="s">
        <v>893</v>
      </c>
    </row>
    <row r="25" spans="2:5" x14ac:dyDescent="0.25">
      <c r="B25" t="s">
        <v>10</v>
      </c>
      <c r="C25" t="s">
        <v>214</v>
      </c>
      <c r="D25" s="389" t="s">
        <v>103</v>
      </c>
      <c r="E25" s="389" t="s">
        <v>893</v>
      </c>
    </row>
    <row r="26" spans="2:5" x14ac:dyDescent="0.25">
      <c r="B26" t="s">
        <v>266</v>
      </c>
      <c r="C26" t="s">
        <v>214</v>
      </c>
      <c r="D26" s="389" t="s">
        <v>44</v>
      </c>
      <c r="E26" s="389" t="s">
        <v>891</v>
      </c>
    </row>
    <row r="27" spans="2:5" x14ac:dyDescent="0.25">
      <c r="B27" t="s">
        <v>12</v>
      </c>
      <c r="C27" t="s">
        <v>214</v>
      </c>
      <c r="D27" s="389" t="s">
        <v>103</v>
      </c>
      <c r="E27" s="389" t="s">
        <v>893</v>
      </c>
    </row>
    <row r="28" spans="2:5" x14ac:dyDescent="0.25">
      <c r="B28" t="s">
        <v>13</v>
      </c>
      <c r="C28" t="s">
        <v>214</v>
      </c>
      <c r="D28" s="389" t="s">
        <v>44</v>
      </c>
      <c r="E28" s="389" t="s">
        <v>891</v>
      </c>
    </row>
    <row r="29" spans="2:5" x14ac:dyDescent="0.25">
      <c r="B29" t="s">
        <v>14</v>
      </c>
      <c r="C29" t="s">
        <v>214</v>
      </c>
      <c r="D29" s="389" t="s">
        <v>44</v>
      </c>
      <c r="E29" s="389" t="s">
        <v>891</v>
      </c>
    </row>
    <row r="30" spans="2:5" x14ac:dyDescent="0.25">
      <c r="B30" t="s">
        <v>33</v>
      </c>
      <c r="C30" t="s">
        <v>214</v>
      </c>
      <c r="D30" s="389" t="s">
        <v>887</v>
      </c>
      <c r="E30" s="389" t="s">
        <v>892</v>
      </c>
    </row>
    <row r="31" spans="2:5" x14ac:dyDescent="0.25">
      <c r="B31" t="s">
        <v>16</v>
      </c>
      <c r="C31" t="s">
        <v>214</v>
      </c>
      <c r="D31" s="389" t="s">
        <v>44</v>
      </c>
      <c r="E31" s="389" t="s">
        <v>891</v>
      </c>
    </row>
    <row r="32" spans="2:5" x14ac:dyDescent="0.25">
      <c r="B32" t="s">
        <v>34</v>
      </c>
      <c r="C32" t="s">
        <v>214</v>
      </c>
      <c r="D32" s="389" t="s">
        <v>44</v>
      </c>
      <c r="E32" s="389" t="s">
        <v>891</v>
      </c>
    </row>
    <row r="33" spans="2:5" x14ac:dyDescent="0.25">
      <c r="B33" t="s">
        <v>428</v>
      </c>
      <c r="C33" t="s">
        <v>214</v>
      </c>
      <c r="D33" s="389" t="s">
        <v>888</v>
      </c>
      <c r="E33" s="389" t="s">
        <v>890</v>
      </c>
    </row>
    <row r="34" spans="2:5" x14ac:dyDescent="0.25">
      <c r="B34" t="s">
        <v>18</v>
      </c>
      <c r="C34" t="s">
        <v>214</v>
      </c>
      <c r="D34" s="389" t="s">
        <v>44</v>
      </c>
      <c r="E34" s="389" t="s">
        <v>891</v>
      </c>
    </row>
    <row r="35" spans="2:5" x14ac:dyDescent="0.25">
      <c r="B35" t="s">
        <v>19</v>
      </c>
      <c r="C35" t="s">
        <v>214</v>
      </c>
      <c r="D35" s="389" t="s">
        <v>44</v>
      </c>
      <c r="E35" s="389" t="s">
        <v>891</v>
      </c>
    </row>
    <row r="36" spans="2:5" x14ac:dyDescent="0.25">
      <c r="B36" t="s">
        <v>20</v>
      </c>
      <c r="C36" t="s">
        <v>214</v>
      </c>
      <c r="D36" s="389" t="s">
        <v>44</v>
      </c>
      <c r="E36" s="389" t="s">
        <v>891</v>
      </c>
    </row>
    <row r="37" spans="2:5" x14ac:dyDescent="0.25">
      <c r="B37" t="s">
        <v>21</v>
      </c>
      <c r="C37" t="s">
        <v>214</v>
      </c>
      <c r="D37" s="389" t="s">
        <v>44</v>
      </c>
      <c r="E37" s="389" t="s">
        <v>891</v>
      </c>
    </row>
    <row r="38" spans="2:5" x14ac:dyDescent="0.25">
      <c r="B38" t="s">
        <v>22</v>
      </c>
      <c r="C38" t="s">
        <v>214</v>
      </c>
      <c r="D38" s="389" t="s">
        <v>44</v>
      </c>
      <c r="E38" s="389" t="s">
        <v>891</v>
      </c>
    </row>
    <row r="39" spans="2:5" x14ac:dyDescent="0.25">
      <c r="B39" t="s">
        <v>430</v>
      </c>
      <c r="C39" t="s">
        <v>214</v>
      </c>
      <c r="D39" s="389" t="s">
        <v>44</v>
      </c>
      <c r="E39" s="389" t="s">
        <v>891</v>
      </c>
    </row>
    <row r="40" spans="2:5" x14ac:dyDescent="0.25">
      <c r="B40" t="s">
        <v>423</v>
      </c>
      <c r="C40" t="s">
        <v>214</v>
      </c>
      <c r="D40" s="389" t="s">
        <v>44</v>
      </c>
      <c r="E40" s="389" t="s">
        <v>891</v>
      </c>
    </row>
    <row r="41" spans="2:5" x14ac:dyDescent="0.25">
      <c r="B41" t="s">
        <v>35</v>
      </c>
      <c r="C41" t="s">
        <v>214</v>
      </c>
      <c r="D41" s="389" t="s">
        <v>103</v>
      </c>
      <c r="E41" s="389" t="s">
        <v>893</v>
      </c>
    </row>
    <row r="42" spans="2:5" x14ac:dyDescent="0.25">
      <c r="B42" t="s">
        <v>36</v>
      </c>
      <c r="C42" t="s">
        <v>214</v>
      </c>
      <c r="D42" s="389" t="s">
        <v>234</v>
      </c>
      <c r="E42" s="389" t="s">
        <v>895</v>
      </c>
    </row>
    <row r="43" spans="2:5" x14ac:dyDescent="0.25">
      <c r="B43" t="s">
        <v>37</v>
      </c>
      <c r="C43" t="s">
        <v>214</v>
      </c>
      <c r="D43" s="389" t="s">
        <v>234</v>
      </c>
      <c r="E43" s="389" t="s">
        <v>895</v>
      </c>
    </row>
    <row r="44" spans="2:5" x14ac:dyDescent="0.25">
      <c r="B44" t="s">
        <v>614</v>
      </c>
      <c r="C44" t="s">
        <v>214</v>
      </c>
      <c r="D44" s="389" t="s">
        <v>158</v>
      </c>
      <c r="E44" s="389" t="s">
        <v>890</v>
      </c>
    </row>
    <row r="45" spans="2:5" x14ac:dyDescent="0.25">
      <c r="B45" t="s">
        <v>197</v>
      </c>
      <c r="C45" t="s">
        <v>214</v>
      </c>
      <c r="D45" s="389" t="s">
        <v>103</v>
      </c>
      <c r="E45" s="389" t="s">
        <v>893</v>
      </c>
    </row>
    <row r="46" spans="2:5" x14ac:dyDescent="0.25">
      <c r="B46" t="s">
        <v>431</v>
      </c>
      <c r="C46" t="s">
        <v>214</v>
      </c>
      <c r="D46" s="389" t="s">
        <v>103</v>
      </c>
      <c r="E46" s="389" t="s">
        <v>890</v>
      </c>
    </row>
    <row r="47" spans="2:5" x14ac:dyDescent="0.25">
      <c r="B47" t="s">
        <v>432</v>
      </c>
      <c r="C47" t="s">
        <v>214</v>
      </c>
      <c r="D47" s="389" t="s">
        <v>86</v>
      </c>
      <c r="E47" s="389" t="s">
        <v>892</v>
      </c>
    </row>
    <row r="48" spans="2:5" x14ac:dyDescent="0.25">
      <c r="B48" t="s">
        <v>280</v>
      </c>
      <c r="C48" t="s">
        <v>214</v>
      </c>
      <c r="D48" s="389" t="s">
        <v>44</v>
      </c>
      <c r="E48" s="389" t="s">
        <v>891</v>
      </c>
    </row>
    <row r="49" spans="2:5" x14ac:dyDescent="0.25">
      <c r="B49" t="s">
        <v>26</v>
      </c>
      <c r="C49" t="s">
        <v>214</v>
      </c>
      <c r="D49" s="389" t="s">
        <v>44</v>
      </c>
      <c r="E49" s="389" t="s">
        <v>891</v>
      </c>
    </row>
    <row r="50" spans="2:5" x14ac:dyDescent="0.25">
      <c r="B50" t="s">
        <v>106</v>
      </c>
      <c r="C50" t="s">
        <v>214</v>
      </c>
      <c r="D50" s="389" t="s">
        <v>80</v>
      </c>
      <c r="E50" s="389" t="s">
        <v>891</v>
      </c>
    </row>
    <row r="51" spans="2:5" x14ac:dyDescent="0.25">
      <c r="B51" t="s">
        <v>265</v>
      </c>
      <c r="C51" t="s">
        <v>214</v>
      </c>
      <c r="D51" s="389" t="s">
        <v>44</v>
      </c>
      <c r="E51" s="389" t="s">
        <v>891</v>
      </c>
    </row>
  </sheetData>
  <sortState ref="B5:C73">
    <sortCondition ref="C5:C73"/>
  </sortState>
  <mergeCells count="1">
    <mergeCell ref="B6:D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00B050"/>
  </sheetPr>
  <dimension ref="A1:AU96"/>
  <sheetViews>
    <sheetView workbookViewId="0">
      <selection activeCell="H13" sqref="H13"/>
    </sheetView>
  </sheetViews>
  <sheetFormatPr baseColWidth="10" defaultRowHeight="15" x14ac:dyDescent="0.25"/>
  <cols>
    <col min="1" max="1" width="11.42578125" style="247"/>
    <col min="2" max="2" width="13.140625" style="247" bestFit="1" customWidth="1"/>
    <col min="3" max="3" width="11.85546875" style="247" bestFit="1" customWidth="1"/>
    <col min="4" max="4" width="42.85546875" style="247" customWidth="1"/>
    <col min="5" max="5" width="15.7109375" style="247" bestFit="1" customWidth="1"/>
    <col min="6" max="6" width="12.7109375" style="247" customWidth="1"/>
    <col min="7" max="7" width="9.85546875" style="247" customWidth="1"/>
    <col min="8" max="8" width="9.7109375" style="247" customWidth="1"/>
    <col min="9" max="9" width="11.7109375" style="247" customWidth="1"/>
    <col min="10" max="10" width="11.140625" style="247" customWidth="1"/>
    <col min="11" max="11" width="11.28515625" style="247" customWidth="1"/>
    <col min="12" max="12" width="10.85546875" style="247" customWidth="1"/>
    <col min="13" max="13" width="13.28515625" style="247" customWidth="1"/>
    <col min="14" max="14" width="11.85546875" style="247" bestFit="1" customWidth="1"/>
    <col min="15" max="15" width="10.7109375" style="247" bestFit="1" customWidth="1"/>
    <col min="16" max="18" width="9.85546875" style="247" customWidth="1"/>
    <col min="19" max="19" width="11.42578125" style="247"/>
    <col min="20" max="20" width="34.42578125" style="247" bestFit="1" customWidth="1"/>
    <col min="21" max="16384" width="11.42578125" style="247"/>
  </cols>
  <sheetData>
    <row r="1" spans="1:47" x14ac:dyDescent="0.25">
      <c r="A1" s="121"/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  <c r="AD1" s="121"/>
      <c r="AE1" s="121"/>
      <c r="AF1" s="121"/>
      <c r="AG1" s="121"/>
      <c r="AH1" s="121"/>
      <c r="AI1" s="121"/>
      <c r="AJ1" s="121"/>
      <c r="AK1" s="121"/>
      <c r="AL1" s="121"/>
      <c r="AM1" s="121"/>
    </row>
    <row r="2" spans="1:47" ht="15.75" thickBot="1" x14ac:dyDescent="0.3">
      <c r="A2" s="121"/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  <c r="AK2" s="121"/>
      <c r="AL2" s="121"/>
      <c r="AM2" s="121"/>
      <c r="AN2" s="121"/>
      <c r="AO2" s="121"/>
      <c r="AP2" s="121"/>
      <c r="AQ2" s="121"/>
      <c r="AR2" s="121"/>
      <c r="AS2" s="121"/>
      <c r="AT2" s="121"/>
      <c r="AU2" s="121"/>
    </row>
    <row r="3" spans="1:47" ht="15.75" thickBot="1" x14ac:dyDescent="0.3">
      <c r="A3" s="121"/>
      <c r="B3" s="309" t="s">
        <v>565</v>
      </c>
      <c r="C3" s="308" t="s">
        <v>529</v>
      </c>
      <c r="D3" s="308" t="s">
        <v>566</v>
      </c>
      <c r="E3" s="308" t="s">
        <v>567</v>
      </c>
      <c r="F3" s="308" t="s">
        <v>613</v>
      </c>
      <c r="G3" s="308" t="s">
        <v>599</v>
      </c>
      <c r="H3" s="308" t="s">
        <v>600</v>
      </c>
      <c r="I3" s="308" t="s">
        <v>601</v>
      </c>
      <c r="J3" s="308" t="s">
        <v>602</v>
      </c>
      <c r="K3" s="308" t="s">
        <v>603</v>
      </c>
      <c r="L3" s="308" t="s">
        <v>604</v>
      </c>
      <c r="M3" s="308" t="s">
        <v>605</v>
      </c>
      <c r="N3" s="307" t="s">
        <v>612</v>
      </c>
      <c r="O3" s="307" t="s">
        <v>631</v>
      </c>
      <c r="P3" s="307" t="s">
        <v>632</v>
      </c>
      <c r="Q3" s="307" t="s">
        <v>633</v>
      </c>
      <c r="R3" s="307" t="s">
        <v>634</v>
      </c>
      <c r="S3" s="306" t="s">
        <v>574</v>
      </c>
      <c r="T3" s="305" t="s">
        <v>575</v>
      </c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1"/>
      <c r="AQ3" s="121"/>
      <c r="AR3" s="121"/>
      <c r="AS3" s="121"/>
      <c r="AT3" s="121"/>
      <c r="AU3" s="121"/>
    </row>
    <row r="4" spans="1:47" ht="33.75" customHeight="1" thickBot="1" x14ac:dyDescent="0.3">
      <c r="A4" s="121"/>
      <c r="B4" s="222" t="s">
        <v>42</v>
      </c>
      <c r="C4" s="223" t="s">
        <v>44</v>
      </c>
      <c r="D4" s="223" t="s">
        <v>611</v>
      </c>
      <c r="E4" s="223" t="s">
        <v>593</v>
      </c>
      <c r="F4" s="304" t="s">
        <v>440</v>
      </c>
      <c r="G4" s="302" t="s">
        <v>440</v>
      </c>
      <c r="H4" s="302" t="s">
        <v>440</v>
      </c>
      <c r="I4" s="303">
        <v>10200</v>
      </c>
      <c r="J4" s="303">
        <v>10000</v>
      </c>
      <c r="K4" s="303">
        <v>20250</v>
      </c>
      <c r="L4" s="303">
        <v>26000</v>
      </c>
      <c r="M4" s="303">
        <v>26600</v>
      </c>
      <c r="N4" s="303">
        <v>18100</v>
      </c>
      <c r="O4" s="677">
        <v>16000</v>
      </c>
      <c r="P4" s="302"/>
      <c r="Q4" s="302"/>
      <c r="R4" s="302"/>
      <c r="S4" s="277" t="s">
        <v>576</v>
      </c>
      <c r="T4" s="278" t="s">
        <v>607</v>
      </c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1"/>
      <c r="AM4" s="121"/>
      <c r="AN4" s="121"/>
      <c r="AO4" s="121"/>
      <c r="AP4" s="121"/>
      <c r="AQ4" s="121"/>
      <c r="AR4" s="121"/>
      <c r="AS4" s="121"/>
      <c r="AT4" s="121"/>
      <c r="AU4" s="121"/>
    </row>
    <row r="5" spans="1:47" ht="52.5" customHeight="1" thickBot="1" x14ac:dyDescent="0.3">
      <c r="A5" s="121"/>
      <c r="B5" s="224" t="s">
        <v>42</v>
      </c>
      <c r="C5" s="251" t="s">
        <v>44</v>
      </c>
      <c r="D5" s="251" t="s">
        <v>610</v>
      </c>
      <c r="E5" s="251" t="s">
        <v>593</v>
      </c>
      <c r="F5" s="301" t="s">
        <v>440</v>
      </c>
      <c r="G5" s="297" t="s">
        <v>440</v>
      </c>
      <c r="H5" s="297" t="s">
        <v>440</v>
      </c>
      <c r="I5" s="300">
        <v>8000</v>
      </c>
      <c r="J5" s="300">
        <v>12000</v>
      </c>
      <c r="K5" s="300">
        <v>8000</v>
      </c>
      <c r="L5" s="300">
        <v>8000</v>
      </c>
      <c r="M5" s="300">
        <v>8000</v>
      </c>
      <c r="N5" s="678">
        <v>8000</v>
      </c>
      <c r="O5" s="678">
        <v>8000</v>
      </c>
      <c r="P5" s="297"/>
      <c r="Q5" s="297"/>
      <c r="R5" s="297"/>
      <c r="S5" s="110" t="s">
        <v>609</v>
      </c>
      <c r="T5" s="278" t="s">
        <v>607</v>
      </c>
      <c r="U5" s="121"/>
      <c r="V5" s="121"/>
      <c r="W5" s="121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  <c r="AI5" s="121"/>
      <c r="AJ5" s="121"/>
      <c r="AK5" s="121"/>
      <c r="AL5" s="121"/>
      <c r="AM5" s="121"/>
      <c r="AN5" s="121"/>
      <c r="AO5" s="121"/>
      <c r="AP5" s="121"/>
      <c r="AQ5" s="121"/>
      <c r="AR5" s="121"/>
      <c r="AS5" s="121"/>
      <c r="AT5" s="121"/>
      <c r="AU5" s="121"/>
    </row>
    <row r="6" spans="1:47" ht="47.25" customHeight="1" thickBot="1" x14ac:dyDescent="0.3">
      <c r="A6" s="121"/>
      <c r="B6" s="224" t="s">
        <v>228</v>
      </c>
      <c r="C6" s="251" t="s">
        <v>227</v>
      </c>
      <c r="D6" s="251" t="s">
        <v>229</v>
      </c>
      <c r="E6" s="251" t="s">
        <v>578</v>
      </c>
      <c r="F6" s="299">
        <v>117600</v>
      </c>
      <c r="G6" s="297" t="s">
        <v>440</v>
      </c>
      <c r="H6" s="297" t="s">
        <v>440</v>
      </c>
      <c r="I6" s="297" t="s">
        <v>440</v>
      </c>
      <c r="J6" s="297" t="s">
        <v>440</v>
      </c>
      <c r="K6" s="297" t="s">
        <v>440</v>
      </c>
      <c r="L6" s="297" t="s">
        <v>440</v>
      </c>
      <c r="M6" s="298">
        <v>6030</v>
      </c>
      <c r="N6" s="298">
        <v>6030</v>
      </c>
      <c r="O6" s="678">
        <v>6030</v>
      </c>
      <c r="P6" s="297"/>
      <c r="Q6" s="297"/>
      <c r="R6" s="297"/>
      <c r="S6" s="110" t="s">
        <v>576</v>
      </c>
      <c r="T6" s="278" t="s">
        <v>607</v>
      </c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  <c r="AS6" s="121"/>
      <c r="AT6" s="121"/>
      <c r="AU6" s="121"/>
    </row>
    <row r="7" spans="1:47" ht="45" customHeight="1" thickBot="1" x14ac:dyDescent="0.3">
      <c r="A7" s="121"/>
      <c r="B7" s="225" t="s">
        <v>549</v>
      </c>
      <c r="C7" s="226" t="s">
        <v>227</v>
      </c>
      <c r="D7" s="226" t="s">
        <v>608</v>
      </c>
      <c r="E7" s="226" t="s">
        <v>578</v>
      </c>
      <c r="F7" s="296">
        <v>9800</v>
      </c>
      <c r="G7" s="295" t="s">
        <v>440</v>
      </c>
      <c r="H7" s="295" t="s">
        <v>440</v>
      </c>
      <c r="I7" s="295" t="s">
        <v>440</v>
      </c>
      <c r="J7" s="295" t="s">
        <v>440</v>
      </c>
      <c r="K7" s="295" t="s">
        <v>440</v>
      </c>
      <c r="L7" s="295" t="s">
        <v>440</v>
      </c>
      <c r="M7" s="232"/>
      <c r="N7" s="294">
        <v>3000</v>
      </c>
      <c r="O7" s="676">
        <v>3000</v>
      </c>
      <c r="P7" s="294"/>
      <c r="Q7" s="294"/>
      <c r="R7" s="294"/>
      <c r="S7" s="268" t="s">
        <v>576</v>
      </c>
      <c r="T7" s="278" t="s">
        <v>607</v>
      </c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</row>
    <row r="8" spans="1:47" x14ac:dyDescent="0.25">
      <c r="A8" s="121"/>
      <c r="B8" s="121"/>
      <c r="C8" s="121"/>
      <c r="D8" s="121"/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/>
      <c r="Y8" s="121"/>
      <c r="Z8" s="121"/>
      <c r="AA8" s="121"/>
      <c r="AB8" s="121"/>
      <c r="AC8" s="121"/>
      <c r="AD8" s="121"/>
      <c r="AE8" s="121"/>
      <c r="AF8" s="121"/>
      <c r="AG8" s="121"/>
      <c r="AH8" s="121"/>
      <c r="AI8" s="121"/>
      <c r="AJ8" s="121"/>
      <c r="AK8" s="121"/>
      <c r="AL8" s="121"/>
      <c r="AM8" s="121"/>
      <c r="AN8" s="121"/>
      <c r="AO8" s="121"/>
      <c r="AP8" s="121"/>
      <c r="AQ8" s="121"/>
      <c r="AR8" s="121"/>
      <c r="AS8" s="121"/>
      <c r="AT8" s="121"/>
      <c r="AU8" s="121"/>
    </row>
    <row r="9" spans="1:47" x14ac:dyDescent="0.25">
      <c r="A9" s="121"/>
      <c r="B9" s="121"/>
      <c r="C9" s="121"/>
      <c r="D9" s="121"/>
      <c r="E9" s="121"/>
      <c r="F9" s="121"/>
      <c r="G9" s="121"/>
      <c r="H9" s="121"/>
      <c r="I9" s="121"/>
      <c r="J9" s="121"/>
      <c r="K9" s="121"/>
      <c r="L9" s="121"/>
      <c r="M9" s="121"/>
      <c r="N9" s="121"/>
      <c r="O9" s="121"/>
      <c r="P9" s="121"/>
      <c r="Q9" s="121"/>
      <c r="R9" s="121"/>
      <c r="S9" s="121"/>
      <c r="T9" s="121"/>
      <c r="U9" s="121"/>
      <c r="V9" s="121"/>
      <c r="W9" s="121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21"/>
      <c r="AL9" s="121"/>
      <c r="AM9" s="121"/>
      <c r="AN9" s="121"/>
      <c r="AO9" s="121"/>
      <c r="AP9" s="121"/>
      <c r="AQ9" s="121"/>
      <c r="AR9" s="121"/>
      <c r="AS9" s="121"/>
      <c r="AT9" s="121"/>
      <c r="AU9" s="121"/>
    </row>
    <row r="10" spans="1:47" x14ac:dyDescent="0.25">
      <c r="A10" s="121"/>
      <c r="B10" s="121"/>
      <c r="C10" s="121"/>
      <c r="D10" s="121"/>
      <c r="E10" s="121"/>
      <c r="F10" s="121"/>
      <c r="G10" s="121"/>
      <c r="H10" s="121"/>
      <c r="I10" s="121"/>
      <c r="J10" s="121"/>
      <c r="K10" s="121"/>
      <c r="L10" s="121"/>
      <c r="M10" s="121"/>
      <c r="N10" s="121"/>
      <c r="O10" s="121"/>
      <c r="P10" s="121"/>
      <c r="Q10" s="121"/>
      <c r="R10" s="121"/>
      <c r="S10" s="121"/>
      <c r="T10" s="121"/>
      <c r="U10" s="121"/>
      <c r="V10" s="121"/>
      <c r="W10" s="121"/>
      <c r="X10" s="121"/>
      <c r="Y10" s="121"/>
      <c r="Z10" s="121"/>
      <c r="AA10" s="121"/>
      <c r="AB10" s="121"/>
      <c r="AC10" s="121"/>
      <c r="AD10" s="121"/>
      <c r="AE10" s="121"/>
      <c r="AF10" s="121"/>
      <c r="AG10" s="121"/>
      <c r="AH10" s="121"/>
      <c r="AI10" s="121"/>
      <c r="AJ10" s="121"/>
      <c r="AK10" s="121"/>
      <c r="AL10" s="121"/>
      <c r="AM10" s="121"/>
      <c r="AN10" s="121"/>
      <c r="AO10" s="121"/>
      <c r="AP10" s="121"/>
      <c r="AQ10" s="121"/>
      <c r="AR10" s="121"/>
      <c r="AS10" s="121"/>
      <c r="AT10" s="121"/>
      <c r="AU10" s="121"/>
    </row>
    <row r="11" spans="1:47" x14ac:dyDescent="0.25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121"/>
      <c r="Q11" s="121"/>
      <c r="R11" s="121"/>
      <c r="S11" s="121"/>
      <c r="T11" s="121"/>
      <c r="U11" s="121"/>
      <c r="V11" s="121"/>
      <c r="W11" s="121"/>
      <c r="X11" s="121"/>
      <c r="Y11" s="121"/>
      <c r="Z11" s="121"/>
      <c r="AA11" s="121"/>
      <c r="AB11" s="121"/>
      <c r="AC11" s="121"/>
      <c r="AD11" s="121"/>
      <c r="AE11" s="121"/>
      <c r="AF11" s="121"/>
      <c r="AG11" s="121"/>
      <c r="AH11" s="121"/>
      <c r="AI11" s="121"/>
      <c r="AJ11" s="121"/>
      <c r="AK11" s="121"/>
      <c r="AL11" s="121"/>
      <c r="AM11" s="121"/>
      <c r="AN11" s="121"/>
      <c r="AO11" s="121"/>
      <c r="AP11" s="121"/>
      <c r="AQ11" s="121"/>
      <c r="AR11" s="121"/>
      <c r="AS11" s="121"/>
      <c r="AT11" s="121"/>
      <c r="AU11" s="121"/>
    </row>
    <row r="12" spans="1:47" x14ac:dyDescent="0.25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</row>
    <row r="13" spans="1:47" x14ac:dyDescent="0.25">
      <c r="A13" s="121"/>
      <c r="B13" s="121"/>
      <c r="C13" s="121"/>
      <c r="D13" s="121"/>
      <c r="E13" s="121"/>
      <c r="F13" s="121"/>
      <c r="G13" s="121"/>
      <c r="H13" s="121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1"/>
      <c r="AM13" s="121"/>
      <c r="AN13" s="121"/>
      <c r="AO13" s="121"/>
      <c r="AP13" s="121"/>
      <c r="AQ13" s="121"/>
      <c r="AR13" s="121"/>
      <c r="AS13" s="121"/>
      <c r="AT13" s="121"/>
      <c r="AU13" s="121"/>
    </row>
    <row r="14" spans="1:47" x14ac:dyDescent="0.25">
      <c r="A14" s="121"/>
      <c r="B14" s="121"/>
      <c r="C14" s="121"/>
      <c r="D14" s="121"/>
      <c r="E14" s="121"/>
      <c r="F14" s="121"/>
      <c r="G14" s="121"/>
      <c r="H14" s="121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1"/>
      <c r="AM14" s="121"/>
      <c r="AN14" s="121"/>
      <c r="AO14" s="121"/>
      <c r="AP14" s="121"/>
      <c r="AQ14" s="121"/>
      <c r="AR14" s="121"/>
      <c r="AS14" s="121"/>
      <c r="AT14" s="121"/>
      <c r="AU14" s="121"/>
    </row>
    <row r="15" spans="1:47" x14ac:dyDescent="0.25">
      <c r="A15" s="121"/>
      <c r="B15" s="121"/>
      <c r="C15" s="121"/>
      <c r="D15" s="121"/>
      <c r="E15" s="121"/>
      <c r="F15" s="121"/>
      <c r="G15" s="121"/>
      <c r="H15" s="121" t="s">
        <v>996</v>
      </c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21"/>
      <c r="W15" s="121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1"/>
      <c r="AM15" s="121"/>
      <c r="AN15" s="121"/>
      <c r="AO15" s="121"/>
      <c r="AP15" s="121"/>
      <c r="AQ15" s="121"/>
      <c r="AR15" s="121"/>
      <c r="AS15" s="121"/>
      <c r="AT15" s="121"/>
      <c r="AU15" s="121"/>
    </row>
    <row r="16" spans="1:47" x14ac:dyDescent="0.25">
      <c r="A16" s="121"/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1"/>
      <c r="AR16" s="121"/>
      <c r="AS16" s="121"/>
      <c r="AT16" s="121"/>
      <c r="AU16" s="121"/>
    </row>
    <row r="17" spans="1:47" x14ac:dyDescent="0.25">
      <c r="A17" s="121"/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  <c r="AN17" s="121"/>
      <c r="AO17" s="121"/>
      <c r="AP17" s="121"/>
      <c r="AQ17" s="121"/>
      <c r="AR17" s="121"/>
      <c r="AS17" s="121"/>
      <c r="AT17" s="121"/>
      <c r="AU17" s="121"/>
    </row>
    <row r="18" spans="1:47" x14ac:dyDescent="0.25">
      <c r="A18" s="121"/>
      <c r="B18" s="121"/>
      <c r="C18" s="121"/>
      <c r="D18" s="121"/>
      <c r="E18" s="121"/>
      <c r="F18" s="121"/>
      <c r="G18" s="121"/>
      <c r="H18" s="121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1"/>
      <c r="AM18" s="121"/>
      <c r="AN18" s="121"/>
      <c r="AO18" s="121"/>
      <c r="AP18" s="121"/>
      <c r="AQ18" s="121"/>
      <c r="AR18" s="121"/>
      <c r="AS18" s="121"/>
      <c r="AT18" s="121"/>
      <c r="AU18" s="121"/>
    </row>
    <row r="19" spans="1:47" x14ac:dyDescent="0.25">
      <c r="A19" s="121"/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O19" s="121"/>
      <c r="AP19" s="121"/>
      <c r="AQ19" s="121"/>
      <c r="AR19" s="121"/>
      <c r="AS19" s="121"/>
      <c r="AT19" s="121"/>
      <c r="AU19" s="121"/>
    </row>
    <row r="20" spans="1:47" x14ac:dyDescent="0.25">
      <c r="A20" s="121"/>
      <c r="B20" s="121"/>
      <c r="C20" s="121"/>
      <c r="D20" s="121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1"/>
      <c r="AM20" s="121"/>
      <c r="AN20" s="121"/>
      <c r="AO20" s="121"/>
      <c r="AP20" s="121"/>
      <c r="AQ20" s="121"/>
      <c r="AR20" s="121"/>
      <c r="AS20" s="121"/>
      <c r="AT20" s="121"/>
      <c r="AU20" s="121"/>
    </row>
    <row r="21" spans="1:47" x14ac:dyDescent="0.25">
      <c r="A21" s="121"/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1"/>
      <c r="AR21" s="121"/>
      <c r="AS21" s="121"/>
      <c r="AT21" s="121"/>
      <c r="AU21" s="121"/>
    </row>
    <row r="22" spans="1:47" x14ac:dyDescent="0.25">
      <c r="A22" s="121"/>
      <c r="B22" s="121"/>
      <c r="C22" s="121"/>
      <c r="D22" s="121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</row>
    <row r="23" spans="1:47" x14ac:dyDescent="0.25">
      <c r="A23" s="121"/>
      <c r="B23" s="121"/>
      <c r="C23" s="121"/>
      <c r="D23" s="121"/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  <c r="AN23" s="121"/>
      <c r="AO23" s="121"/>
      <c r="AP23" s="121"/>
      <c r="AQ23" s="121"/>
      <c r="AR23" s="121"/>
      <c r="AS23" s="121"/>
      <c r="AT23" s="121"/>
      <c r="AU23" s="121"/>
    </row>
    <row r="24" spans="1:47" x14ac:dyDescent="0.25">
      <c r="A24" s="121"/>
      <c r="B24" s="121"/>
      <c r="C24" s="121"/>
      <c r="D24" s="121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1"/>
      <c r="AM24" s="121"/>
      <c r="AN24" s="121"/>
      <c r="AO24" s="121"/>
      <c r="AP24" s="121"/>
      <c r="AQ24" s="121"/>
      <c r="AR24" s="121"/>
      <c r="AS24" s="121"/>
      <c r="AT24" s="121"/>
      <c r="AU24" s="121"/>
    </row>
    <row r="25" spans="1:47" x14ac:dyDescent="0.25">
      <c r="A25" s="121"/>
      <c r="B25" s="121"/>
      <c r="C25" s="121"/>
      <c r="D25" s="121"/>
      <c r="E25" s="121"/>
      <c r="F25" s="121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</row>
    <row r="26" spans="1:47" x14ac:dyDescent="0.25">
      <c r="A26" s="121"/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</row>
    <row r="27" spans="1:47" x14ac:dyDescent="0.25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</row>
    <row r="28" spans="1:47" x14ac:dyDescent="0.25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</row>
    <row r="29" spans="1:47" x14ac:dyDescent="0.25">
      <c r="A29" s="121"/>
      <c r="B29" s="121"/>
      <c r="C29" s="121"/>
      <c r="D29" s="121"/>
      <c r="E29" s="121"/>
      <c r="F29" s="121"/>
      <c r="G29" s="121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</row>
    <row r="30" spans="1:47" x14ac:dyDescent="0.25">
      <c r="A30" s="121"/>
      <c r="B30" s="121"/>
      <c r="C30" s="121"/>
      <c r="D30" s="121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</row>
    <row r="31" spans="1:47" x14ac:dyDescent="0.25">
      <c r="A31" s="121"/>
      <c r="B31" s="121"/>
      <c r="C31" s="121"/>
      <c r="D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</row>
    <row r="32" spans="1:47" x14ac:dyDescent="0.25">
      <c r="A32" s="121"/>
      <c r="B32" s="121"/>
      <c r="C32" s="121"/>
      <c r="D32" s="121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21"/>
      <c r="AH32" s="121"/>
      <c r="AI32" s="121"/>
    </row>
    <row r="33" spans="1:35" x14ac:dyDescent="0.25">
      <c r="A33" s="121"/>
      <c r="B33" s="121"/>
      <c r="C33" s="121"/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</row>
    <row r="34" spans="1:35" x14ac:dyDescent="0.25">
      <c r="A34" s="121"/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</row>
    <row r="35" spans="1:35" x14ac:dyDescent="0.25">
      <c r="A35" s="121"/>
      <c r="B35" s="121"/>
      <c r="C35" s="121"/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</row>
    <row r="36" spans="1:35" x14ac:dyDescent="0.25">
      <c r="A36" s="121"/>
      <c r="B36" s="121"/>
      <c r="C36" s="121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</row>
    <row r="37" spans="1:35" x14ac:dyDescent="0.25">
      <c r="A37" s="121"/>
      <c r="B37" s="121"/>
      <c r="C37" s="121"/>
      <c r="D37" s="121"/>
      <c r="E37" s="121"/>
      <c r="F37" s="121"/>
      <c r="G37" s="121"/>
      <c r="H37" s="121"/>
      <c r="I37" s="121"/>
      <c r="J37" s="121"/>
      <c r="K37" s="121"/>
      <c r="L37" s="121"/>
      <c r="M37" s="121"/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21"/>
      <c r="AH37" s="121"/>
      <c r="AI37" s="121"/>
    </row>
    <row r="38" spans="1:35" x14ac:dyDescent="0.25">
      <c r="A38" s="121"/>
      <c r="B38" s="121"/>
      <c r="C38" s="121"/>
      <c r="D38" s="121"/>
      <c r="E38" s="121"/>
      <c r="F38" s="121"/>
      <c r="G38" s="121"/>
      <c r="H38" s="121"/>
      <c r="I38" s="121"/>
      <c r="J38" s="121"/>
      <c r="K38" s="121"/>
      <c r="L38" s="121"/>
      <c r="M38" s="121"/>
      <c r="N38" s="121"/>
      <c r="O38" s="121"/>
      <c r="P38" s="121"/>
      <c r="Q38" s="121"/>
      <c r="R38" s="121"/>
      <c r="S38" s="121"/>
      <c r="T38" s="121"/>
      <c r="U38" s="121"/>
      <c r="V38" s="121"/>
      <c r="W38" s="121"/>
      <c r="X38" s="121"/>
      <c r="Y38" s="121"/>
      <c r="Z38" s="121"/>
      <c r="AA38" s="121"/>
      <c r="AB38" s="121"/>
      <c r="AC38" s="121"/>
      <c r="AD38" s="121"/>
      <c r="AE38" s="121"/>
      <c r="AF38" s="121"/>
      <c r="AG38" s="121"/>
      <c r="AH38" s="121"/>
      <c r="AI38" s="121"/>
    </row>
    <row r="39" spans="1:35" x14ac:dyDescent="0.25">
      <c r="A39" s="121"/>
      <c r="B39" s="121"/>
      <c r="C39" s="121"/>
      <c r="D39" s="121"/>
      <c r="E39" s="121"/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1"/>
      <c r="AI39" s="121"/>
    </row>
    <row r="40" spans="1:35" x14ac:dyDescent="0.25">
      <c r="A40" s="121"/>
      <c r="B40" s="121"/>
      <c r="C40" s="121"/>
      <c r="D40" s="121"/>
      <c r="E40" s="121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1"/>
      <c r="AI40" s="121"/>
    </row>
    <row r="41" spans="1:35" x14ac:dyDescent="0.25">
      <c r="A41" s="121"/>
      <c r="B41" s="121"/>
      <c r="C41" s="121"/>
      <c r="D41" s="121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</row>
    <row r="42" spans="1:35" x14ac:dyDescent="0.25">
      <c r="A42" s="121"/>
      <c r="B42" s="121"/>
      <c r="C42" s="121"/>
      <c r="D42" s="121"/>
      <c r="E42" s="121"/>
      <c r="F42" s="121"/>
      <c r="G42" s="121"/>
      <c r="H42" s="121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21"/>
      <c r="T42" s="121"/>
      <c r="U42" s="121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/>
      <c r="AH42" s="121"/>
      <c r="AI42" s="121"/>
    </row>
    <row r="43" spans="1:35" x14ac:dyDescent="0.25">
      <c r="A43" s="121"/>
      <c r="B43" s="121"/>
      <c r="C43" s="121"/>
      <c r="D43" s="121"/>
      <c r="E43" s="121"/>
      <c r="F43" s="121"/>
      <c r="G43" s="121"/>
      <c r="H43" s="121"/>
      <c r="I43" s="121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</row>
    <row r="44" spans="1:35" x14ac:dyDescent="0.25">
      <c r="A44" s="121"/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</row>
    <row r="45" spans="1:35" x14ac:dyDescent="0.25">
      <c r="A45" s="121"/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21"/>
      <c r="AH45" s="121"/>
      <c r="AI45" s="121"/>
    </row>
    <row r="46" spans="1:35" x14ac:dyDescent="0.25">
      <c r="A46" s="121"/>
      <c r="B46" s="121"/>
      <c r="C46" s="121"/>
      <c r="D46" s="121"/>
      <c r="E46" s="121"/>
      <c r="F46" s="121"/>
      <c r="G46" s="121"/>
      <c r="H46" s="121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  <c r="Y46" s="121"/>
      <c r="Z46" s="121"/>
      <c r="AA46" s="121"/>
      <c r="AB46" s="121"/>
      <c r="AC46" s="121"/>
      <c r="AD46" s="121"/>
      <c r="AE46" s="121"/>
      <c r="AF46" s="121"/>
      <c r="AG46" s="121"/>
      <c r="AH46" s="121"/>
      <c r="AI46" s="121"/>
    </row>
    <row r="47" spans="1:35" x14ac:dyDescent="0.25">
      <c r="A47" s="121"/>
      <c r="B47" s="121"/>
      <c r="C47" s="121"/>
      <c r="D47" s="121"/>
      <c r="E47" s="121"/>
      <c r="F47" s="121"/>
      <c r="G47" s="121"/>
      <c r="H47" s="121"/>
      <c r="I47" s="121"/>
      <c r="J47" s="121"/>
      <c r="K47" s="121"/>
      <c r="L47" s="121"/>
      <c r="M47" s="121"/>
      <c r="N47" s="121"/>
      <c r="O47" s="121"/>
      <c r="P47" s="121"/>
      <c r="Q47" s="121"/>
      <c r="R47" s="121"/>
      <c r="S47" s="121"/>
      <c r="T47" s="121"/>
      <c r="U47" s="121"/>
      <c r="V47" s="121"/>
      <c r="W47" s="121"/>
      <c r="X47" s="121"/>
      <c r="Y47" s="121"/>
      <c r="Z47" s="121"/>
      <c r="AA47" s="121"/>
      <c r="AB47" s="121"/>
      <c r="AC47" s="121"/>
      <c r="AD47" s="121"/>
      <c r="AE47" s="121"/>
      <c r="AF47" s="121"/>
      <c r="AG47" s="121"/>
      <c r="AH47" s="121"/>
      <c r="AI47" s="121"/>
    </row>
    <row r="48" spans="1:35" x14ac:dyDescent="0.25">
      <c r="A48" s="121"/>
      <c r="B48" s="121"/>
      <c r="C48" s="121"/>
      <c r="D48" s="121"/>
      <c r="E48" s="121"/>
      <c r="F48" s="121"/>
      <c r="G48" s="121"/>
      <c r="H48" s="121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T48" s="121"/>
      <c r="U48" s="121"/>
      <c r="V48" s="121"/>
      <c r="W48" s="121"/>
      <c r="X48" s="121"/>
      <c r="Y48" s="121"/>
      <c r="Z48" s="121"/>
      <c r="AA48" s="121"/>
      <c r="AB48" s="121"/>
      <c r="AC48" s="121"/>
      <c r="AD48" s="121"/>
      <c r="AE48" s="121"/>
      <c r="AF48" s="121"/>
      <c r="AG48" s="121"/>
      <c r="AH48" s="121"/>
      <c r="AI48" s="121"/>
    </row>
    <row r="49" spans="1:35" x14ac:dyDescent="0.25">
      <c r="A49" s="121"/>
      <c r="B49" s="121"/>
      <c r="C49" s="121"/>
      <c r="D49" s="121"/>
      <c r="E49" s="121"/>
      <c r="F49" s="121"/>
      <c r="G49" s="121"/>
      <c r="H49" s="121"/>
      <c r="I49" s="121"/>
      <c r="J49" s="121"/>
      <c r="K49" s="121"/>
      <c r="L49" s="121"/>
      <c r="M49" s="121"/>
      <c r="N49" s="121"/>
      <c r="O49" s="121"/>
      <c r="P49" s="121"/>
      <c r="Q49" s="121"/>
      <c r="R49" s="121"/>
      <c r="S49" s="121"/>
      <c r="T49" s="121"/>
      <c r="U49" s="121"/>
      <c r="V49" s="121"/>
      <c r="W49" s="121"/>
      <c r="X49" s="121"/>
      <c r="Y49" s="121"/>
      <c r="Z49" s="121"/>
      <c r="AA49" s="121"/>
      <c r="AB49" s="121"/>
      <c r="AC49" s="121"/>
      <c r="AD49" s="121"/>
      <c r="AE49" s="121"/>
      <c r="AF49" s="121"/>
      <c r="AG49" s="121"/>
      <c r="AH49" s="121"/>
      <c r="AI49" s="121"/>
    </row>
    <row r="50" spans="1:35" x14ac:dyDescent="0.25">
      <c r="A50" s="121"/>
      <c r="B50" s="121"/>
      <c r="C50" s="121"/>
      <c r="D50" s="121"/>
      <c r="E50" s="121"/>
      <c r="F50" s="121"/>
      <c r="G50" s="121"/>
      <c r="H50" s="121"/>
      <c r="I50" s="121"/>
      <c r="J50" s="121"/>
      <c r="K50" s="121"/>
      <c r="L50" s="121"/>
      <c r="M50" s="121"/>
      <c r="N50" s="121"/>
      <c r="O50" s="121"/>
      <c r="P50" s="121"/>
      <c r="Q50" s="121"/>
      <c r="R50" s="121"/>
      <c r="S50" s="121"/>
      <c r="T50" s="121"/>
      <c r="U50" s="121"/>
      <c r="V50" s="121"/>
      <c r="W50" s="121"/>
      <c r="X50" s="121"/>
      <c r="Y50" s="121"/>
      <c r="Z50" s="121"/>
      <c r="AA50" s="121"/>
      <c r="AB50" s="121"/>
      <c r="AC50" s="121"/>
      <c r="AD50" s="121"/>
      <c r="AE50" s="121"/>
      <c r="AF50" s="121"/>
      <c r="AG50" s="121"/>
      <c r="AH50" s="121"/>
      <c r="AI50" s="121"/>
    </row>
    <row r="51" spans="1:35" x14ac:dyDescent="0.25">
      <c r="A51" s="121"/>
      <c r="B51" s="121"/>
      <c r="C51" s="121"/>
      <c r="D51" s="121"/>
      <c r="E51" s="121"/>
      <c r="F51" s="121"/>
      <c r="G51" s="121"/>
      <c r="H51" s="121"/>
      <c r="I51" s="121"/>
      <c r="J51" s="121"/>
      <c r="K51" s="121"/>
      <c r="L51" s="121"/>
      <c r="M51" s="121"/>
      <c r="N51" s="121"/>
      <c r="O51" s="121"/>
      <c r="P51" s="121"/>
      <c r="Q51" s="121"/>
      <c r="R51" s="121"/>
      <c r="S51" s="121"/>
      <c r="T51" s="121"/>
      <c r="U51" s="121"/>
      <c r="V51" s="121"/>
      <c r="W51" s="121"/>
      <c r="X51" s="121"/>
      <c r="Y51" s="121"/>
      <c r="Z51" s="121"/>
      <c r="AA51" s="121"/>
      <c r="AB51" s="121"/>
      <c r="AC51" s="121"/>
      <c r="AD51" s="121"/>
      <c r="AE51" s="121"/>
      <c r="AF51" s="121"/>
      <c r="AG51" s="121"/>
      <c r="AH51" s="121"/>
      <c r="AI51" s="121"/>
    </row>
    <row r="52" spans="1:35" x14ac:dyDescent="0.25">
      <c r="A52" s="121"/>
      <c r="B52" s="121"/>
      <c r="C52" s="121"/>
      <c r="D52" s="121"/>
      <c r="E52" s="121"/>
      <c r="F52" s="121"/>
      <c r="G52" s="121"/>
      <c r="H52" s="121"/>
      <c r="I52" s="121"/>
      <c r="J52" s="121"/>
      <c r="K52" s="121"/>
      <c r="L52" s="121"/>
      <c r="M52" s="121"/>
      <c r="N52" s="121"/>
      <c r="O52" s="121"/>
      <c r="P52" s="121"/>
      <c r="Q52" s="121"/>
      <c r="R52" s="121"/>
      <c r="S52" s="121"/>
      <c r="T52" s="121"/>
      <c r="U52" s="121"/>
      <c r="V52" s="121"/>
      <c r="W52" s="121"/>
      <c r="X52" s="121"/>
      <c r="Y52" s="121"/>
      <c r="Z52" s="121"/>
      <c r="AA52" s="121"/>
      <c r="AB52" s="121"/>
      <c r="AC52" s="121"/>
      <c r="AD52" s="121"/>
      <c r="AE52" s="121"/>
      <c r="AF52" s="121"/>
      <c r="AG52" s="121"/>
      <c r="AH52" s="121"/>
      <c r="AI52" s="121"/>
    </row>
    <row r="53" spans="1:35" x14ac:dyDescent="0.25">
      <c r="A53" s="121"/>
      <c r="B53" s="121"/>
      <c r="C53" s="121"/>
      <c r="D53" s="121"/>
      <c r="E53" s="121"/>
      <c r="F53" s="121"/>
      <c r="G53" s="121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T53" s="121"/>
      <c r="U53" s="121"/>
      <c r="V53" s="121"/>
      <c r="W53" s="121"/>
      <c r="X53" s="121"/>
      <c r="Y53" s="121"/>
      <c r="Z53" s="121"/>
      <c r="AA53" s="121"/>
      <c r="AB53" s="121"/>
      <c r="AC53" s="121"/>
      <c r="AD53" s="121"/>
      <c r="AE53" s="121"/>
      <c r="AF53" s="121"/>
      <c r="AG53" s="121"/>
      <c r="AH53" s="121"/>
      <c r="AI53" s="121"/>
    </row>
    <row r="54" spans="1:35" x14ac:dyDescent="0.25">
      <c r="A54" s="121"/>
      <c r="B54" s="121"/>
      <c r="C54" s="121"/>
      <c r="D54" s="121"/>
      <c r="E54" s="121"/>
      <c r="F54" s="121"/>
      <c r="G54" s="121"/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  <c r="AA54" s="121"/>
      <c r="AB54" s="121"/>
      <c r="AC54" s="121"/>
      <c r="AD54" s="121"/>
      <c r="AE54" s="121"/>
      <c r="AF54" s="121"/>
      <c r="AG54" s="121"/>
      <c r="AH54" s="121"/>
      <c r="AI54" s="121"/>
    </row>
    <row r="55" spans="1:35" x14ac:dyDescent="0.25">
      <c r="A55" s="121"/>
      <c r="B55" s="121"/>
      <c r="C55" s="121"/>
      <c r="D55" s="121"/>
      <c r="E55" s="121"/>
      <c r="F55" s="121"/>
      <c r="G55" s="121"/>
      <c r="H55" s="121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  <c r="Z55" s="121"/>
      <c r="AA55" s="121"/>
      <c r="AB55" s="121"/>
      <c r="AC55" s="121"/>
      <c r="AD55" s="121"/>
      <c r="AE55" s="121"/>
      <c r="AF55" s="121"/>
      <c r="AG55" s="121"/>
      <c r="AH55" s="121"/>
      <c r="AI55" s="121"/>
    </row>
    <row r="56" spans="1:35" x14ac:dyDescent="0.25">
      <c r="A56" s="121"/>
      <c r="B56" s="121"/>
      <c r="C56" s="121"/>
      <c r="D56" s="121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/>
      <c r="AG56" s="121"/>
      <c r="AH56" s="121"/>
      <c r="AI56" s="121"/>
    </row>
    <row r="57" spans="1:35" x14ac:dyDescent="0.25">
      <c r="A57" s="121"/>
      <c r="B57" s="121"/>
      <c r="C57" s="121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</row>
    <row r="58" spans="1:35" x14ac:dyDescent="0.25">
      <c r="A58" s="121"/>
      <c r="B58" s="121"/>
      <c r="C58" s="121"/>
      <c r="D58" s="121"/>
      <c r="E58" s="121"/>
      <c r="F58" s="121"/>
      <c r="G58" s="121"/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  <c r="AA58" s="121"/>
      <c r="AB58" s="121"/>
      <c r="AC58" s="121"/>
      <c r="AD58" s="121"/>
      <c r="AE58" s="121"/>
      <c r="AF58" s="121"/>
      <c r="AG58" s="121"/>
      <c r="AH58" s="121"/>
      <c r="AI58" s="121"/>
    </row>
    <row r="59" spans="1:35" x14ac:dyDescent="0.25">
      <c r="A59" s="121"/>
      <c r="B59" s="121"/>
      <c r="C59" s="121"/>
      <c r="D59" s="121"/>
      <c r="E59" s="121"/>
      <c r="F59" s="121"/>
      <c r="G59" s="121"/>
      <c r="H59" s="121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21"/>
      <c r="AH59" s="121"/>
      <c r="AI59" s="121"/>
    </row>
    <row r="60" spans="1:35" x14ac:dyDescent="0.25">
      <c r="A60" s="121"/>
      <c r="B60" s="121"/>
      <c r="C60" s="121"/>
      <c r="D60" s="121"/>
      <c r="E60" s="121"/>
      <c r="F60" s="121"/>
      <c r="G60" s="121"/>
      <c r="H60" s="121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21"/>
      <c r="AH60" s="121"/>
      <c r="AI60" s="121"/>
    </row>
    <row r="61" spans="1:35" x14ac:dyDescent="0.25">
      <c r="A61" s="121"/>
      <c r="B61" s="121"/>
      <c r="C61" s="121"/>
      <c r="D61" s="121"/>
      <c r="E61" s="121"/>
      <c r="F61" s="121"/>
      <c r="G61" s="121"/>
      <c r="H61" s="121"/>
      <c r="I61" s="121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</row>
    <row r="62" spans="1:35" x14ac:dyDescent="0.25">
      <c r="A62" s="121"/>
      <c r="B62" s="121"/>
      <c r="C62" s="121"/>
      <c r="D62" s="121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1"/>
      <c r="U62" s="121"/>
      <c r="V62" s="121"/>
      <c r="W62" s="121"/>
      <c r="X62" s="121"/>
      <c r="Y62" s="121"/>
      <c r="Z62" s="121"/>
      <c r="AA62" s="121"/>
      <c r="AB62" s="121"/>
      <c r="AC62" s="121"/>
      <c r="AD62" s="121"/>
      <c r="AE62" s="121"/>
      <c r="AF62" s="121"/>
      <c r="AG62" s="121"/>
      <c r="AH62" s="121"/>
      <c r="AI62" s="121"/>
    </row>
    <row r="63" spans="1:35" x14ac:dyDescent="0.25">
      <c r="A63" s="121"/>
      <c r="B63" s="121"/>
      <c r="C63" s="121"/>
      <c r="D63" s="121"/>
      <c r="E63" s="121"/>
      <c r="F63" s="121"/>
      <c r="G63" s="121"/>
      <c r="H63" s="121"/>
      <c r="I63" s="121"/>
      <c r="J63" s="121"/>
      <c r="K63" s="121"/>
      <c r="L63" s="121"/>
      <c r="M63" s="121"/>
      <c r="N63" s="121"/>
      <c r="O63" s="121"/>
      <c r="P63" s="121"/>
      <c r="Q63" s="121"/>
      <c r="R63" s="121"/>
      <c r="S63" s="121"/>
      <c r="T63" s="121"/>
      <c r="U63" s="121"/>
      <c r="V63" s="121"/>
      <c r="W63" s="121"/>
      <c r="X63" s="121"/>
      <c r="Y63" s="121"/>
      <c r="Z63" s="121"/>
      <c r="AA63" s="121"/>
      <c r="AB63" s="121"/>
      <c r="AC63" s="121"/>
      <c r="AD63" s="121"/>
      <c r="AE63" s="121"/>
      <c r="AF63" s="121"/>
      <c r="AG63" s="121"/>
      <c r="AH63" s="121"/>
      <c r="AI63" s="121"/>
    </row>
    <row r="64" spans="1:35" x14ac:dyDescent="0.25">
      <c r="A64" s="121"/>
      <c r="B64" s="121"/>
      <c r="C64" s="121"/>
      <c r="D64" s="121"/>
      <c r="E64" s="121"/>
      <c r="F64" s="121"/>
      <c r="G64" s="121"/>
      <c r="H64" s="121"/>
      <c r="I64" s="121"/>
      <c r="J64" s="121"/>
      <c r="K64" s="121"/>
      <c r="L64" s="121"/>
      <c r="M64" s="121"/>
      <c r="N64" s="121"/>
      <c r="O64" s="121"/>
      <c r="P64" s="121"/>
      <c r="Q64" s="121"/>
      <c r="R64" s="121"/>
      <c r="S64" s="121"/>
      <c r="T64" s="121"/>
      <c r="U64" s="121"/>
      <c r="V64" s="121"/>
      <c r="W64" s="121"/>
      <c r="X64" s="121"/>
      <c r="Y64" s="121"/>
      <c r="Z64" s="121"/>
      <c r="AA64" s="121"/>
      <c r="AB64" s="121"/>
      <c r="AC64" s="121"/>
      <c r="AD64" s="121"/>
      <c r="AE64" s="121"/>
      <c r="AF64" s="121"/>
      <c r="AG64" s="121"/>
      <c r="AH64" s="121"/>
      <c r="AI64" s="121"/>
    </row>
    <row r="65" spans="1:35" x14ac:dyDescent="0.25">
      <c r="A65" s="121"/>
      <c r="B65" s="121"/>
      <c r="C65" s="121"/>
      <c r="D65" s="121"/>
      <c r="E65" s="121"/>
      <c r="F65" s="121"/>
      <c r="G65" s="121"/>
      <c r="H65" s="121"/>
      <c r="I65" s="121"/>
      <c r="J65" s="121"/>
      <c r="K65" s="121"/>
      <c r="L65" s="121"/>
      <c r="M65" s="121"/>
      <c r="N65" s="121"/>
      <c r="O65" s="121"/>
      <c r="P65" s="121"/>
      <c r="Q65" s="121"/>
      <c r="R65" s="121"/>
      <c r="S65" s="121"/>
      <c r="T65" s="121"/>
      <c r="U65" s="121"/>
      <c r="V65" s="121"/>
      <c r="W65" s="121"/>
      <c r="X65" s="121"/>
      <c r="Y65" s="121"/>
      <c r="Z65" s="121"/>
      <c r="AA65" s="121"/>
      <c r="AB65" s="121"/>
      <c r="AC65" s="121"/>
      <c r="AD65" s="121"/>
      <c r="AE65" s="121"/>
      <c r="AF65" s="121"/>
      <c r="AG65" s="121"/>
      <c r="AH65" s="121"/>
      <c r="AI65" s="121"/>
    </row>
    <row r="66" spans="1:35" x14ac:dyDescent="0.25">
      <c r="A66" s="121"/>
      <c r="B66" s="121"/>
      <c r="C66" s="121"/>
      <c r="D66" s="121"/>
      <c r="E66" s="121"/>
      <c r="F66" s="121"/>
      <c r="G66" s="121"/>
      <c r="H66" s="121"/>
      <c r="I66" s="121"/>
      <c r="J66" s="121"/>
      <c r="K66" s="121"/>
      <c r="L66" s="121"/>
      <c r="M66" s="121"/>
      <c r="N66" s="121"/>
      <c r="O66" s="121"/>
      <c r="P66" s="121"/>
      <c r="Q66" s="121"/>
      <c r="R66" s="121"/>
      <c r="S66" s="121"/>
      <c r="T66" s="121"/>
      <c r="U66" s="121"/>
      <c r="V66" s="121"/>
      <c r="W66" s="121"/>
      <c r="X66" s="121"/>
      <c r="Y66" s="121"/>
      <c r="Z66" s="121"/>
      <c r="AA66" s="121"/>
      <c r="AB66" s="121"/>
      <c r="AC66" s="121"/>
      <c r="AD66" s="121"/>
      <c r="AE66" s="121"/>
      <c r="AF66" s="121"/>
      <c r="AG66" s="121"/>
      <c r="AH66" s="121"/>
      <c r="AI66" s="121"/>
    </row>
    <row r="67" spans="1:35" x14ac:dyDescent="0.25">
      <c r="A67" s="121"/>
      <c r="B67" s="121"/>
      <c r="C67" s="121"/>
      <c r="D67" s="121"/>
      <c r="E67" s="121"/>
      <c r="F67" s="121"/>
      <c r="G67" s="121"/>
      <c r="H67" s="121"/>
      <c r="I67" s="121"/>
      <c r="J67" s="121"/>
      <c r="K67" s="121"/>
      <c r="L67" s="121"/>
      <c r="M67" s="121"/>
      <c r="N67" s="121"/>
      <c r="O67" s="121"/>
      <c r="P67" s="121"/>
      <c r="Q67" s="121"/>
      <c r="R67" s="121"/>
      <c r="S67" s="121"/>
      <c r="T67" s="121"/>
      <c r="U67" s="121"/>
      <c r="V67" s="121"/>
      <c r="W67" s="12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</row>
    <row r="68" spans="1:35" x14ac:dyDescent="0.25">
      <c r="A68" s="121"/>
      <c r="B68" s="121"/>
      <c r="C68" s="121"/>
      <c r="D68" s="121"/>
      <c r="E68" s="121"/>
      <c r="F68" s="121"/>
      <c r="G68" s="121"/>
      <c r="H68" s="121"/>
      <c r="I68" s="121"/>
      <c r="J68" s="121"/>
      <c r="K68" s="121"/>
      <c r="L68" s="121"/>
      <c r="M68" s="121"/>
      <c r="N68" s="121"/>
      <c r="O68" s="121"/>
      <c r="P68" s="121"/>
      <c r="Q68" s="121"/>
      <c r="R68" s="121"/>
      <c r="S68" s="121"/>
      <c r="T68" s="121"/>
      <c r="U68" s="121"/>
      <c r="V68" s="121"/>
      <c r="W68" s="121"/>
      <c r="X68" s="121"/>
      <c r="Y68" s="121"/>
      <c r="Z68" s="121"/>
      <c r="AA68" s="121"/>
      <c r="AB68" s="121"/>
      <c r="AC68" s="121"/>
      <c r="AD68" s="121"/>
      <c r="AE68" s="121"/>
      <c r="AF68" s="121"/>
      <c r="AG68" s="121"/>
      <c r="AH68" s="121"/>
      <c r="AI68" s="121"/>
    </row>
    <row r="69" spans="1:35" x14ac:dyDescent="0.25">
      <c r="A69" s="121"/>
      <c r="B69" s="121"/>
      <c r="C69" s="121"/>
      <c r="D69" s="121"/>
      <c r="E69" s="121"/>
      <c r="F69" s="121"/>
      <c r="G69" s="121"/>
      <c r="H69" s="121"/>
      <c r="I69" s="121"/>
      <c r="J69" s="121"/>
      <c r="K69" s="121"/>
      <c r="L69" s="121"/>
      <c r="M69" s="121"/>
      <c r="N69" s="121"/>
      <c r="O69" s="121"/>
      <c r="P69" s="121"/>
      <c r="Q69" s="121"/>
      <c r="R69" s="121"/>
      <c r="S69" s="121"/>
      <c r="T69" s="121"/>
      <c r="U69" s="121"/>
      <c r="V69" s="121"/>
      <c r="W69" s="121"/>
      <c r="X69" s="121"/>
      <c r="Y69" s="121"/>
      <c r="Z69" s="121"/>
      <c r="AA69" s="121"/>
      <c r="AB69" s="121"/>
      <c r="AC69" s="121"/>
      <c r="AD69" s="121"/>
      <c r="AE69" s="121"/>
      <c r="AF69" s="121"/>
      <c r="AG69" s="121"/>
      <c r="AH69" s="121"/>
      <c r="AI69" s="121"/>
    </row>
    <row r="70" spans="1:35" x14ac:dyDescent="0.25">
      <c r="A70" s="121"/>
      <c r="B70" s="121"/>
      <c r="C70" s="121"/>
      <c r="D70" s="121"/>
      <c r="E70" s="121"/>
      <c r="F70" s="121"/>
      <c r="G70" s="121"/>
      <c r="H70" s="121"/>
      <c r="I70" s="121"/>
      <c r="J70" s="121"/>
      <c r="K70" s="121"/>
      <c r="L70" s="121"/>
      <c r="M70" s="121"/>
      <c r="N70" s="121"/>
      <c r="O70" s="121"/>
      <c r="P70" s="121"/>
      <c r="Q70" s="121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  <c r="AE70" s="121"/>
      <c r="AF70" s="121"/>
      <c r="AG70" s="121"/>
      <c r="AH70" s="121"/>
      <c r="AI70" s="121"/>
    </row>
    <row r="71" spans="1:35" x14ac:dyDescent="0.25">
      <c r="A71" s="121"/>
      <c r="B71" s="121"/>
      <c r="C71" s="121"/>
      <c r="D71" s="121"/>
      <c r="E71" s="121"/>
      <c r="F71" s="121"/>
      <c r="G71" s="121"/>
      <c r="H71" s="121"/>
      <c r="I71" s="121"/>
      <c r="J71" s="121"/>
      <c r="K71" s="121"/>
      <c r="L71" s="121"/>
      <c r="M71" s="121"/>
      <c r="N71" s="121"/>
      <c r="O71" s="121"/>
      <c r="P71" s="121"/>
      <c r="Q71" s="121"/>
      <c r="R71" s="121"/>
      <c r="S71" s="121"/>
      <c r="T71" s="121"/>
      <c r="U71" s="121"/>
      <c r="V71" s="121"/>
      <c r="W71" s="121"/>
      <c r="X71" s="121"/>
      <c r="Y71" s="121"/>
      <c r="Z71" s="121"/>
      <c r="AA71" s="121"/>
      <c r="AB71" s="121"/>
      <c r="AC71" s="121"/>
      <c r="AD71" s="121"/>
      <c r="AE71" s="121"/>
      <c r="AF71" s="121"/>
      <c r="AG71" s="121"/>
      <c r="AH71" s="121"/>
      <c r="AI71" s="121"/>
    </row>
    <row r="72" spans="1:35" x14ac:dyDescent="0.25">
      <c r="A72" s="121"/>
      <c r="B72" s="121"/>
      <c r="C72" s="121"/>
      <c r="D72" s="121"/>
      <c r="E72" s="121"/>
      <c r="F72" s="121"/>
      <c r="G72" s="121"/>
      <c r="H72" s="121"/>
      <c r="I72" s="121"/>
      <c r="J72" s="121"/>
      <c r="K72" s="121"/>
      <c r="L72" s="121"/>
      <c r="M72" s="121"/>
      <c r="N72" s="121"/>
      <c r="O72" s="121"/>
      <c r="P72" s="121"/>
      <c r="Q72" s="121"/>
      <c r="R72" s="121"/>
      <c r="S72" s="121"/>
      <c r="T72" s="121"/>
      <c r="U72" s="121"/>
      <c r="V72" s="121"/>
      <c r="W72" s="121"/>
      <c r="X72" s="121"/>
      <c r="Y72" s="121"/>
      <c r="Z72" s="121"/>
      <c r="AA72" s="121"/>
      <c r="AB72" s="121"/>
      <c r="AC72" s="121"/>
      <c r="AD72" s="121"/>
      <c r="AE72" s="121"/>
      <c r="AF72" s="121"/>
      <c r="AG72" s="121"/>
      <c r="AH72" s="121"/>
      <c r="AI72" s="121"/>
    </row>
    <row r="73" spans="1:35" x14ac:dyDescent="0.25">
      <c r="A73" s="121"/>
      <c r="B73" s="121"/>
      <c r="C73" s="121"/>
      <c r="D73" s="121"/>
      <c r="E73" s="121"/>
      <c r="F73" s="121"/>
      <c r="G73" s="121"/>
      <c r="H73" s="121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1"/>
      <c r="V73" s="121"/>
      <c r="W73" s="121"/>
      <c r="X73" s="121"/>
      <c r="Y73" s="121"/>
      <c r="Z73" s="121"/>
      <c r="AA73" s="121"/>
      <c r="AB73" s="121"/>
      <c r="AC73" s="121"/>
      <c r="AD73" s="121"/>
      <c r="AE73" s="121"/>
      <c r="AF73" s="121"/>
      <c r="AG73" s="121"/>
      <c r="AH73" s="121"/>
      <c r="AI73" s="121"/>
    </row>
    <row r="74" spans="1:35" x14ac:dyDescent="0.25">
      <c r="A74" s="121"/>
      <c r="B74" s="121"/>
      <c r="C74" s="121"/>
      <c r="D74" s="121"/>
      <c r="E74" s="121"/>
      <c r="F74" s="121"/>
      <c r="G74" s="121"/>
      <c r="H74" s="121"/>
      <c r="I74" s="121"/>
      <c r="J74" s="121"/>
      <c r="K74" s="121"/>
      <c r="L74" s="121"/>
      <c r="M74" s="121"/>
      <c r="N74" s="121"/>
      <c r="O74" s="121"/>
      <c r="P74" s="121"/>
      <c r="Q74" s="121"/>
      <c r="R74" s="121"/>
      <c r="S74" s="121"/>
      <c r="T74" s="121"/>
      <c r="U74" s="121"/>
      <c r="V74" s="121"/>
      <c r="W74" s="121"/>
      <c r="X74" s="121"/>
      <c r="Y74" s="121"/>
      <c r="Z74" s="121"/>
      <c r="AA74" s="121"/>
      <c r="AB74" s="121"/>
      <c r="AC74" s="121"/>
      <c r="AD74" s="121"/>
      <c r="AE74" s="121"/>
      <c r="AF74" s="121"/>
      <c r="AG74" s="121"/>
      <c r="AH74" s="121"/>
      <c r="AI74" s="121"/>
    </row>
    <row r="75" spans="1:35" x14ac:dyDescent="0.25">
      <c r="A75" s="121"/>
      <c r="B75" s="121"/>
      <c r="C75" s="121"/>
      <c r="D75" s="121"/>
      <c r="E75" s="121"/>
      <c r="F75" s="121"/>
      <c r="G75" s="121"/>
      <c r="H75" s="121"/>
      <c r="I75" s="121"/>
      <c r="J75" s="121"/>
      <c r="K75" s="121"/>
      <c r="L75" s="121"/>
      <c r="M75" s="121"/>
      <c r="N75" s="121"/>
      <c r="O75" s="121"/>
      <c r="P75" s="121"/>
      <c r="Q75" s="121"/>
      <c r="R75" s="121"/>
      <c r="S75" s="121"/>
      <c r="T75" s="121"/>
      <c r="U75" s="121"/>
      <c r="V75" s="121"/>
      <c r="W75" s="121"/>
      <c r="X75" s="121"/>
      <c r="Y75" s="121"/>
      <c r="Z75" s="121"/>
      <c r="AA75" s="121"/>
      <c r="AB75" s="121"/>
      <c r="AC75" s="121"/>
      <c r="AD75" s="121"/>
      <c r="AE75" s="121"/>
      <c r="AF75" s="121"/>
      <c r="AG75" s="121"/>
      <c r="AH75" s="121"/>
      <c r="AI75" s="121"/>
    </row>
    <row r="76" spans="1:35" x14ac:dyDescent="0.25">
      <c r="A76" s="121"/>
      <c r="B76" s="121"/>
      <c r="C76" s="121"/>
      <c r="D76" s="121"/>
      <c r="E76" s="121"/>
      <c r="F76" s="121"/>
      <c r="G76" s="121"/>
      <c r="H76" s="121"/>
      <c r="I76" s="121"/>
      <c r="J76" s="121"/>
      <c r="K76" s="121"/>
      <c r="L76" s="121"/>
      <c r="M76" s="121"/>
      <c r="N76" s="121"/>
      <c r="O76" s="121"/>
      <c r="P76" s="121"/>
      <c r="Q76" s="121"/>
      <c r="R76" s="121"/>
      <c r="S76" s="121"/>
      <c r="T76" s="121"/>
      <c r="U76" s="121"/>
      <c r="V76" s="121"/>
      <c r="W76" s="121"/>
      <c r="X76" s="121"/>
      <c r="Y76" s="121"/>
      <c r="Z76" s="121"/>
      <c r="AA76" s="121"/>
      <c r="AB76" s="121"/>
      <c r="AC76" s="121"/>
      <c r="AD76" s="121"/>
      <c r="AE76" s="121"/>
      <c r="AF76" s="121"/>
      <c r="AG76" s="121"/>
      <c r="AH76" s="121"/>
      <c r="AI76" s="121"/>
    </row>
    <row r="77" spans="1:35" x14ac:dyDescent="0.25">
      <c r="A77" s="121"/>
      <c r="B77" s="121"/>
      <c r="C77" s="121"/>
      <c r="D77" s="121"/>
      <c r="E77" s="121"/>
      <c r="F77" s="121"/>
      <c r="G77" s="121"/>
      <c r="H77" s="121"/>
      <c r="I77" s="121"/>
      <c r="J77" s="121"/>
      <c r="K77" s="121"/>
      <c r="L77" s="121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1"/>
      <c r="AA77" s="121"/>
      <c r="AB77" s="121"/>
      <c r="AC77" s="121"/>
      <c r="AD77" s="121"/>
      <c r="AE77" s="121"/>
      <c r="AF77" s="121"/>
      <c r="AG77" s="121"/>
      <c r="AH77" s="121"/>
      <c r="AI77" s="121"/>
    </row>
    <row r="78" spans="1:35" x14ac:dyDescent="0.25">
      <c r="A78" s="121"/>
      <c r="B78" s="121"/>
      <c r="C78" s="121"/>
      <c r="D78" s="121"/>
      <c r="E78" s="121"/>
      <c r="F78" s="121"/>
      <c r="G78" s="121"/>
      <c r="H78" s="121"/>
      <c r="I78" s="121"/>
      <c r="J78" s="121"/>
      <c r="K78" s="121"/>
      <c r="L78" s="121"/>
      <c r="M78" s="121"/>
      <c r="N78" s="121"/>
      <c r="O78" s="121"/>
      <c r="P78" s="121"/>
      <c r="Q78" s="121"/>
      <c r="R78" s="121"/>
      <c r="S78" s="121"/>
      <c r="T78" s="121"/>
      <c r="U78" s="121"/>
      <c r="V78" s="121"/>
      <c r="W78" s="121"/>
      <c r="X78" s="121"/>
      <c r="Y78" s="121"/>
      <c r="Z78" s="121"/>
      <c r="AA78" s="121"/>
      <c r="AB78" s="121"/>
      <c r="AC78" s="121"/>
      <c r="AD78" s="121"/>
      <c r="AE78" s="121"/>
      <c r="AF78" s="121"/>
      <c r="AG78" s="121"/>
      <c r="AH78" s="121"/>
      <c r="AI78" s="121"/>
    </row>
    <row r="79" spans="1:35" x14ac:dyDescent="0.25">
      <c r="A79" s="121"/>
      <c r="B79" s="121"/>
      <c r="C79" s="121"/>
      <c r="D79" s="121"/>
      <c r="E79" s="121"/>
      <c r="F79" s="121"/>
      <c r="G79" s="121"/>
      <c r="H79" s="121"/>
      <c r="I79" s="121"/>
      <c r="J79" s="121"/>
      <c r="K79" s="121"/>
      <c r="L79" s="121"/>
      <c r="M79" s="121"/>
      <c r="N79" s="121"/>
      <c r="O79" s="121"/>
      <c r="P79" s="121"/>
      <c r="Q79" s="121"/>
      <c r="R79" s="121"/>
      <c r="S79" s="121"/>
      <c r="T79" s="121"/>
      <c r="U79" s="121"/>
      <c r="V79" s="121"/>
      <c r="W79" s="121"/>
      <c r="X79" s="121"/>
      <c r="Y79" s="121"/>
      <c r="Z79" s="121"/>
      <c r="AA79" s="121"/>
      <c r="AB79" s="121"/>
      <c r="AC79" s="121"/>
      <c r="AD79" s="121"/>
      <c r="AE79" s="121"/>
      <c r="AF79" s="121"/>
      <c r="AG79" s="121"/>
      <c r="AH79" s="121"/>
      <c r="AI79" s="121"/>
    </row>
    <row r="80" spans="1:35" x14ac:dyDescent="0.25">
      <c r="A80" s="121"/>
      <c r="B80" s="121"/>
      <c r="C80" s="121"/>
      <c r="D80" s="121"/>
      <c r="E80" s="121"/>
      <c r="F80" s="121"/>
      <c r="G80" s="121"/>
      <c r="H80" s="121"/>
      <c r="I80" s="121"/>
      <c r="J80" s="121"/>
      <c r="K80" s="121"/>
      <c r="L80" s="121"/>
      <c r="M80" s="121"/>
      <c r="N80" s="121"/>
      <c r="O80" s="121"/>
      <c r="P80" s="121"/>
      <c r="Q80" s="121"/>
      <c r="R80" s="121"/>
      <c r="S80" s="121"/>
      <c r="T80" s="121"/>
      <c r="U80" s="121"/>
      <c r="V80" s="121"/>
      <c r="W80" s="121"/>
      <c r="X80" s="121"/>
      <c r="Y80" s="121"/>
      <c r="Z80" s="121"/>
      <c r="AA80" s="121"/>
      <c r="AB80" s="121"/>
      <c r="AC80" s="121"/>
      <c r="AD80" s="121"/>
      <c r="AE80" s="121"/>
      <c r="AF80" s="121"/>
      <c r="AG80" s="121"/>
      <c r="AH80" s="121"/>
      <c r="AI80" s="121"/>
    </row>
    <row r="81" spans="1:35" x14ac:dyDescent="0.25">
      <c r="A81" s="121"/>
      <c r="B81" s="121"/>
      <c r="C81" s="121"/>
      <c r="D81" s="121"/>
      <c r="E81" s="121"/>
      <c r="F81" s="121"/>
      <c r="G81" s="121"/>
      <c r="H81" s="121"/>
      <c r="I81" s="121"/>
      <c r="J81" s="121"/>
      <c r="K81" s="121"/>
      <c r="L81" s="121"/>
      <c r="M81" s="121"/>
      <c r="N81" s="121"/>
      <c r="O81" s="121"/>
      <c r="P81" s="121"/>
      <c r="Q81" s="121"/>
      <c r="R81" s="121"/>
      <c r="S81" s="121"/>
      <c r="T81" s="121"/>
      <c r="U81" s="121"/>
      <c r="V81" s="121"/>
      <c r="W81" s="121"/>
      <c r="X81" s="121"/>
      <c r="Y81" s="121"/>
      <c r="Z81" s="121"/>
      <c r="AA81" s="121"/>
      <c r="AB81" s="121"/>
      <c r="AC81" s="121"/>
      <c r="AD81" s="121"/>
      <c r="AE81" s="121"/>
      <c r="AF81" s="121"/>
      <c r="AG81" s="121"/>
      <c r="AH81" s="121"/>
      <c r="AI81" s="121"/>
    </row>
    <row r="82" spans="1:35" x14ac:dyDescent="0.25">
      <c r="A82" s="121"/>
      <c r="B82" s="121"/>
      <c r="C82" s="121"/>
      <c r="D82" s="121"/>
      <c r="E82" s="121"/>
      <c r="F82" s="121"/>
      <c r="G82" s="121"/>
      <c r="H82" s="121"/>
      <c r="I82" s="121"/>
      <c r="J82" s="121"/>
      <c r="K82" s="121"/>
      <c r="L82" s="121"/>
      <c r="M82" s="121"/>
      <c r="N82" s="121"/>
      <c r="O82" s="121"/>
      <c r="P82" s="121"/>
      <c r="Q82" s="121"/>
      <c r="R82" s="121"/>
      <c r="S82" s="121"/>
      <c r="T82" s="121"/>
      <c r="U82" s="121"/>
      <c r="V82" s="121"/>
      <c r="W82" s="121"/>
      <c r="X82" s="121"/>
      <c r="Y82" s="121"/>
      <c r="Z82" s="121"/>
      <c r="AA82" s="121"/>
      <c r="AB82" s="121"/>
      <c r="AC82" s="121"/>
      <c r="AD82" s="121"/>
      <c r="AE82" s="121"/>
      <c r="AF82" s="121"/>
      <c r="AG82" s="121"/>
      <c r="AH82" s="121"/>
      <c r="AI82" s="121"/>
    </row>
    <row r="83" spans="1:35" x14ac:dyDescent="0.25">
      <c r="A83" s="121"/>
      <c r="B83" s="121"/>
      <c r="C83" s="121"/>
      <c r="D83" s="121"/>
      <c r="E83" s="121"/>
      <c r="F83" s="121"/>
      <c r="G83" s="121"/>
      <c r="H83" s="121"/>
      <c r="I83" s="121"/>
      <c r="J83" s="121"/>
      <c r="K83" s="121"/>
      <c r="L83" s="121"/>
      <c r="M83" s="121"/>
      <c r="N83" s="121"/>
      <c r="O83" s="121"/>
      <c r="P83" s="121"/>
      <c r="Q83" s="121"/>
      <c r="R83" s="121"/>
      <c r="S83" s="121"/>
      <c r="T83" s="121"/>
      <c r="U83" s="121"/>
      <c r="V83" s="121"/>
      <c r="W83" s="121"/>
      <c r="X83" s="121"/>
      <c r="Y83" s="121"/>
      <c r="Z83" s="121"/>
      <c r="AA83" s="121"/>
      <c r="AB83" s="121"/>
      <c r="AC83" s="121"/>
      <c r="AD83" s="121"/>
      <c r="AE83" s="121"/>
      <c r="AF83" s="121"/>
      <c r="AG83" s="121"/>
      <c r="AH83" s="121"/>
      <c r="AI83" s="121"/>
    </row>
    <row r="84" spans="1:35" x14ac:dyDescent="0.25">
      <c r="A84" s="121"/>
      <c r="B84" s="121"/>
      <c r="C84" s="121"/>
      <c r="D84" s="121"/>
      <c r="E84" s="121"/>
      <c r="F84" s="121"/>
      <c r="G84" s="121"/>
      <c r="H84" s="121"/>
      <c r="I84" s="121"/>
      <c r="J84" s="121"/>
      <c r="K84" s="121"/>
      <c r="L84" s="121"/>
      <c r="M84" s="121"/>
      <c r="N84" s="121"/>
      <c r="O84" s="121"/>
      <c r="P84" s="121"/>
      <c r="Q84" s="121"/>
      <c r="R84" s="121"/>
      <c r="S84" s="121"/>
      <c r="T84" s="121"/>
      <c r="U84" s="121"/>
      <c r="V84" s="121"/>
      <c r="W84" s="121"/>
      <c r="X84" s="121"/>
      <c r="Y84" s="121"/>
      <c r="Z84" s="121"/>
      <c r="AA84" s="121"/>
      <c r="AB84" s="121"/>
      <c r="AC84" s="121"/>
      <c r="AD84" s="121"/>
      <c r="AE84" s="121"/>
      <c r="AF84" s="121"/>
      <c r="AG84" s="121"/>
      <c r="AH84" s="121"/>
      <c r="AI84" s="121"/>
    </row>
    <row r="85" spans="1:35" x14ac:dyDescent="0.25">
      <c r="A85" s="121"/>
      <c r="B85" s="121"/>
      <c r="C85" s="121"/>
      <c r="D85" s="121"/>
      <c r="E85" s="121"/>
      <c r="F85" s="121"/>
      <c r="G85" s="121"/>
      <c r="H85" s="121"/>
      <c r="I85" s="121"/>
      <c r="J85" s="121"/>
      <c r="K85" s="121"/>
      <c r="L85" s="121"/>
      <c r="M85" s="121"/>
      <c r="N85" s="121"/>
      <c r="O85" s="121"/>
      <c r="P85" s="121"/>
      <c r="Q85" s="121"/>
      <c r="R85" s="121"/>
      <c r="S85" s="121"/>
      <c r="T85" s="121"/>
      <c r="U85" s="121"/>
      <c r="V85" s="121"/>
      <c r="W85" s="121"/>
      <c r="X85" s="121"/>
      <c r="Y85" s="121"/>
      <c r="Z85" s="121"/>
      <c r="AA85" s="121"/>
      <c r="AB85" s="121"/>
      <c r="AC85" s="121"/>
      <c r="AD85" s="121"/>
      <c r="AE85" s="121"/>
      <c r="AF85" s="121"/>
      <c r="AG85" s="121"/>
      <c r="AH85" s="121"/>
      <c r="AI85" s="121"/>
    </row>
    <row r="86" spans="1:35" x14ac:dyDescent="0.25">
      <c r="A86" s="121"/>
      <c r="B86" s="121"/>
      <c r="C86" s="121"/>
      <c r="D86" s="121"/>
      <c r="E86" s="121"/>
      <c r="F86" s="121"/>
      <c r="G86" s="121"/>
      <c r="H86" s="121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 s="121"/>
      <c r="Y86" s="121"/>
      <c r="Z86" s="121"/>
      <c r="AA86" s="121"/>
      <c r="AB86" s="121"/>
      <c r="AC86" s="121"/>
      <c r="AD86" s="121"/>
      <c r="AE86" s="121"/>
      <c r="AF86" s="121"/>
      <c r="AG86" s="121"/>
      <c r="AH86" s="121"/>
      <c r="AI86" s="121"/>
    </row>
    <row r="87" spans="1:35" x14ac:dyDescent="0.25">
      <c r="A87" s="121"/>
      <c r="B87" s="121"/>
      <c r="C87" s="121"/>
      <c r="D87" s="121"/>
      <c r="E87" s="121"/>
      <c r="F87" s="121"/>
      <c r="G87" s="121"/>
      <c r="H87" s="121"/>
      <c r="I87" s="121"/>
      <c r="J87" s="121"/>
      <c r="K87" s="121"/>
      <c r="L87" s="121"/>
      <c r="M87" s="121"/>
      <c r="N87" s="121"/>
      <c r="O87" s="121"/>
      <c r="P87" s="121"/>
      <c r="Q87" s="121"/>
      <c r="R87" s="121"/>
      <c r="S87" s="121"/>
      <c r="T87" s="121"/>
      <c r="U87" s="121"/>
      <c r="V87" s="121"/>
      <c r="W87" s="121"/>
      <c r="X87" s="121"/>
      <c r="Y87" s="121"/>
      <c r="Z87" s="121"/>
      <c r="AA87" s="121"/>
      <c r="AB87" s="121"/>
      <c r="AC87" s="121"/>
      <c r="AD87" s="121"/>
      <c r="AE87" s="121"/>
      <c r="AF87" s="121"/>
      <c r="AG87" s="121"/>
      <c r="AH87" s="121"/>
      <c r="AI87" s="121"/>
    </row>
    <row r="88" spans="1:35" x14ac:dyDescent="0.25">
      <c r="A88" s="121"/>
      <c r="B88" s="121"/>
      <c r="C88" s="121"/>
      <c r="D88" s="121"/>
      <c r="E88" s="121"/>
      <c r="F88" s="121"/>
      <c r="G88" s="121"/>
      <c r="H88" s="121"/>
      <c r="I88" s="121"/>
      <c r="J88" s="121"/>
      <c r="K88" s="121"/>
      <c r="L88" s="121"/>
      <c r="M88" s="121"/>
      <c r="N88" s="121"/>
      <c r="O88" s="121"/>
      <c r="P88" s="121"/>
      <c r="Q88" s="121"/>
      <c r="R88" s="121"/>
      <c r="S88" s="121"/>
      <c r="T88" s="121"/>
      <c r="U88" s="121"/>
      <c r="V88" s="121"/>
      <c r="W88" s="121"/>
      <c r="X88" s="121"/>
      <c r="Y88" s="121"/>
      <c r="Z88" s="121"/>
      <c r="AA88" s="121"/>
      <c r="AB88" s="121"/>
      <c r="AC88" s="121"/>
      <c r="AD88" s="121"/>
      <c r="AE88" s="121"/>
      <c r="AF88" s="121"/>
      <c r="AG88" s="121"/>
      <c r="AH88" s="121"/>
      <c r="AI88" s="121"/>
    </row>
    <row r="89" spans="1:35" x14ac:dyDescent="0.25">
      <c r="A89" s="121"/>
      <c r="B89" s="121"/>
      <c r="C89" s="121"/>
      <c r="D89" s="121"/>
      <c r="E89" s="121"/>
      <c r="F89" s="121"/>
      <c r="G89" s="121"/>
      <c r="H89" s="121"/>
      <c r="I89" s="121"/>
      <c r="J89" s="121"/>
      <c r="K89" s="121"/>
      <c r="L89" s="121"/>
      <c r="M89" s="121"/>
      <c r="N89" s="121"/>
      <c r="O89" s="121"/>
      <c r="P89" s="121"/>
      <c r="Q89" s="121"/>
      <c r="R89" s="121"/>
      <c r="S89" s="121"/>
      <c r="T89" s="121"/>
      <c r="U89" s="121"/>
      <c r="V89" s="121"/>
      <c r="W89" s="121"/>
      <c r="X89" s="121"/>
      <c r="Y89" s="121"/>
      <c r="Z89" s="121"/>
      <c r="AA89" s="121"/>
      <c r="AB89" s="121"/>
      <c r="AC89" s="121"/>
      <c r="AD89" s="121"/>
      <c r="AE89" s="121"/>
      <c r="AF89" s="121"/>
      <c r="AG89" s="121"/>
      <c r="AH89" s="121"/>
      <c r="AI89" s="121"/>
    </row>
    <row r="90" spans="1:35" x14ac:dyDescent="0.25">
      <c r="A90" s="121"/>
      <c r="B90" s="121"/>
      <c r="C90" s="121"/>
      <c r="D90" s="121"/>
      <c r="E90" s="121"/>
      <c r="F90" s="121"/>
      <c r="G90" s="121"/>
      <c r="H90" s="121"/>
      <c r="I90" s="121"/>
      <c r="J90" s="121"/>
      <c r="K90" s="121"/>
      <c r="L90" s="121"/>
      <c r="M90" s="121"/>
      <c r="N90" s="121"/>
      <c r="O90" s="121"/>
      <c r="P90" s="121"/>
      <c r="Q90" s="121"/>
      <c r="R90" s="121"/>
      <c r="S90" s="121"/>
      <c r="T90" s="121"/>
      <c r="U90" s="121"/>
      <c r="V90" s="121"/>
      <c r="W90" s="121"/>
      <c r="X90" s="121"/>
      <c r="Y90" s="121"/>
      <c r="Z90" s="121"/>
      <c r="AA90" s="121"/>
      <c r="AB90" s="121"/>
      <c r="AC90" s="121"/>
      <c r="AD90" s="121"/>
      <c r="AE90" s="121"/>
      <c r="AF90" s="121"/>
      <c r="AG90" s="121"/>
      <c r="AH90" s="121"/>
      <c r="AI90" s="121"/>
    </row>
    <row r="91" spans="1:35" x14ac:dyDescent="0.25">
      <c r="A91" s="121"/>
      <c r="B91" s="121"/>
      <c r="C91" s="121"/>
      <c r="D91" s="121"/>
      <c r="E91" s="121"/>
      <c r="F91" s="121"/>
      <c r="G91" s="121"/>
      <c r="H91" s="121"/>
      <c r="I91" s="121"/>
      <c r="J91" s="121"/>
      <c r="K91" s="121"/>
      <c r="L91" s="121"/>
      <c r="M91" s="121"/>
      <c r="N91" s="121"/>
      <c r="O91" s="121"/>
      <c r="P91" s="121"/>
      <c r="Q91" s="121"/>
      <c r="R91" s="121"/>
      <c r="S91" s="121"/>
      <c r="T91" s="121"/>
      <c r="U91" s="121"/>
      <c r="V91" s="121"/>
      <c r="W91" s="121"/>
      <c r="X91" s="121"/>
      <c r="Y91" s="121"/>
      <c r="Z91" s="121"/>
      <c r="AA91" s="121"/>
      <c r="AB91" s="121"/>
      <c r="AC91" s="121"/>
      <c r="AD91" s="121"/>
      <c r="AE91" s="121"/>
      <c r="AF91" s="121"/>
      <c r="AG91" s="121"/>
      <c r="AH91" s="121"/>
      <c r="AI91" s="121"/>
    </row>
    <row r="92" spans="1:35" x14ac:dyDescent="0.25">
      <c r="A92" s="121"/>
      <c r="B92" s="121"/>
      <c r="C92" s="121"/>
      <c r="D92" s="121"/>
      <c r="E92" s="121"/>
      <c r="F92" s="121"/>
      <c r="G92" s="121"/>
      <c r="H92" s="121"/>
      <c r="I92" s="121"/>
      <c r="J92" s="121"/>
      <c r="K92" s="121"/>
      <c r="L92" s="121"/>
      <c r="M92" s="121"/>
      <c r="N92" s="121"/>
      <c r="O92" s="121"/>
      <c r="P92" s="121"/>
      <c r="Q92" s="121"/>
      <c r="R92" s="121"/>
      <c r="S92" s="121"/>
      <c r="T92" s="121"/>
      <c r="U92" s="121"/>
      <c r="V92" s="121"/>
      <c r="W92" s="121"/>
      <c r="X92" s="121"/>
      <c r="Y92" s="121"/>
      <c r="Z92" s="121"/>
      <c r="AA92" s="121"/>
      <c r="AB92" s="121"/>
      <c r="AC92" s="121"/>
      <c r="AD92" s="121"/>
      <c r="AE92" s="121"/>
      <c r="AF92" s="121"/>
      <c r="AG92" s="121"/>
      <c r="AH92" s="121"/>
      <c r="AI92" s="121"/>
    </row>
    <row r="93" spans="1:35" x14ac:dyDescent="0.25">
      <c r="A93" s="121"/>
    </row>
    <row r="94" spans="1:35" x14ac:dyDescent="0.25">
      <c r="A94" s="121"/>
    </row>
    <row r="95" spans="1:35" x14ac:dyDescent="0.25">
      <c r="A95" s="121"/>
    </row>
    <row r="96" spans="1:35" x14ac:dyDescent="0.25">
      <c r="A96" s="121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O111"/>
  <sheetViews>
    <sheetView topLeftCell="A12" zoomScale="90" zoomScaleNormal="90" workbookViewId="0">
      <selection activeCell="K45" sqref="K45"/>
    </sheetView>
  </sheetViews>
  <sheetFormatPr baseColWidth="10" defaultRowHeight="15" x14ac:dyDescent="0.25"/>
  <cols>
    <col min="1" max="1" width="11.42578125" style="73"/>
    <col min="2" max="2" width="37.28515625" style="74" customWidth="1"/>
    <col min="3" max="3" width="11.42578125" style="75"/>
    <col min="4" max="7" width="11.42578125" style="74"/>
    <col min="8" max="8" width="7.28515625" style="91" customWidth="1"/>
    <col min="9" max="9" width="16.140625" style="91" bestFit="1" customWidth="1"/>
    <col min="10" max="10" width="12.28515625" style="91" bestFit="1" customWidth="1"/>
    <col min="11" max="11" width="69.5703125" style="91" customWidth="1"/>
    <col min="12" max="15" width="11.42578125" style="91"/>
  </cols>
  <sheetData>
    <row r="1" spans="1:15" x14ac:dyDescent="0.25">
      <c r="A1" s="78" t="s">
        <v>212</v>
      </c>
      <c r="B1" s="79"/>
      <c r="C1" s="80"/>
      <c r="D1" s="82"/>
      <c r="E1" s="82"/>
      <c r="F1" s="82"/>
      <c r="G1" s="82"/>
      <c r="I1" s="92" t="s">
        <v>73</v>
      </c>
      <c r="J1" s="92" t="s">
        <v>74</v>
      </c>
      <c r="K1" s="92" t="s">
        <v>133</v>
      </c>
      <c r="L1" s="92" t="s">
        <v>211</v>
      </c>
    </row>
    <row r="2" spans="1:15" x14ac:dyDescent="0.25">
      <c r="A2" s="81"/>
      <c r="B2" s="82"/>
      <c r="C2" s="83"/>
      <c r="D2" s="82"/>
      <c r="E2" s="82"/>
      <c r="F2" s="82"/>
      <c r="G2" s="82"/>
      <c r="I2" s="93" t="s">
        <v>86</v>
      </c>
      <c r="J2" s="93" t="s">
        <v>87</v>
      </c>
      <c r="K2" s="93" t="s">
        <v>125</v>
      </c>
      <c r="L2" s="94" t="s">
        <v>218</v>
      </c>
      <c r="M2" s="91" t="str">
        <f t="shared" ref="M2:M9" si="0">CONCATENATE(J2,"-",K2)</f>
        <v>MP001-Analista Programador Java Python</v>
      </c>
    </row>
    <row r="3" spans="1:15" x14ac:dyDescent="0.25">
      <c r="A3" s="81">
        <v>1</v>
      </c>
      <c r="B3" s="82" t="s">
        <v>75</v>
      </c>
      <c r="C3" s="83"/>
      <c r="D3" s="82"/>
      <c r="E3" s="82"/>
      <c r="F3" s="82"/>
      <c r="G3" s="82"/>
      <c r="I3" s="93" t="s">
        <v>80</v>
      </c>
      <c r="J3" s="93" t="s">
        <v>81</v>
      </c>
      <c r="K3" s="93" t="s">
        <v>126</v>
      </c>
      <c r="L3" s="94" t="s">
        <v>218</v>
      </c>
      <c r="M3" s="91" t="str">
        <f t="shared" si="0"/>
        <v>MP002-Soporte Tecnico</v>
      </c>
    </row>
    <row r="4" spans="1:15" x14ac:dyDescent="0.25">
      <c r="A4" s="81">
        <v>2</v>
      </c>
      <c r="B4" s="82" t="s">
        <v>46</v>
      </c>
      <c r="C4" s="83"/>
      <c r="D4" s="82"/>
      <c r="E4" s="82"/>
      <c r="F4" s="82"/>
      <c r="G4" s="82"/>
      <c r="I4" s="93" t="s">
        <v>82</v>
      </c>
      <c r="J4" s="93" t="s">
        <v>83</v>
      </c>
      <c r="K4" s="93" t="s">
        <v>126</v>
      </c>
      <c r="L4" s="94" t="s">
        <v>218</v>
      </c>
      <c r="M4" s="91" t="str">
        <f t="shared" si="0"/>
        <v>MP003-Soporte Tecnico</v>
      </c>
    </row>
    <row r="5" spans="1:15" x14ac:dyDescent="0.25">
      <c r="A5" s="81">
        <v>3</v>
      </c>
      <c r="B5" s="82" t="s">
        <v>152</v>
      </c>
      <c r="C5" s="83"/>
      <c r="D5" s="82"/>
      <c r="E5" s="82"/>
      <c r="F5" s="82"/>
      <c r="G5" s="82"/>
      <c r="I5" s="93" t="s">
        <v>44</v>
      </c>
      <c r="J5" s="93" t="s">
        <v>42</v>
      </c>
      <c r="K5" s="93" t="s">
        <v>304</v>
      </c>
      <c r="L5" s="94" t="s">
        <v>218</v>
      </c>
      <c r="M5" s="91" t="str">
        <f t="shared" si="0"/>
        <v>MP004-Software Factory</v>
      </c>
    </row>
    <row r="6" spans="1:15" s="247" customFormat="1" x14ac:dyDescent="0.25">
      <c r="A6" s="81">
        <v>4</v>
      </c>
      <c r="B6" s="82" t="s">
        <v>209</v>
      </c>
      <c r="C6" s="83"/>
      <c r="D6" s="82"/>
      <c r="E6" s="82"/>
      <c r="F6" s="82"/>
      <c r="G6" s="82"/>
      <c r="H6" s="91"/>
      <c r="I6" s="91" t="s">
        <v>84</v>
      </c>
      <c r="J6" s="91" t="s">
        <v>929</v>
      </c>
      <c r="K6" s="91" t="s">
        <v>876</v>
      </c>
      <c r="L6" s="91" t="s">
        <v>218</v>
      </c>
      <c r="M6" s="91" t="str">
        <f>CONCATENATE(J6,"-",K6)</f>
        <v>MP006-Soporte de Analista de Calidad v2</v>
      </c>
      <c r="N6" s="91"/>
      <c r="O6" s="91"/>
    </row>
    <row r="7" spans="1:15" s="247" customFormat="1" x14ac:dyDescent="0.25">
      <c r="A7" s="81">
        <v>5</v>
      </c>
      <c r="B7" s="82" t="s">
        <v>208</v>
      </c>
      <c r="C7" s="83"/>
      <c r="D7" s="82"/>
      <c r="E7" s="82"/>
      <c r="F7" s="82"/>
      <c r="G7" s="82"/>
      <c r="H7" s="91"/>
      <c r="I7" s="93" t="s">
        <v>50</v>
      </c>
      <c r="J7" s="91" t="s">
        <v>930</v>
      </c>
      <c r="K7" s="91" t="s">
        <v>408</v>
      </c>
      <c r="L7" s="91" t="s">
        <v>218</v>
      </c>
      <c r="M7" s="91" t="str">
        <f>CONCATENATE(J7,"-",K7)</f>
        <v>MP007-Servicios de Desarrollo</v>
      </c>
      <c r="N7" s="91"/>
      <c r="O7" s="91"/>
    </row>
    <row r="8" spans="1:15" x14ac:dyDescent="0.25">
      <c r="A8" s="81">
        <v>6</v>
      </c>
      <c r="B8" s="82" t="s">
        <v>855</v>
      </c>
      <c r="C8" s="83"/>
      <c r="D8" s="82"/>
      <c r="E8" s="82"/>
      <c r="F8" s="82"/>
      <c r="G8" s="82"/>
      <c r="I8" s="93" t="s">
        <v>48</v>
      </c>
      <c r="J8" s="93" t="s">
        <v>43</v>
      </c>
      <c r="K8" s="93" t="s">
        <v>128</v>
      </c>
      <c r="L8" s="94" t="s">
        <v>219</v>
      </c>
      <c r="M8" s="91" t="str">
        <f t="shared" si="0"/>
        <v>P0001-Evaluacion Sistema Integrado de Polizas - SDP</v>
      </c>
    </row>
    <row r="9" spans="1:15" x14ac:dyDescent="0.25">
      <c r="A9" s="81">
        <v>7</v>
      </c>
      <c r="B9" s="82" t="s">
        <v>967</v>
      </c>
      <c r="C9" s="83"/>
      <c r="D9" s="82"/>
      <c r="E9" s="82"/>
      <c r="F9" s="82"/>
      <c r="G9" s="82"/>
      <c r="I9" s="93" t="s">
        <v>89</v>
      </c>
      <c r="J9" s="93" t="s">
        <v>90</v>
      </c>
      <c r="K9" s="93" t="s">
        <v>113</v>
      </c>
      <c r="L9" s="94" t="s">
        <v>219</v>
      </c>
      <c r="M9" s="91" t="str">
        <f t="shared" si="0"/>
        <v>P0002-Implementación del Módulo Básico de Interconexión Radios - Tetra Server - BD PNP</v>
      </c>
    </row>
    <row r="10" spans="1:15" x14ac:dyDescent="0.25">
      <c r="A10" s="81"/>
      <c r="B10" s="82"/>
      <c r="C10" s="83"/>
      <c r="D10" s="82"/>
      <c r="E10" s="82"/>
      <c r="F10" s="82"/>
      <c r="G10" s="82"/>
      <c r="I10" s="93" t="s">
        <v>89</v>
      </c>
      <c r="J10" s="93" t="s">
        <v>95</v>
      </c>
      <c r="K10" s="93" t="s">
        <v>165</v>
      </c>
      <c r="L10" s="94" t="s">
        <v>219</v>
      </c>
      <c r="M10" s="91" t="str">
        <f t="shared" ref="M10:M33" si="1">CONCATENATE(J10,"-",K10)</f>
        <v>P0003-Implementación de los Módulos para la interconexión de los Radios - Tetra Server - BD PNP</v>
      </c>
    </row>
    <row r="11" spans="1:15" s="247" customFormat="1" ht="15.75" thickBot="1" x14ac:dyDescent="0.3">
      <c r="A11" s="84"/>
      <c r="B11" s="85"/>
      <c r="C11" s="86"/>
      <c r="D11" s="82"/>
      <c r="E11" s="82"/>
      <c r="F11" s="82"/>
      <c r="G11" s="82"/>
      <c r="H11" s="91"/>
      <c r="I11" s="93" t="s">
        <v>76</v>
      </c>
      <c r="J11" s="93" t="s">
        <v>77</v>
      </c>
      <c r="K11" s="93" t="s">
        <v>115</v>
      </c>
      <c r="L11" s="94" t="s">
        <v>219</v>
      </c>
      <c r="M11" s="91" t="str">
        <f t="shared" si="1"/>
        <v>P0005-Implementación del Sistema de Certificados de Retenciones</v>
      </c>
      <c r="N11" s="91"/>
      <c r="O11" s="91"/>
    </row>
    <row r="12" spans="1:15" x14ac:dyDescent="0.25">
      <c r="A12" s="87" t="s">
        <v>213</v>
      </c>
      <c r="B12" s="88"/>
      <c r="C12" s="89"/>
      <c r="D12" s="88" t="s">
        <v>439</v>
      </c>
      <c r="E12" s="88" t="s">
        <v>438</v>
      </c>
      <c r="F12" s="88"/>
      <c r="G12" s="88"/>
      <c r="I12" s="93" t="s">
        <v>93</v>
      </c>
      <c r="J12" s="93" t="s">
        <v>94</v>
      </c>
      <c r="K12" s="93" t="s">
        <v>116</v>
      </c>
      <c r="L12" s="94" t="s">
        <v>219</v>
      </c>
      <c r="M12" s="91" t="str">
        <f t="shared" si="1"/>
        <v>P0006-Implementación y despliegue de Pagos Masivos para Caja Arequipa</v>
      </c>
    </row>
    <row r="13" spans="1:15" x14ac:dyDescent="0.25">
      <c r="A13" s="90"/>
      <c r="B13" s="88" t="s">
        <v>34</v>
      </c>
      <c r="C13" s="89" t="s">
        <v>214</v>
      </c>
      <c r="D13" s="217">
        <v>41921</v>
      </c>
      <c r="E13" s="218" t="s">
        <v>440</v>
      </c>
      <c r="F13" s="218"/>
      <c r="G13" s="218"/>
      <c r="I13" s="93" t="s">
        <v>91</v>
      </c>
      <c r="J13" s="93" t="s">
        <v>92</v>
      </c>
      <c r="K13" s="93" t="s">
        <v>117</v>
      </c>
      <c r="L13" s="94" t="s">
        <v>217</v>
      </c>
      <c r="M13" s="91" t="str">
        <f t="shared" si="1"/>
        <v>P0007-Up Grade Web de Licitaciones Calidda</v>
      </c>
    </row>
    <row r="14" spans="1:15" x14ac:dyDescent="0.25">
      <c r="A14" s="90"/>
      <c r="B14" s="88" t="s">
        <v>30</v>
      </c>
      <c r="C14" s="89" t="s">
        <v>215</v>
      </c>
      <c r="D14" s="217">
        <v>42461</v>
      </c>
      <c r="E14" s="88"/>
      <c r="F14" s="88"/>
      <c r="G14" s="88"/>
      <c r="I14" s="93" t="s">
        <v>78</v>
      </c>
      <c r="J14" s="93" t="s">
        <v>79</v>
      </c>
      <c r="K14" s="93" t="s">
        <v>164</v>
      </c>
      <c r="L14" s="94" t="s">
        <v>219</v>
      </c>
      <c r="M14" s="91" t="str">
        <f t="shared" si="1"/>
        <v>P0008-Aplicativo para la consulta de expedientes de SAREFIS y SADERECHOS con DNI electrónico</v>
      </c>
    </row>
    <row r="15" spans="1:15" x14ac:dyDescent="0.25">
      <c r="A15" s="90"/>
      <c r="B15" s="88" t="s">
        <v>39</v>
      </c>
      <c r="C15" s="89" t="s">
        <v>215</v>
      </c>
      <c r="D15" s="217">
        <v>42065</v>
      </c>
      <c r="E15" s="88"/>
      <c r="F15" s="88"/>
      <c r="G15" s="88"/>
      <c r="I15" s="93" t="s">
        <v>78</v>
      </c>
      <c r="J15" s="93" t="s">
        <v>98</v>
      </c>
      <c r="K15" s="93" t="s">
        <v>135</v>
      </c>
      <c r="L15" s="94" t="s">
        <v>219</v>
      </c>
      <c r="M15" s="91" t="str">
        <f t="shared" si="1"/>
        <v>P0009-Aplicativo SUSALUD contigo IOS</v>
      </c>
    </row>
    <row r="16" spans="1:15" x14ac:dyDescent="0.25">
      <c r="A16" s="90"/>
      <c r="B16" s="88" t="s">
        <v>38</v>
      </c>
      <c r="C16" s="89" t="s">
        <v>215</v>
      </c>
      <c r="D16" s="217">
        <v>42263</v>
      </c>
      <c r="E16" s="217">
        <v>42890</v>
      </c>
      <c r="F16" s="217"/>
      <c r="G16" s="217"/>
      <c r="I16" s="93" t="s">
        <v>84</v>
      </c>
      <c r="J16" s="93" t="s">
        <v>85</v>
      </c>
      <c r="K16" s="93" t="s">
        <v>123</v>
      </c>
      <c r="L16" s="94" t="s">
        <v>219</v>
      </c>
      <c r="M16" s="91" t="str">
        <f t="shared" si="1"/>
        <v>P0010-Soporte de Analista de Calidad</v>
      </c>
    </row>
    <row r="17" spans="1:13" x14ac:dyDescent="0.25">
      <c r="A17" s="90"/>
      <c r="B17" s="88" t="s">
        <v>28</v>
      </c>
      <c r="C17" s="89" t="s">
        <v>214</v>
      </c>
      <c r="D17" s="217">
        <v>42170</v>
      </c>
      <c r="E17" s="88"/>
      <c r="F17" s="88"/>
      <c r="G17" s="88"/>
      <c r="I17" s="93" t="s">
        <v>45</v>
      </c>
      <c r="J17" s="93" t="s">
        <v>47</v>
      </c>
      <c r="K17" s="93" t="s">
        <v>120</v>
      </c>
      <c r="L17" s="94" t="s">
        <v>219</v>
      </c>
      <c r="M17" s="91" t="str">
        <f t="shared" si="1"/>
        <v>P0011-outsourcing  de configuración de productos BBVA</v>
      </c>
    </row>
    <row r="18" spans="1:13" x14ac:dyDescent="0.25">
      <c r="A18" s="90"/>
      <c r="B18" s="88" t="s">
        <v>35</v>
      </c>
      <c r="C18" s="89" t="s">
        <v>214</v>
      </c>
      <c r="D18" s="217">
        <v>42656</v>
      </c>
      <c r="E18" s="88"/>
      <c r="F18" s="88"/>
      <c r="G18" s="88"/>
      <c r="I18" s="93" t="s">
        <v>45</v>
      </c>
      <c r="J18" s="93" t="s">
        <v>88</v>
      </c>
      <c r="K18" s="93" t="s">
        <v>121</v>
      </c>
      <c r="L18" s="94" t="s">
        <v>219</v>
      </c>
      <c r="M18" s="91" t="str">
        <f t="shared" si="1"/>
        <v>P0012-Configuración de productos PIMS</v>
      </c>
    </row>
    <row r="19" spans="1:13" x14ac:dyDescent="0.25">
      <c r="A19" s="90"/>
      <c r="B19" s="88" t="s">
        <v>36</v>
      </c>
      <c r="C19" s="89" t="s">
        <v>214</v>
      </c>
      <c r="D19" s="217">
        <v>42736</v>
      </c>
      <c r="E19" s="88"/>
      <c r="F19" s="88"/>
      <c r="G19" s="88"/>
      <c r="I19" s="93" t="s">
        <v>45</v>
      </c>
      <c r="J19" s="93" t="s">
        <v>51</v>
      </c>
      <c r="K19" s="93" t="s">
        <v>122</v>
      </c>
      <c r="L19" s="94" t="s">
        <v>219</v>
      </c>
      <c r="M19" s="91" t="str">
        <f t="shared" si="1"/>
        <v>P0013-Reportes SBS</v>
      </c>
    </row>
    <row r="20" spans="1:13" x14ac:dyDescent="0.25">
      <c r="A20" s="90"/>
      <c r="B20" s="88" t="s">
        <v>37</v>
      </c>
      <c r="C20" s="89" t="s">
        <v>214</v>
      </c>
      <c r="D20" s="217">
        <v>42736</v>
      </c>
      <c r="E20" s="88"/>
      <c r="F20" s="88"/>
      <c r="G20" s="88"/>
      <c r="I20" s="91" t="s">
        <v>48</v>
      </c>
      <c r="J20" s="91" t="s">
        <v>204</v>
      </c>
      <c r="K20" s="91" t="s">
        <v>435</v>
      </c>
      <c r="L20" s="212" t="s">
        <v>219</v>
      </c>
      <c r="M20" s="91" t="str">
        <f t="shared" si="1"/>
        <v>P0014-REQUERIMIENTO CORE URGENCIA ALTA:DOC REQ.FUNCIONAL 100% FINALIZADO</v>
      </c>
    </row>
    <row r="21" spans="1:13" x14ac:dyDescent="0.25">
      <c r="A21" s="90"/>
      <c r="B21" s="88" t="s">
        <v>33</v>
      </c>
      <c r="C21" s="89" t="s">
        <v>214</v>
      </c>
      <c r="D21" s="217">
        <v>42370</v>
      </c>
      <c r="E21" s="88"/>
      <c r="F21" s="88"/>
      <c r="G21" s="88"/>
      <c r="I21" s="93" t="s">
        <v>103</v>
      </c>
      <c r="J21" s="93" t="s">
        <v>104</v>
      </c>
      <c r="K21" s="93" t="s">
        <v>166</v>
      </c>
      <c r="L21" s="94" t="s">
        <v>219</v>
      </c>
      <c r="M21" s="91" t="str">
        <f t="shared" si="1"/>
        <v>P0015-Mejoras funcionales SOAT Operaciones y RQ de automatización cierre contable</v>
      </c>
    </row>
    <row r="22" spans="1:13" x14ac:dyDescent="0.25">
      <c r="A22" s="90"/>
      <c r="B22" s="88" t="s">
        <v>644</v>
      </c>
      <c r="C22" s="89" t="s">
        <v>214</v>
      </c>
      <c r="D22" s="217">
        <v>42478</v>
      </c>
      <c r="E22" s="88"/>
      <c r="F22" s="88"/>
      <c r="G22" s="88"/>
      <c r="I22" s="91" t="s">
        <v>48</v>
      </c>
      <c r="J22" s="91" t="s">
        <v>433</v>
      </c>
      <c r="K22" s="91" t="s">
        <v>434</v>
      </c>
      <c r="L22" s="94" t="s">
        <v>219</v>
      </c>
      <c r="M22" s="91" t="str">
        <f t="shared" si="1"/>
        <v>P0017-Análisis Funcional - Requerimientos</v>
      </c>
    </row>
    <row r="23" spans="1:13" x14ac:dyDescent="0.25">
      <c r="A23" s="90"/>
      <c r="B23" s="88" t="s">
        <v>32</v>
      </c>
      <c r="C23" s="89" t="s">
        <v>215</v>
      </c>
      <c r="D23" s="217">
        <v>42408</v>
      </c>
      <c r="E23" s="217">
        <v>42860</v>
      </c>
      <c r="F23" s="217"/>
      <c r="G23" s="217"/>
      <c r="I23" s="93" t="s">
        <v>96</v>
      </c>
      <c r="J23" s="93" t="s">
        <v>203</v>
      </c>
      <c r="K23" s="93" t="s">
        <v>156</v>
      </c>
      <c r="L23" s="94" t="s">
        <v>219</v>
      </c>
      <c r="M23" s="91" t="str">
        <f t="shared" si="1"/>
        <v>P0018-Palabritas</v>
      </c>
    </row>
    <row r="24" spans="1:13" x14ac:dyDescent="0.25">
      <c r="A24" s="90"/>
      <c r="B24" s="88" t="s">
        <v>31</v>
      </c>
      <c r="C24" s="89" t="s">
        <v>214</v>
      </c>
      <c r="D24" s="217">
        <v>42481</v>
      </c>
      <c r="E24" s="217">
        <v>42909</v>
      </c>
      <c r="F24" s="217"/>
      <c r="G24" s="217"/>
      <c r="I24" s="93" t="s">
        <v>227</v>
      </c>
      <c r="J24" s="93" t="s">
        <v>228</v>
      </c>
      <c r="K24" s="93" t="s">
        <v>229</v>
      </c>
      <c r="L24" s="94" t="s">
        <v>218</v>
      </c>
      <c r="M24" s="91" t="str">
        <f t="shared" si="1"/>
        <v xml:space="preserve">P0019-Servicios de soporte de segundo nivel sobre Linux en Cloud Softlayer
</v>
      </c>
    </row>
    <row r="25" spans="1:13" x14ac:dyDescent="0.25">
      <c r="A25" s="90"/>
      <c r="B25" s="88" t="s">
        <v>29</v>
      </c>
      <c r="C25" s="89" t="s">
        <v>214</v>
      </c>
      <c r="D25" s="217">
        <v>42313</v>
      </c>
      <c r="E25" s="88"/>
      <c r="F25" s="88"/>
      <c r="G25" s="88"/>
      <c r="I25" s="93" t="s">
        <v>50</v>
      </c>
      <c r="J25" s="93" t="s">
        <v>196</v>
      </c>
      <c r="K25" s="93" t="s">
        <v>127</v>
      </c>
      <c r="L25" s="94" t="s">
        <v>219</v>
      </c>
      <c r="M25" s="91" t="str">
        <f t="shared" si="1"/>
        <v>P0020-Fabrica de Software</v>
      </c>
    </row>
    <row r="26" spans="1:13" x14ac:dyDescent="0.25">
      <c r="A26" s="90"/>
      <c r="B26" s="88" t="s">
        <v>428</v>
      </c>
      <c r="C26" s="89" t="s">
        <v>215</v>
      </c>
      <c r="D26" s="217">
        <v>42858</v>
      </c>
      <c r="E26" s="88"/>
      <c r="F26" s="88"/>
      <c r="G26" s="88"/>
      <c r="I26" s="93" t="s">
        <v>103</v>
      </c>
      <c r="J26" s="93" t="s">
        <v>198</v>
      </c>
      <c r="K26" s="93" t="s">
        <v>199</v>
      </c>
      <c r="L26" s="94" t="s">
        <v>219</v>
      </c>
      <c r="M26" s="91" t="str">
        <f t="shared" si="1"/>
        <v>P0022-Adecuacion SISWEP-Cargas Masivas</v>
      </c>
    </row>
    <row r="27" spans="1:13" x14ac:dyDescent="0.25">
      <c r="A27" s="90"/>
      <c r="B27" s="88" t="s">
        <v>107</v>
      </c>
      <c r="C27" s="89" t="s">
        <v>215</v>
      </c>
      <c r="D27" s="217">
        <v>42858</v>
      </c>
      <c r="E27" s="217">
        <v>42949</v>
      </c>
      <c r="F27" s="217"/>
      <c r="G27" s="217"/>
      <c r="I27" s="91" t="s">
        <v>234</v>
      </c>
      <c r="J27" s="93" t="s">
        <v>206</v>
      </c>
      <c r="K27" s="93" t="str">
        <f>[1]P0023!$C$12</f>
        <v xml:space="preserve"> 8 Aplicaciones Móviles Universidades</v>
      </c>
      <c r="L27" s="94" t="s">
        <v>218</v>
      </c>
      <c r="M27" s="91" t="str">
        <f t="shared" si="1"/>
        <v>P0023- 8 Aplicaciones Móviles Universidades</v>
      </c>
    </row>
    <row r="28" spans="1:13" x14ac:dyDescent="0.25">
      <c r="A28" s="90"/>
      <c r="B28" s="88" t="s">
        <v>134</v>
      </c>
      <c r="C28" s="89" t="s">
        <v>214</v>
      </c>
      <c r="D28" s="217">
        <v>42849</v>
      </c>
      <c r="E28" s="88"/>
      <c r="F28" s="88"/>
      <c r="G28" s="88"/>
      <c r="I28" s="93" t="s">
        <v>78</v>
      </c>
      <c r="J28" s="93" t="s">
        <v>221</v>
      </c>
      <c r="K28" s="93" t="s">
        <v>222</v>
      </c>
      <c r="L28" s="212" t="s">
        <v>219</v>
      </c>
      <c r="M28" s="91" t="str">
        <f t="shared" si="1"/>
        <v>P0024-Totem Digital</v>
      </c>
    </row>
    <row r="29" spans="1:13" x14ac:dyDescent="0.25">
      <c r="A29" s="90"/>
      <c r="B29" s="88" t="s">
        <v>420</v>
      </c>
      <c r="C29" s="89" t="s">
        <v>215</v>
      </c>
      <c r="D29" s="217">
        <v>41947</v>
      </c>
      <c r="E29" s="217">
        <v>42781</v>
      </c>
      <c r="F29" s="217">
        <v>42863</v>
      </c>
      <c r="G29" s="217">
        <v>42902</v>
      </c>
      <c r="I29" s="91" t="s">
        <v>227</v>
      </c>
      <c r="J29" s="91" t="s">
        <v>549</v>
      </c>
      <c r="K29" s="91" t="s">
        <v>623</v>
      </c>
      <c r="L29" s="94" t="s">
        <v>219</v>
      </c>
      <c r="M29" s="91" t="str">
        <f t="shared" si="1"/>
        <v>P0029-Proyecto de Soporte a la Migración de SoftLayer a Amazon</v>
      </c>
    </row>
    <row r="30" spans="1:13" x14ac:dyDescent="0.25">
      <c r="A30" s="90"/>
      <c r="B30" s="88" t="s">
        <v>429</v>
      </c>
      <c r="C30" s="89" t="s">
        <v>215</v>
      </c>
      <c r="D30" s="217">
        <v>42856</v>
      </c>
      <c r="E30" s="217">
        <v>42908</v>
      </c>
      <c r="F30" s="88"/>
      <c r="G30" s="88"/>
      <c r="I30" s="93" t="s">
        <v>103</v>
      </c>
      <c r="J30" s="93" t="s">
        <v>305</v>
      </c>
      <c r="K30" s="93" t="s">
        <v>436</v>
      </c>
      <c r="L30" s="94" t="s">
        <v>219</v>
      </c>
      <c r="M30" s="91" t="str">
        <f t="shared" si="1"/>
        <v xml:space="preserve">P0026-Implementación de Extractores de Gestión TABLEAU </v>
      </c>
    </row>
    <row r="31" spans="1:13" x14ac:dyDescent="0.25">
      <c r="A31" s="90"/>
      <c r="B31" s="88" t="s">
        <v>197</v>
      </c>
      <c r="C31" s="89" t="s">
        <v>214</v>
      </c>
      <c r="D31" s="217">
        <v>42898</v>
      </c>
      <c r="E31" s="88"/>
      <c r="F31" s="88"/>
      <c r="G31" s="88"/>
      <c r="I31" s="91" t="s">
        <v>103</v>
      </c>
      <c r="J31" s="91" t="s">
        <v>306</v>
      </c>
      <c r="K31" s="93" t="s">
        <v>437</v>
      </c>
      <c r="L31" s="91" t="s">
        <v>219</v>
      </c>
      <c r="M31" s="91" t="str">
        <f t="shared" si="1"/>
        <v xml:space="preserve">P0025-Implementación de Indicadores de Gestión TABLEAU </v>
      </c>
    </row>
    <row r="32" spans="1:13" x14ac:dyDescent="0.25">
      <c r="A32" s="90"/>
      <c r="B32" s="88" t="s">
        <v>195</v>
      </c>
      <c r="C32" s="89" t="s">
        <v>214</v>
      </c>
      <c r="D32" s="217">
        <v>42871</v>
      </c>
      <c r="E32" s="88"/>
      <c r="F32" s="88"/>
      <c r="G32" s="88"/>
      <c r="I32" s="91" t="s">
        <v>103</v>
      </c>
      <c r="J32" s="91" t="s">
        <v>361</v>
      </c>
      <c r="K32" s="91" t="s">
        <v>362</v>
      </c>
      <c r="L32" s="91" t="s">
        <v>218</v>
      </c>
      <c r="M32" s="91" t="str">
        <f t="shared" si="1"/>
        <v>P0027-Implementacion del Sistema BackOffice SOAT</v>
      </c>
    </row>
    <row r="33" spans="1:13" x14ac:dyDescent="0.25">
      <c r="A33" s="90"/>
      <c r="B33" s="88" t="s">
        <v>200</v>
      </c>
      <c r="C33" s="89" t="s">
        <v>215</v>
      </c>
      <c r="D33" s="217">
        <v>42895</v>
      </c>
      <c r="E33" s="217">
        <v>42916</v>
      </c>
      <c r="F33" s="88"/>
      <c r="G33" s="88"/>
      <c r="I33" s="93" t="s">
        <v>50</v>
      </c>
      <c r="J33" s="91" t="s">
        <v>411</v>
      </c>
      <c r="K33" s="91" t="s">
        <v>410</v>
      </c>
      <c r="L33" s="91" t="s">
        <v>219</v>
      </c>
      <c r="M33" s="91" t="str">
        <f t="shared" si="1"/>
        <v>P0030-Servicios de Elaboracion REF - GA</v>
      </c>
    </row>
    <row r="34" spans="1:13" x14ac:dyDescent="0.25">
      <c r="A34" s="90"/>
      <c r="B34" s="88" t="s">
        <v>231</v>
      </c>
      <c r="C34" s="89" t="s">
        <v>215</v>
      </c>
      <c r="D34" s="88"/>
      <c r="E34" s="88"/>
      <c r="F34" s="88"/>
      <c r="G34" s="88"/>
      <c r="I34" s="91" t="s">
        <v>103</v>
      </c>
      <c r="J34" s="91" t="s">
        <v>562</v>
      </c>
      <c r="K34" s="91" t="s">
        <v>563</v>
      </c>
      <c r="L34" s="91" t="s">
        <v>218</v>
      </c>
      <c r="M34" s="91" t="str">
        <f>CONCATENATE(J34,"-",K34)</f>
        <v>P0033-Mejoras Sistema V-Time</v>
      </c>
    </row>
    <row r="35" spans="1:13" x14ac:dyDescent="0.25">
      <c r="A35" s="90"/>
      <c r="B35" s="129" t="s">
        <v>265</v>
      </c>
      <c r="C35" s="130" t="s">
        <v>215</v>
      </c>
      <c r="D35" s="129"/>
      <c r="E35" s="129"/>
      <c r="F35" s="129"/>
      <c r="G35" s="129"/>
      <c r="I35" s="91" t="s">
        <v>45</v>
      </c>
      <c r="J35" s="91" t="s">
        <v>415</v>
      </c>
      <c r="K35" s="91" t="s">
        <v>416</v>
      </c>
      <c r="L35" s="91" t="s">
        <v>219</v>
      </c>
      <c r="M35" s="91" t="str">
        <f>CONCATENATE(J35,"-",K35)</f>
        <v>P0032-Configuración de nuevos productos PIMS</v>
      </c>
    </row>
    <row r="36" spans="1:13" x14ac:dyDescent="0.25">
      <c r="A36" s="90"/>
      <c r="B36" s="129" t="s">
        <v>19</v>
      </c>
      <c r="C36" s="130" t="s">
        <v>215</v>
      </c>
      <c r="D36" s="219">
        <v>42370</v>
      </c>
      <c r="E36" s="129"/>
      <c r="F36" s="129"/>
      <c r="G36" s="129"/>
      <c r="I36" s="91" t="s">
        <v>91</v>
      </c>
      <c r="J36" s="91" t="s">
        <v>542</v>
      </c>
      <c r="K36" s="91" t="s">
        <v>585</v>
      </c>
      <c r="L36" s="91" t="s">
        <v>217</v>
      </c>
      <c r="M36" s="91" t="str">
        <f>CONCATENATE(J36,"-",K36)</f>
        <v>P0016-ADICIONAL WEB DE LICITACIONES PUBLICAS – SERVICIO ADICIONAL</v>
      </c>
    </row>
    <row r="37" spans="1:13" x14ac:dyDescent="0.25">
      <c r="A37" s="90"/>
      <c r="B37" s="129" t="s">
        <v>11</v>
      </c>
      <c r="C37" s="130" t="s">
        <v>214</v>
      </c>
      <c r="D37" s="219">
        <v>42466</v>
      </c>
      <c r="E37" s="129"/>
      <c r="F37" s="129"/>
      <c r="G37" s="129"/>
      <c r="I37" s="91" t="s">
        <v>50</v>
      </c>
      <c r="J37" s="91" t="s">
        <v>639</v>
      </c>
      <c r="K37" s="91" t="s">
        <v>640</v>
      </c>
      <c r="L37" s="91" t="s">
        <v>219</v>
      </c>
      <c r="M37" s="91" t="str">
        <f>CONCATENATE(J37,"-",K37)</f>
        <v>P0034-Servicios de Desarrollo GDO</v>
      </c>
    </row>
    <row r="38" spans="1:13" x14ac:dyDescent="0.25">
      <c r="A38" s="90"/>
      <c r="B38" s="129" t="s">
        <v>423</v>
      </c>
      <c r="C38" s="130" t="s">
        <v>214</v>
      </c>
      <c r="D38" s="219">
        <v>42475</v>
      </c>
      <c r="E38" s="129"/>
      <c r="F38" s="129"/>
      <c r="G38" s="129"/>
      <c r="I38" s="91" t="s">
        <v>103</v>
      </c>
      <c r="J38" s="91" t="s">
        <v>913</v>
      </c>
      <c r="K38" s="91" t="s">
        <v>916</v>
      </c>
      <c r="L38" s="91" t="s">
        <v>218</v>
      </c>
      <c r="M38" s="91" t="str">
        <f>CONCATENATE(J38,"-",K38)</f>
        <v>P0035-Normativo Reaseguros y RRC</v>
      </c>
    </row>
    <row r="39" spans="1:13" x14ac:dyDescent="0.25">
      <c r="A39" s="90"/>
      <c r="B39" s="129" t="s">
        <v>1</v>
      </c>
      <c r="C39" s="130" t="s">
        <v>214</v>
      </c>
      <c r="D39" s="219">
        <v>42737</v>
      </c>
      <c r="E39" s="129"/>
      <c r="F39" s="129"/>
      <c r="G39" s="129"/>
    </row>
    <row r="40" spans="1:13" x14ac:dyDescent="0.25">
      <c r="A40" s="90"/>
      <c r="B40" s="129" t="s">
        <v>22</v>
      </c>
      <c r="C40" s="130" t="s">
        <v>214</v>
      </c>
      <c r="D40" s="219">
        <v>42584</v>
      </c>
      <c r="E40" s="129"/>
      <c r="F40" s="129"/>
      <c r="G40" s="129"/>
    </row>
    <row r="41" spans="1:13" x14ac:dyDescent="0.25">
      <c r="A41" s="90"/>
      <c r="B41" s="129" t="s">
        <v>5</v>
      </c>
      <c r="C41" s="130" t="s">
        <v>214</v>
      </c>
      <c r="D41" s="219">
        <v>42370</v>
      </c>
      <c r="E41" s="129"/>
      <c r="F41" s="129"/>
      <c r="G41" s="129"/>
    </row>
    <row r="42" spans="1:13" x14ac:dyDescent="0.25">
      <c r="A42" s="90"/>
      <c r="B42" s="129" t="s">
        <v>10</v>
      </c>
      <c r="C42" s="130" t="s">
        <v>214</v>
      </c>
      <c r="D42" s="219">
        <v>42370</v>
      </c>
      <c r="E42" s="129"/>
      <c r="F42" s="129"/>
      <c r="G42" s="129"/>
    </row>
    <row r="43" spans="1:13" x14ac:dyDescent="0.25">
      <c r="A43" s="90"/>
      <c r="B43" s="129" t="s">
        <v>3</v>
      </c>
      <c r="C43" s="130" t="s">
        <v>214</v>
      </c>
      <c r="D43" s="219">
        <v>42461</v>
      </c>
      <c r="E43" s="129"/>
      <c r="F43" s="129"/>
      <c r="G43" s="129"/>
    </row>
    <row r="44" spans="1:13" x14ac:dyDescent="0.25">
      <c r="A44" s="90"/>
      <c r="B44" s="129" t="s">
        <v>20</v>
      </c>
      <c r="C44" s="130" t="s">
        <v>214</v>
      </c>
      <c r="D44" s="219">
        <v>42522</v>
      </c>
      <c r="E44" s="129"/>
      <c r="F44" s="129"/>
      <c r="G44" s="129"/>
    </row>
    <row r="45" spans="1:13" x14ac:dyDescent="0.25">
      <c r="A45" s="90"/>
      <c r="B45" s="129" t="s">
        <v>430</v>
      </c>
      <c r="C45" s="130" t="s">
        <v>214</v>
      </c>
      <c r="D45" s="219">
        <v>42919</v>
      </c>
      <c r="E45" s="129"/>
      <c r="F45" s="129"/>
      <c r="G45" s="129"/>
    </row>
    <row r="46" spans="1:13" x14ac:dyDescent="0.25">
      <c r="A46" s="90"/>
      <c r="B46" s="129" t="s">
        <v>23</v>
      </c>
      <c r="C46" s="130" t="s">
        <v>215</v>
      </c>
      <c r="D46" s="129" t="s">
        <v>441</v>
      </c>
      <c r="E46" s="219">
        <v>42931</v>
      </c>
      <c r="F46" s="129"/>
      <c r="G46" s="129"/>
    </row>
    <row r="47" spans="1:13" x14ac:dyDescent="0.25">
      <c r="A47" s="90"/>
      <c r="B47" s="129" t="s">
        <v>272</v>
      </c>
      <c r="C47" s="130" t="s">
        <v>215</v>
      </c>
      <c r="D47" s="129"/>
      <c r="E47" s="129"/>
      <c r="F47" s="129"/>
      <c r="G47" s="129"/>
    </row>
    <row r="48" spans="1:13" x14ac:dyDescent="0.25">
      <c r="A48" s="90"/>
      <c r="B48" s="129" t="s">
        <v>21</v>
      </c>
      <c r="C48" s="130" t="s">
        <v>214</v>
      </c>
      <c r="D48" s="219">
        <v>42373</v>
      </c>
      <c r="E48" s="129"/>
      <c r="F48" s="129"/>
      <c r="G48" s="129"/>
    </row>
    <row r="49" spans="1:7" x14ac:dyDescent="0.25">
      <c r="A49" s="90"/>
      <c r="B49" s="129" t="s">
        <v>7</v>
      </c>
      <c r="C49" s="130" t="s">
        <v>214</v>
      </c>
      <c r="D49" s="219">
        <v>42740</v>
      </c>
      <c r="E49" s="129"/>
      <c r="F49" s="129"/>
      <c r="G49" s="129"/>
    </row>
    <row r="50" spans="1:7" x14ac:dyDescent="0.25">
      <c r="A50" s="90"/>
      <c r="B50" s="129" t="s">
        <v>16</v>
      </c>
      <c r="C50" s="130" t="s">
        <v>214</v>
      </c>
      <c r="D50" s="219">
        <v>42373</v>
      </c>
      <c r="E50" s="129"/>
      <c r="F50" s="129"/>
      <c r="G50" s="129"/>
    </row>
    <row r="51" spans="1:7" x14ac:dyDescent="0.25">
      <c r="A51" s="90"/>
      <c r="B51" s="129" t="s">
        <v>4</v>
      </c>
      <c r="C51" s="130" t="s">
        <v>214</v>
      </c>
      <c r="D51" s="219">
        <v>42411</v>
      </c>
      <c r="E51" s="219">
        <v>42704</v>
      </c>
      <c r="F51" s="219">
        <v>42767</v>
      </c>
      <c r="G51" s="129"/>
    </row>
    <row r="52" spans="1:7" x14ac:dyDescent="0.25">
      <c r="A52" s="90"/>
      <c r="B52" s="129" t="s">
        <v>2</v>
      </c>
      <c r="C52" s="130" t="s">
        <v>214</v>
      </c>
      <c r="D52" s="219">
        <v>42129</v>
      </c>
      <c r="E52" s="129"/>
      <c r="F52" s="129"/>
      <c r="G52" s="129"/>
    </row>
    <row r="53" spans="1:7" x14ac:dyDescent="0.25">
      <c r="A53" s="90"/>
      <c r="B53" s="129" t="s">
        <v>18</v>
      </c>
      <c r="C53" s="130" t="s">
        <v>214</v>
      </c>
      <c r="D53" s="219">
        <v>42370</v>
      </c>
      <c r="E53" s="129"/>
      <c r="F53" s="129"/>
      <c r="G53" s="129"/>
    </row>
    <row r="54" spans="1:7" x14ac:dyDescent="0.25">
      <c r="A54" s="90"/>
      <c r="B54" s="129" t="s">
        <v>14</v>
      </c>
      <c r="C54" s="130" t="s">
        <v>214</v>
      </c>
      <c r="D54" s="219">
        <v>42606</v>
      </c>
      <c r="E54" s="129"/>
      <c r="F54" s="129"/>
      <c r="G54" s="129"/>
    </row>
    <row r="55" spans="1:7" x14ac:dyDescent="0.25">
      <c r="A55" s="90"/>
      <c r="B55" s="129" t="s">
        <v>12</v>
      </c>
      <c r="C55" s="130" t="s">
        <v>214</v>
      </c>
      <c r="D55" s="219">
        <v>42373</v>
      </c>
      <c r="E55" s="129"/>
      <c r="F55" s="129"/>
      <c r="G55" s="129"/>
    </row>
    <row r="56" spans="1:7" x14ac:dyDescent="0.25">
      <c r="A56" s="90"/>
      <c r="B56" s="129" t="s">
        <v>8</v>
      </c>
      <c r="C56" s="130" t="s">
        <v>214</v>
      </c>
      <c r="D56" s="219">
        <v>42370</v>
      </c>
      <c r="E56" s="129"/>
      <c r="F56" s="129"/>
      <c r="G56" s="129"/>
    </row>
    <row r="57" spans="1:7" x14ac:dyDescent="0.25">
      <c r="A57" s="90"/>
      <c r="B57" s="129" t="s">
        <v>13</v>
      </c>
      <c r="C57" s="130" t="s">
        <v>214</v>
      </c>
      <c r="D57" s="219">
        <v>42635</v>
      </c>
      <c r="E57" s="129"/>
      <c r="F57" s="129"/>
      <c r="G57" s="129"/>
    </row>
    <row r="58" spans="1:7" x14ac:dyDescent="0.25">
      <c r="A58" s="90"/>
      <c r="B58" s="129" t="s">
        <v>9</v>
      </c>
      <c r="C58" s="130" t="s">
        <v>214</v>
      </c>
      <c r="D58" s="219">
        <v>42695</v>
      </c>
      <c r="E58" s="129"/>
      <c r="F58" s="129"/>
      <c r="G58" s="129"/>
    </row>
    <row r="59" spans="1:7" x14ac:dyDescent="0.25">
      <c r="A59" s="90"/>
      <c r="B59" s="129" t="s">
        <v>25</v>
      </c>
      <c r="C59" s="130" t="s">
        <v>214</v>
      </c>
      <c r="D59" s="219">
        <v>42552</v>
      </c>
      <c r="E59" s="129"/>
      <c r="F59" s="129"/>
      <c r="G59" s="129"/>
    </row>
    <row r="60" spans="1:7" x14ac:dyDescent="0.25">
      <c r="A60" s="90"/>
      <c r="B60" s="129" t="s">
        <v>26</v>
      </c>
      <c r="C60" s="130" t="s">
        <v>214</v>
      </c>
      <c r="D60" s="219">
        <v>42552</v>
      </c>
      <c r="E60" s="129"/>
      <c r="F60" s="129"/>
      <c r="G60" s="129"/>
    </row>
    <row r="61" spans="1:7" x14ac:dyDescent="0.25">
      <c r="A61" s="90"/>
      <c r="B61" s="129" t="s">
        <v>17</v>
      </c>
      <c r="C61" s="130" t="s">
        <v>215</v>
      </c>
      <c r="D61" s="219">
        <v>42832</v>
      </c>
      <c r="E61" s="219">
        <v>42916</v>
      </c>
      <c r="F61" s="129"/>
      <c r="G61" s="129"/>
    </row>
    <row r="62" spans="1:7" x14ac:dyDescent="0.25">
      <c r="A62" s="90"/>
      <c r="B62" s="129" t="s">
        <v>282</v>
      </c>
      <c r="C62" s="130" t="s">
        <v>215</v>
      </c>
      <c r="D62" s="129"/>
      <c r="E62" s="129"/>
      <c r="F62" s="129"/>
      <c r="G62" s="129"/>
    </row>
    <row r="63" spans="1:7" x14ac:dyDescent="0.25">
      <c r="A63" s="90"/>
      <c r="B63" s="129" t="s">
        <v>421</v>
      </c>
      <c r="C63" s="130" t="s">
        <v>215</v>
      </c>
      <c r="D63" s="219">
        <v>42064</v>
      </c>
      <c r="E63" s="219">
        <v>42809</v>
      </c>
      <c r="F63" s="129"/>
      <c r="G63" s="129"/>
    </row>
    <row r="64" spans="1:7" x14ac:dyDescent="0.25">
      <c r="A64" s="90"/>
      <c r="B64" s="129" t="s">
        <v>418</v>
      </c>
      <c r="C64" s="130" t="s">
        <v>215</v>
      </c>
      <c r="D64" s="219">
        <v>42523</v>
      </c>
      <c r="E64" s="219">
        <v>42829</v>
      </c>
      <c r="F64" s="129"/>
      <c r="G64" s="129"/>
    </row>
    <row r="65" spans="1:7" x14ac:dyDescent="0.25">
      <c r="A65" s="90"/>
      <c r="B65" s="129" t="s">
        <v>422</v>
      </c>
      <c r="C65" s="130" t="s">
        <v>215</v>
      </c>
      <c r="D65" s="219">
        <v>42242</v>
      </c>
      <c r="E65" s="219">
        <v>42783</v>
      </c>
      <c r="F65" s="129"/>
      <c r="G65" s="129"/>
    </row>
    <row r="66" spans="1:7" x14ac:dyDescent="0.25">
      <c r="A66" s="90"/>
      <c r="B66" s="129" t="s">
        <v>425</v>
      </c>
      <c r="C66" s="130" t="s">
        <v>215</v>
      </c>
      <c r="D66" s="219">
        <v>42418</v>
      </c>
      <c r="E66" s="219">
        <v>42825</v>
      </c>
      <c r="F66" s="129"/>
      <c r="G66" s="129"/>
    </row>
    <row r="67" spans="1:7" x14ac:dyDescent="0.25">
      <c r="A67" s="90"/>
      <c r="B67" s="129" t="s">
        <v>427</v>
      </c>
      <c r="C67" s="130" t="s">
        <v>215</v>
      </c>
      <c r="D67" s="219">
        <v>42618</v>
      </c>
      <c r="E67" s="219">
        <v>42804</v>
      </c>
      <c r="F67" s="129"/>
      <c r="G67" s="129"/>
    </row>
    <row r="68" spans="1:7" x14ac:dyDescent="0.25">
      <c r="A68" s="90"/>
      <c r="B68" s="129" t="s">
        <v>419</v>
      </c>
      <c r="C68" s="130" t="s">
        <v>215</v>
      </c>
      <c r="D68" s="219">
        <v>42054</v>
      </c>
      <c r="E68" s="219">
        <v>42855</v>
      </c>
      <c r="F68" s="129"/>
      <c r="G68" s="129"/>
    </row>
    <row r="69" spans="1:7" x14ac:dyDescent="0.25">
      <c r="A69" s="90"/>
      <c r="B69" s="129" t="s">
        <v>0</v>
      </c>
      <c r="C69" s="130" t="s">
        <v>215</v>
      </c>
      <c r="D69" s="219">
        <v>41883</v>
      </c>
      <c r="E69" s="219">
        <v>42886</v>
      </c>
      <c r="F69" s="129"/>
      <c r="G69" s="129"/>
    </row>
    <row r="70" spans="1:7" x14ac:dyDescent="0.25">
      <c r="A70" s="90"/>
      <c r="B70" s="129" t="s">
        <v>15</v>
      </c>
      <c r="C70" s="130" t="s">
        <v>215</v>
      </c>
      <c r="D70" s="219">
        <v>42817</v>
      </c>
      <c r="E70" s="219">
        <v>42892</v>
      </c>
      <c r="F70" s="129"/>
      <c r="G70" s="129"/>
    </row>
    <row r="71" spans="1:7" x14ac:dyDescent="0.25">
      <c r="A71" s="90"/>
      <c r="B71" s="129" t="s">
        <v>417</v>
      </c>
      <c r="C71" s="130" t="s">
        <v>215</v>
      </c>
      <c r="D71" s="219">
        <v>42370</v>
      </c>
      <c r="E71" s="219">
        <v>42855</v>
      </c>
      <c r="F71" s="129"/>
      <c r="G71" s="129"/>
    </row>
    <row r="72" spans="1:7" x14ac:dyDescent="0.25">
      <c r="A72" s="90"/>
      <c r="B72" s="129" t="s">
        <v>424</v>
      </c>
      <c r="C72" s="130" t="s">
        <v>215</v>
      </c>
      <c r="D72" s="219">
        <v>42394</v>
      </c>
      <c r="E72" s="219">
        <v>42855</v>
      </c>
      <c r="F72" s="129"/>
      <c r="G72" s="129"/>
    </row>
    <row r="73" spans="1:7" x14ac:dyDescent="0.25">
      <c r="A73" s="90"/>
      <c r="B73" s="129" t="s">
        <v>6</v>
      </c>
      <c r="C73" s="130" t="s">
        <v>215</v>
      </c>
      <c r="D73" s="219">
        <v>42816</v>
      </c>
      <c r="E73" s="219">
        <v>42916</v>
      </c>
      <c r="F73" s="129"/>
      <c r="G73" s="129"/>
    </row>
    <row r="74" spans="1:7" x14ac:dyDescent="0.25">
      <c r="A74" s="90"/>
      <c r="B74" s="88" t="s">
        <v>431</v>
      </c>
      <c r="C74" s="89" t="s">
        <v>214</v>
      </c>
      <c r="D74" s="217">
        <v>42940</v>
      </c>
      <c r="E74" s="88"/>
      <c r="F74" s="88"/>
      <c r="G74" s="88"/>
    </row>
    <row r="75" spans="1:7" x14ac:dyDescent="0.25">
      <c r="A75" s="90"/>
      <c r="B75" s="88" t="s">
        <v>432</v>
      </c>
      <c r="C75" s="89" t="s">
        <v>214</v>
      </c>
      <c r="D75" s="217">
        <v>42947</v>
      </c>
      <c r="E75" s="88"/>
      <c r="F75" s="88"/>
      <c r="G75" s="88"/>
    </row>
    <row r="76" spans="1:7" x14ac:dyDescent="0.25">
      <c r="A76" s="90"/>
      <c r="B76" s="88" t="s">
        <v>426</v>
      </c>
      <c r="C76" s="89" t="s">
        <v>215</v>
      </c>
      <c r="D76" s="217">
        <v>42370</v>
      </c>
      <c r="E76" s="217">
        <v>42766</v>
      </c>
      <c r="F76" s="88"/>
      <c r="G76" s="88"/>
    </row>
    <row r="77" spans="1:7" x14ac:dyDescent="0.25">
      <c r="A77" s="90"/>
      <c r="B77" s="88" t="s">
        <v>442</v>
      </c>
      <c r="C77" s="89" t="s">
        <v>214</v>
      </c>
      <c r="D77" s="88"/>
      <c r="E77" s="88"/>
      <c r="F77" s="88"/>
      <c r="G77" s="88"/>
    </row>
    <row r="78" spans="1:7" x14ac:dyDescent="0.25">
      <c r="A78" s="90"/>
      <c r="B78" s="88" t="s">
        <v>614</v>
      </c>
      <c r="C78" s="89" t="s">
        <v>215</v>
      </c>
      <c r="D78" s="88"/>
      <c r="E78" s="88"/>
      <c r="F78" s="88"/>
      <c r="G78" s="88"/>
    </row>
    <row r="79" spans="1:7" x14ac:dyDescent="0.25">
      <c r="A79" s="90"/>
      <c r="B79" s="88" t="s">
        <v>857</v>
      </c>
      <c r="C79" s="89" t="s">
        <v>215</v>
      </c>
      <c r="D79" s="88"/>
      <c r="E79" s="88"/>
      <c r="F79" s="88"/>
      <c r="G79" s="88"/>
    </row>
    <row r="80" spans="1:7" x14ac:dyDescent="0.25">
      <c r="A80" s="90"/>
      <c r="B80" s="88" t="s">
        <v>864</v>
      </c>
      <c r="C80" s="89" t="s">
        <v>215</v>
      </c>
      <c r="D80" s="88"/>
      <c r="E80" s="88"/>
      <c r="F80" s="88"/>
      <c r="G80" s="88"/>
    </row>
    <row r="81" spans="1:7" x14ac:dyDescent="0.25">
      <c r="A81" s="90"/>
      <c r="B81" s="88" t="s">
        <v>897</v>
      </c>
      <c r="C81" s="89" t="s">
        <v>215</v>
      </c>
      <c r="D81" s="88"/>
      <c r="E81" s="88"/>
      <c r="F81" s="88"/>
      <c r="G81" s="88"/>
    </row>
    <row r="82" spans="1:7" x14ac:dyDescent="0.25">
      <c r="A82" s="90"/>
      <c r="B82" s="88" t="s">
        <v>973</v>
      </c>
      <c r="C82" s="89" t="s">
        <v>214</v>
      </c>
      <c r="D82" s="88"/>
      <c r="E82" s="88"/>
      <c r="F82" s="88"/>
      <c r="G82" s="88"/>
    </row>
    <row r="83" spans="1:7" x14ac:dyDescent="0.25">
      <c r="A83" s="90"/>
      <c r="B83" s="88" t="s">
        <v>944</v>
      </c>
      <c r="C83" s="89" t="s">
        <v>215</v>
      </c>
      <c r="D83" s="88"/>
      <c r="E83" s="88"/>
      <c r="F83" s="88"/>
      <c r="G83" s="88"/>
    </row>
    <row r="84" spans="1:7" x14ac:dyDescent="0.25">
      <c r="A84" s="90"/>
      <c r="B84" s="88" t="s">
        <v>974</v>
      </c>
      <c r="C84" s="89" t="s">
        <v>214</v>
      </c>
      <c r="D84" s="88"/>
      <c r="E84" s="88"/>
      <c r="F84" s="88"/>
      <c r="G84" s="88"/>
    </row>
    <row r="85" spans="1:7" x14ac:dyDescent="0.25">
      <c r="A85" s="90"/>
      <c r="B85" s="88" t="s">
        <v>972</v>
      </c>
      <c r="C85" s="89" t="s">
        <v>214</v>
      </c>
      <c r="D85" s="88"/>
      <c r="E85" s="88"/>
      <c r="F85" s="88"/>
      <c r="G85" s="88"/>
    </row>
    <row r="86" spans="1:7" x14ac:dyDescent="0.25">
      <c r="A86" s="90"/>
      <c r="B86" s="88" t="s">
        <v>980</v>
      </c>
      <c r="C86" s="89" t="s">
        <v>214</v>
      </c>
      <c r="D86" s="88"/>
      <c r="E86" s="88"/>
      <c r="F86" s="88"/>
      <c r="G86" s="88"/>
    </row>
    <row r="87" spans="1:7" x14ac:dyDescent="0.25">
      <c r="A87" s="90"/>
      <c r="B87" s="88" t="s">
        <v>985</v>
      </c>
      <c r="C87" s="89" t="s">
        <v>214</v>
      </c>
      <c r="D87" s="88"/>
      <c r="E87" s="88"/>
      <c r="F87" s="88"/>
      <c r="G87" s="88"/>
    </row>
    <row r="88" spans="1:7" x14ac:dyDescent="0.25">
      <c r="A88" s="90"/>
      <c r="B88" s="88"/>
      <c r="C88" s="89"/>
      <c r="D88" s="88"/>
      <c r="E88" s="88"/>
      <c r="F88" s="88"/>
      <c r="G88" s="88"/>
    </row>
    <row r="89" spans="1:7" x14ac:dyDescent="0.25">
      <c r="A89" s="90"/>
      <c r="B89" s="88"/>
      <c r="C89" s="89"/>
      <c r="D89" s="88"/>
      <c r="E89" s="88"/>
      <c r="F89" s="88"/>
      <c r="G89" s="88"/>
    </row>
    <row r="90" spans="1:7" x14ac:dyDescent="0.25">
      <c r="A90" s="90"/>
      <c r="B90" s="88"/>
      <c r="C90" s="89"/>
      <c r="D90" s="88"/>
      <c r="E90" s="88"/>
      <c r="F90" s="88"/>
      <c r="G90" s="88"/>
    </row>
    <row r="91" spans="1:7" x14ac:dyDescent="0.25">
      <c r="A91" s="90"/>
      <c r="B91" s="88"/>
      <c r="C91" s="89"/>
      <c r="D91" s="88"/>
      <c r="E91" s="88"/>
      <c r="F91" s="88"/>
      <c r="G91" s="88"/>
    </row>
    <row r="92" spans="1:7" x14ac:dyDescent="0.25">
      <c r="A92" s="90"/>
      <c r="B92" s="88"/>
      <c r="C92" s="89"/>
      <c r="D92" s="88"/>
      <c r="E92" s="88"/>
      <c r="F92" s="88"/>
      <c r="G92" s="88"/>
    </row>
    <row r="93" spans="1:7" x14ac:dyDescent="0.25">
      <c r="A93" s="90"/>
      <c r="B93" s="88"/>
      <c r="C93" s="89"/>
      <c r="D93" s="88"/>
      <c r="E93" s="88"/>
      <c r="F93" s="88"/>
      <c r="G93" s="88"/>
    </row>
    <row r="94" spans="1:7" x14ac:dyDescent="0.25">
      <c r="A94" s="90"/>
      <c r="B94" s="88"/>
      <c r="C94" s="89"/>
      <c r="D94" s="88"/>
      <c r="E94" s="88"/>
      <c r="F94" s="88"/>
      <c r="G94" s="88"/>
    </row>
    <row r="95" spans="1:7" x14ac:dyDescent="0.25">
      <c r="A95" s="90"/>
      <c r="B95" s="88"/>
      <c r="C95" s="89"/>
      <c r="D95" s="88"/>
      <c r="E95" s="88"/>
      <c r="F95" s="88"/>
      <c r="G95" s="88"/>
    </row>
    <row r="96" spans="1:7" x14ac:dyDescent="0.25">
      <c r="A96" s="90"/>
      <c r="B96" s="88"/>
      <c r="C96" s="89"/>
      <c r="D96" s="88"/>
      <c r="E96" s="88"/>
      <c r="F96" s="88"/>
      <c r="G96" s="88"/>
    </row>
    <row r="97" spans="1:7" x14ac:dyDescent="0.25">
      <c r="A97" s="90"/>
      <c r="B97" s="88"/>
      <c r="C97" s="89"/>
      <c r="D97" s="88"/>
      <c r="E97" s="88"/>
      <c r="F97" s="88"/>
      <c r="G97" s="88"/>
    </row>
    <row r="98" spans="1:7" x14ac:dyDescent="0.25">
      <c r="A98" s="90"/>
      <c r="B98" s="88"/>
      <c r="C98" s="89"/>
      <c r="D98" s="88"/>
      <c r="E98" s="88"/>
      <c r="F98" s="88"/>
      <c r="G98" s="88"/>
    </row>
    <row r="99" spans="1:7" x14ac:dyDescent="0.25">
      <c r="A99" s="90"/>
      <c r="B99" s="88"/>
      <c r="C99" s="89"/>
      <c r="D99" s="88"/>
      <c r="E99" s="88"/>
      <c r="F99" s="88"/>
      <c r="G99" s="88"/>
    </row>
    <row r="100" spans="1:7" x14ac:dyDescent="0.25">
      <c r="A100" s="90"/>
      <c r="B100" s="88"/>
      <c r="C100" s="89"/>
      <c r="D100" s="88"/>
      <c r="E100" s="88"/>
      <c r="F100" s="88"/>
      <c r="G100" s="88"/>
    </row>
    <row r="101" spans="1:7" x14ac:dyDescent="0.25">
      <c r="A101" s="90"/>
      <c r="B101" s="88"/>
      <c r="C101" s="89"/>
      <c r="D101" s="88"/>
      <c r="E101" s="88"/>
      <c r="F101" s="88"/>
      <c r="G101" s="88"/>
    </row>
    <row r="102" spans="1:7" x14ac:dyDescent="0.25">
      <c r="A102" s="90"/>
      <c r="B102" s="88"/>
      <c r="C102" s="89"/>
      <c r="D102" s="88"/>
      <c r="E102" s="88"/>
      <c r="F102" s="88"/>
      <c r="G102" s="88"/>
    </row>
    <row r="103" spans="1:7" x14ac:dyDescent="0.25">
      <c r="A103" s="90"/>
      <c r="B103" s="88"/>
      <c r="C103" s="89"/>
      <c r="D103" s="88"/>
      <c r="E103" s="88"/>
      <c r="F103" s="88"/>
      <c r="G103" s="88"/>
    </row>
    <row r="104" spans="1:7" x14ac:dyDescent="0.25">
      <c r="A104" s="90"/>
      <c r="B104" s="88"/>
      <c r="C104" s="89"/>
      <c r="D104" s="88"/>
      <c r="E104" s="88"/>
      <c r="F104" s="88"/>
      <c r="G104" s="88"/>
    </row>
    <row r="105" spans="1:7" x14ac:dyDescent="0.25">
      <c r="A105" s="90"/>
      <c r="B105" s="88"/>
      <c r="C105" s="89"/>
      <c r="D105" s="88"/>
      <c r="E105" s="88"/>
      <c r="F105" s="88"/>
      <c r="G105" s="88"/>
    </row>
    <row r="106" spans="1:7" x14ac:dyDescent="0.25">
      <c r="A106" s="90"/>
      <c r="B106" s="88"/>
      <c r="C106" s="89"/>
      <c r="D106" s="88"/>
      <c r="E106" s="88"/>
      <c r="F106" s="88"/>
      <c r="G106" s="88"/>
    </row>
    <row r="107" spans="1:7" x14ac:dyDescent="0.25">
      <c r="A107" s="90"/>
      <c r="B107" s="88"/>
      <c r="C107" s="89"/>
      <c r="D107" s="88"/>
      <c r="E107" s="88"/>
      <c r="F107" s="88"/>
      <c r="G107" s="88"/>
    </row>
    <row r="108" spans="1:7" x14ac:dyDescent="0.25">
      <c r="A108" s="90"/>
      <c r="B108" s="88"/>
      <c r="C108" s="89"/>
      <c r="D108" s="88"/>
      <c r="E108" s="88"/>
      <c r="F108" s="88"/>
      <c r="G108" s="88"/>
    </row>
    <row r="109" spans="1:7" x14ac:dyDescent="0.25">
      <c r="A109" s="90"/>
      <c r="B109" s="88"/>
      <c r="C109" s="89"/>
      <c r="D109" s="88"/>
      <c r="E109" s="88"/>
      <c r="F109" s="88"/>
      <c r="G109" s="88"/>
    </row>
    <row r="110" spans="1:7" x14ac:dyDescent="0.25">
      <c r="A110" s="90"/>
      <c r="B110" s="88"/>
      <c r="C110" s="89"/>
      <c r="D110" s="88"/>
      <c r="E110" s="88"/>
      <c r="F110" s="88"/>
      <c r="G110" s="88"/>
    </row>
    <row r="111" spans="1:7" x14ac:dyDescent="0.25">
      <c r="A111" s="90"/>
      <c r="B111" s="88"/>
      <c r="C111" s="89"/>
      <c r="D111" s="88"/>
      <c r="E111" s="88"/>
      <c r="F111" s="88"/>
      <c r="G111" s="88"/>
    </row>
  </sheetData>
  <sortState ref="I2:K23">
    <sortCondition ref="J10:J31"/>
  </sortState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-0.499984740745262"/>
  </sheetPr>
  <dimension ref="A4:CE245"/>
  <sheetViews>
    <sheetView showGridLines="0" zoomScaleNormal="100" workbookViewId="0">
      <pane xSplit="10" ySplit="7" topLeftCell="BC86" activePane="bottomRight" state="frozen"/>
      <selection activeCell="G8" sqref="G8"/>
      <selection pane="topRight" activeCell="G8" sqref="G8"/>
      <selection pane="bottomLeft" activeCell="G8" sqref="G8"/>
      <selection pane="bottomRight" activeCell="BD3" sqref="BD3"/>
    </sheetView>
  </sheetViews>
  <sheetFormatPr baseColWidth="10" defaultRowHeight="12" x14ac:dyDescent="0.2"/>
  <cols>
    <col min="1" max="1" width="2.7109375" style="6" customWidth="1"/>
    <col min="2" max="2" width="16" style="8" customWidth="1"/>
    <col min="3" max="3" width="25.7109375" style="6" customWidth="1"/>
    <col min="4" max="4" width="9.5703125" style="8" customWidth="1"/>
    <col min="5" max="5" width="15.7109375" style="8" customWidth="1"/>
    <col min="6" max="6" width="10.140625" style="8" customWidth="1"/>
    <col min="7" max="7" width="11.5703125" style="8" customWidth="1"/>
    <col min="8" max="8" width="8.85546875" style="8" customWidth="1"/>
    <col min="9" max="9" width="29.85546875" style="8" customWidth="1"/>
    <col min="10" max="10" width="26.5703125" style="8" customWidth="1"/>
    <col min="11" max="11" width="9.5703125" style="8" customWidth="1"/>
    <col min="12" max="12" width="10.28515625" style="8" customWidth="1"/>
    <col min="13" max="13" width="9.85546875" style="8" customWidth="1"/>
    <col min="14" max="14" width="9.42578125" style="8" customWidth="1"/>
    <col min="15" max="15" width="9.5703125" style="8" customWidth="1"/>
    <col min="16" max="16" width="9.7109375" style="8" customWidth="1"/>
    <col min="17" max="17" width="11.42578125" style="8" customWidth="1"/>
    <col min="18" max="18" width="11.85546875" style="8" customWidth="1"/>
    <col min="19" max="19" width="11.42578125" style="8" customWidth="1"/>
    <col min="20" max="20" width="10.140625" style="8" customWidth="1"/>
    <col min="21" max="21" width="9.85546875" style="8" customWidth="1"/>
    <col min="22" max="22" width="10.28515625" style="8" customWidth="1"/>
    <col min="23" max="23" width="9.140625" style="8" customWidth="1"/>
    <col min="24" max="24" width="9.28515625" style="8" customWidth="1"/>
    <col min="25" max="25" width="9.85546875" style="8" customWidth="1"/>
    <col min="26" max="26" width="9.42578125" style="6" customWidth="1"/>
    <col min="27" max="34" width="9.5703125" style="6" customWidth="1"/>
    <col min="35" max="35" width="8" style="6" customWidth="1"/>
    <col min="36" max="39" width="9.5703125" style="6" customWidth="1"/>
    <col min="40" max="40" width="9.28515625" style="6" customWidth="1"/>
    <col min="41" max="42" width="8" style="6" customWidth="1"/>
    <col min="43" max="43" width="7.85546875" style="6" customWidth="1"/>
    <col min="44" max="44" width="9.5703125" style="6" hidden="1" customWidth="1"/>
    <col min="45" max="45" width="7" style="6" customWidth="1"/>
    <col min="46" max="46" width="8.28515625" style="6" customWidth="1"/>
    <col min="47" max="47" width="8" style="6" customWidth="1"/>
    <col min="48" max="48" width="10" style="6" customWidth="1"/>
    <col min="49" max="51" width="9.5703125" style="6" customWidth="1"/>
    <col min="52" max="52" width="9" style="6" customWidth="1"/>
    <col min="53" max="55" width="9.5703125" style="6" customWidth="1"/>
    <col min="56" max="56" width="9" style="6" customWidth="1"/>
    <col min="57" max="57" width="8.42578125" style="6" customWidth="1"/>
    <col min="58" max="60" width="8.7109375" style="6" customWidth="1"/>
    <col min="61" max="61" width="9.5703125" style="6" customWidth="1"/>
    <col min="62" max="62" width="10" style="6" customWidth="1"/>
    <col min="63" max="63" width="9.85546875" style="6" customWidth="1"/>
    <col min="64" max="64" width="9.5703125" style="6" customWidth="1"/>
    <col min="65" max="65" width="10" style="6" customWidth="1"/>
    <col min="66" max="66" width="10.42578125" style="6" customWidth="1"/>
    <col min="67" max="67" width="10.85546875" style="6" customWidth="1"/>
    <col min="68" max="68" width="10.7109375" style="6" customWidth="1"/>
    <col min="69" max="69" width="10.42578125" style="6" customWidth="1"/>
    <col min="70" max="70" width="10.85546875" style="6" customWidth="1"/>
    <col min="71" max="72" width="9.42578125" style="6" customWidth="1"/>
    <col min="73" max="73" width="10.5703125" style="6" customWidth="1"/>
    <col min="74" max="75" width="9.42578125" style="6" customWidth="1"/>
    <col min="76" max="76" width="9.85546875" style="6" customWidth="1"/>
    <col min="77" max="78" width="9.140625" style="6" customWidth="1"/>
    <col min="79" max="79" width="9.42578125" style="6" bestFit="1" customWidth="1"/>
    <col min="80" max="80" width="9.140625" style="6" customWidth="1"/>
    <col min="81" max="81" width="9.42578125" style="6" customWidth="1"/>
    <col min="82" max="82" width="9.140625" style="6" customWidth="1"/>
    <col min="83" max="83" width="10.28515625" style="6" customWidth="1"/>
    <col min="84" max="84" width="9.5703125" style="6" bestFit="1" customWidth="1"/>
    <col min="85" max="85" width="6.85546875" style="6" customWidth="1"/>
    <col min="86" max="90" width="3.85546875" style="6" customWidth="1"/>
    <col min="91" max="16384" width="11.42578125" style="6"/>
  </cols>
  <sheetData>
    <row r="4" spans="1:83" x14ac:dyDescent="0.2">
      <c r="K4" s="41" t="s">
        <v>138</v>
      </c>
      <c r="L4" s="41" t="s">
        <v>138</v>
      </c>
      <c r="M4" s="41" t="s">
        <v>138</v>
      </c>
      <c r="N4" s="41" t="s">
        <v>138</v>
      </c>
      <c r="O4" s="41" t="s">
        <v>138</v>
      </c>
      <c r="P4" s="41" t="s">
        <v>139</v>
      </c>
      <c r="Q4" s="41" t="s">
        <v>139</v>
      </c>
      <c r="R4" s="41" t="s">
        <v>139</v>
      </c>
      <c r="S4" s="41" t="s">
        <v>139</v>
      </c>
      <c r="T4" s="41" t="s">
        <v>139</v>
      </c>
      <c r="U4" s="41" t="s">
        <v>140</v>
      </c>
      <c r="V4" s="41" t="s">
        <v>140</v>
      </c>
      <c r="W4" s="41" t="s">
        <v>140</v>
      </c>
      <c r="X4" s="41" t="s">
        <v>140</v>
      </c>
      <c r="Y4" s="41" t="s">
        <v>140</v>
      </c>
      <c r="Z4" s="41" t="s">
        <v>141</v>
      </c>
      <c r="AA4" s="41" t="s">
        <v>141</v>
      </c>
      <c r="AB4" s="41" t="s">
        <v>141</v>
      </c>
      <c r="AC4" s="41" t="s">
        <v>141</v>
      </c>
      <c r="AD4" s="41" t="s">
        <v>142</v>
      </c>
      <c r="AE4" s="41" t="s">
        <v>142</v>
      </c>
      <c r="AF4" s="41" t="s">
        <v>142</v>
      </c>
      <c r="AG4" s="41" t="s">
        <v>142</v>
      </c>
      <c r="AH4" s="41" t="s">
        <v>142</v>
      </c>
      <c r="AI4" s="41" t="s">
        <v>143</v>
      </c>
      <c r="AJ4" s="41" t="s">
        <v>143</v>
      </c>
      <c r="AK4" s="41" t="s">
        <v>143</v>
      </c>
      <c r="AL4" s="41" t="s">
        <v>143</v>
      </c>
      <c r="AM4" s="41" t="s">
        <v>143</v>
      </c>
      <c r="AN4" s="41" t="s">
        <v>144</v>
      </c>
      <c r="AO4" s="41" t="s">
        <v>144</v>
      </c>
      <c r="AP4" s="41" t="s">
        <v>144</v>
      </c>
      <c r="AQ4" s="41" t="s">
        <v>144</v>
      </c>
      <c r="AR4" s="41" t="s">
        <v>144</v>
      </c>
      <c r="AS4" s="41" t="s">
        <v>144</v>
      </c>
      <c r="AT4" s="41" t="s">
        <v>145</v>
      </c>
      <c r="AU4" s="41" t="s">
        <v>145</v>
      </c>
      <c r="AV4" s="41" t="s">
        <v>145</v>
      </c>
      <c r="AW4" s="41" t="s">
        <v>145</v>
      </c>
      <c r="AX4" s="41" t="s">
        <v>145</v>
      </c>
      <c r="AY4" s="41" t="s">
        <v>146</v>
      </c>
      <c r="AZ4" s="41" t="s">
        <v>146</v>
      </c>
      <c r="BA4" s="41" t="s">
        <v>146</v>
      </c>
      <c r="BB4" s="41" t="s">
        <v>146</v>
      </c>
      <c r="BC4" s="41" t="s">
        <v>146</v>
      </c>
      <c r="BD4" s="41" t="s">
        <v>147</v>
      </c>
      <c r="BE4" s="41" t="s">
        <v>147</v>
      </c>
      <c r="BF4" s="41" t="s">
        <v>147</v>
      </c>
      <c r="BG4" s="41" t="s">
        <v>147</v>
      </c>
      <c r="BH4" s="41" t="s">
        <v>147</v>
      </c>
      <c r="BI4" s="41" t="s">
        <v>148</v>
      </c>
      <c r="BJ4" s="41" t="s">
        <v>148</v>
      </c>
      <c r="BK4" s="41" t="s">
        <v>148</v>
      </c>
      <c r="BL4" s="41" t="s">
        <v>148</v>
      </c>
      <c r="BM4" s="41" t="s">
        <v>148</v>
      </c>
      <c r="BN4" s="41" t="s">
        <v>149</v>
      </c>
      <c r="BO4" s="41" t="s">
        <v>149</v>
      </c>
      <c r="BP4" s="41" t="s">
        <v>149</v>
      </c>
      <c r="BQ4" s="41" t="s">
        <v>149</v>
      </c>
      <c r="BR4" s="41" t="s">
        <v>149</v>
      </c>
      <c r="BU4" s="204"/>
    </row>
    <row r="5" spans="1:83" s="22" customFormat="1" x14ac:dyDescent="0.2">
      <c r="A5" s="6"/>
      <c r="B5" s="23"/>
      <c r="C5" s="6"/>
      <c r="D5" s="23"/>
      <c r="E5" s="23">
        <v>0</v>
      </c>
      <c r="F5" s="23"/>
      <c r="G5" s="23"/>
      <c r="H5" s="23">
        <v>0</v>
      </c>
      <c r="I5" s="23">
        <v>0</v>
      </c>
      <c r="J5" s="23">
        <v>0</v>
      </c>
      <c r="K5" s="42">
        <v>1</v>
      </c>
      <c r="L5" s="42">
        <v>1</v>
      </c>
      <c r="M5" s="42">
        <v>1</v>
      </c>
      <c r="N5" s="42">
        <v>1</v>
      </c>
      <c r="O5" s="42">
        <v>1</v>
      </c>
      <c r="P5" s="42">
        <v>2</v>
      </c>
      <c r="Q5" s="42">
        <v>2</v>
      </c>
      <c r="R5" s="42">
        <v>2</v>
      </c>
      <c r="S5" s="42">
        <v>2</v>
      </c>
      <c r="T5" s="42">
        <v>2</v>
      </c>
      <c r="U5" s="42">
        <v>3</v>
      </c>
      <c r="V5" s="42">
        <v>3</v>
      </c>
      <c r="W5" s="42">
        <v>3</v>
      </c>
      <c r="X5" s="42">
        <v>3</v>
      </c>
      <c r="Y5" s="42">
        <v>3</v>
      </c>
      <c r="Z5" s="42">
        <v>4</v>
      </c>
      <c r="AA5" s="42">
        <v>4</v>
      </c>
      <c r="AB5" s="42">
        <v>4</v>
      </c>
      <c r="AC5" s="42">
        <v>4</v>
      </c>
      <c r="AD5" s="42">
        <v>5</v>
      </c>
      <c r="AE5" s="42">
        <v>5</v>
      </c>
      <c r="AF5" s="42">
        <v>5</v>
      </c>
      <c r="AG5" s="42">
        <v>5</v>
      </c>
      <c r="AH5" s="42">
        <v>5</v>
      </c>
      <c r="AI5" s="42">
        <v>6</v>
      </c>
      <c r="AJ5" s="42">
        <v>6</v>
      </c>
      <c r="AK5" s="42">
        <v>6</v>
      </c>
      <c r="AL5" s="42">
        <v>6</v>
      </c>
      <c r="AM5" s="42">
        <v>6</v>
      </c>
      <c r="AN5" s="42">
        <v>7</v>
      </c>
      <c r="AO5" s="42">
        <v>7</v>
      </c>
      <c r="AP5" s="42">
        <v>7</v>
      </c>
      <c r="AQ5" s="42">
        <v>7</v>
      </c>
      <c r="AR5" s="42">
        <v>7</v>
      </c>
      <c r="AS5" s="42">
        <v>7</v>
      </c>
      <c r="AT5" s="42">
        <v>8</v>
      </c>
      <c r="AU5" s="42">
        <v>8</v>
      </c>
      <c r="AV5" s="42">
        <v>8</v>
      </c>
      <c r="AW5" s="42">
        <v>8</v>
      </c>
      <c r="AX5" s="42">
        <v>8</v>
      </c>
      <c r="AY5" s="42">
        <v>9</v>
      </c>
      <c r="AZ5" s="42">
        <v>9</v>
      </c>
      <c r="BA5" s="42">
        <v>9</v>
      </c>
      <c r="BB5" s="42">
        <v>9</v>
      </c>
      <c r="BC5" s="42">
        <v>9</v>
      </c>
      <c r="BD5" s="42">
        <v>10</v>
      </c>
      <c r="BE5" s="42">
        <v>10</v>
      </c>
      <c r="BF5" s="42">
        <v>10</v>
      </c>
      <c r="BG5" s="42">
        <v>10</v>
      </c>
      <c r="BH5" s="42">
        <v>10</v>
      </c>
      <c r="BI5" s="42">
        <v>11</v>
      </c>
      <c r="BJ5" s="42">
        <v>11</v>
      </c>
      <c r="BK5" s="42">
        <v>11</v>
      </c>
      <c r="BL5" s="42">
        <v>11</v>
      </c>
      <c r="BM5" s="42">
        <v>11</v>
      </c>
      <c r="BN5" s="42">
        <v>12</v>
      </c>
      <c r="BO5" s="42">
        <v>12</v>
      </c>
      <c r="BP5" s="42">
        <v>12</v>
      </c>
      <c r="BQ5" s="42">
        <v>12</v>
      </c>
      <c r="BR5" s="42">
        <v>12</v>
      </c>
      <c r="BU5" s="205"/>
    </row>
    <row r="6" spans="1:83" s="7" customFormat="1" ht="12.75" x14ac:dyDescent="0.2">
      <c r="A6" s="96"/>
      <c r="B6" s="14"/>
      <c r="C6" s="96"/>
      <c r="D6" s="95"/>
      <c r="E6" s="14" t="s">
        <v>105</v>
      </c>
      <c r="F6" s="95"/>
      <c r="G6" s="95"/>
      <c r="H6" s="14" t="s">
        <v>105</v>
      </c>
      <c r="I6" s="14" t="s">
        <v>105</v>
      </c>
      <c r="J6" s="14" t="s">
        <v>105</v>
      </c>
      <c r="K6" s="12" t="s">
        <v>52</v>
      </c>
      <c r="L6" s="12" t="s">
        <v>53</v>
      </c>
      <c r="M6" s="12" t="s">
        <v>54</v>
      </c>
      <c r="N6" s="12" t="s">
        <v>55</v>
      </c>
      <c r="O6" s="12" t="s">
        <v>56</v>
      </c>
      <c r="P6" s="12" t="s">
        <v>57</v>
      </c>
      <c r="Q6" s="12" t="s">
        <v>58</v>
      </c>
      <c r="R6" s="12" t="s">
        <v>59</v>
      </c>
      <c r="S6" s="12" t="s">
        <v>60</v>
      </c>
      <c r="T6" s="12" t="s">
        <v>61</v>
      </c>
      <c r="U6" s="12" t="s">
        <v>57</v>
      </c>
      <c r="V6" s="12" t="s">
        <v>58</v>
      </c>
      <c r="W6" s="12" t="s">
        <v>59</v>
      </c>
      <c r="X6" s="12" t="s">
        <v>60</v>
      </c>
      <c r="Y6" s="12" t="s">
        <v>62</v>
      </c>
      <c r="Z6" s="12" t="s">
        <v>63</v>
      </c>
      <c r="AA6" s="12" t="s">
        <v>64</v>
      </c>
      <c r="AB6" s="12" t="s">
        <v>65</v>
      </c>
      <c r="AC6" s="12" t="s">
        <v>66</v>
      </c>
      <c r="AD6" s="12" t="s">
        <v>67</v>
      </c>
      <c r="AE6" s="12" t="s">
        <v>68</v>
      </c>
      <c r="AF6" s="12" t="s">
        <v>69</v>
      </c>
      <c r="AG6" s="12" t="s">
        <v>70</v>
      </c>
      <c r="AH6" s="12" t="s">
        <v>71</v>
      </c>
      <c r="AI6" s="12" t="s">
        <v>180</v>
      </c>
      <c r="AJ6" s="12" t="s">
        <v>181</v>
      </c>
      <c r="AK6" s="12" t="s">
        <v>182</v>
      </c>
      <c r="AL6" s="12" t="s">
        <v>183</v>
      </c>
      <c r="AM6" s="12" t="s">
        <v>184</v>
      </c>
      <c r="AN6" s="12" t="s">
        <v>223</v>
      </c>
      <c r="AO6" s="12" t="s">
        <v>224</v>
      </c>
      <c r="AP6" s="12" t="s">
        <v>225</v>
      </c>
      <c r="AQ6" s="12" t="s">
        <v>226</v>
      </c>
      <c r="AR6" s="12" t="s">
        <v>226</v>
      </c>
      <c r="AS6" s="12" t="s">
        <v>307</v>
      </c>
      <c r="AT6" s="12" t="s">
        <v>245</v>
      </c>
      <c r="AU6" s="12" t="s">
        <v>246</v>
      </c>
      <c r="AV6" s="12" t="s">
        <v>247</v>
      </c>
      <c r="AW6" s="12" t="s">
        <v>248</v>
      </c>
      <c r="AX6" s="12" t="s">
        <v>249</v>
      </c>
      <c r="AY6" s="12" t="s">
        <v>250</v>
      </c>
      <c r="AZ6" s="12" t="s">
        <v>251</v>
      </c>
      <c r="BA6" s="12" t="s">
        <v>252</v>
      </c>
      <c r="BB6" s="12" t="s">
        <v>253</v>
      </c>
      <c r="BC6" s="12" t="s">
        <v>254</v>
      </c>
      <c r="BD6" s="12" t="s">
        <v>255</v>
      </c>
      <c r="BE6" s="12" t="s">
        <v>256</v>
      </c>
      <c r="BF6" s="12" t="s">
        <v>257</v>
      </c>
      <c r="BG6" s="12" t="s">
        <v>258</v>
      </c>
      <c r="BH6" s="12" t="s">
        <v>259</v>
      </c>
      <c r="BI6" s="12" t="s">
        <v>260</v>
      </c>
      <c r="BJ6" s="12" t="s">
        <v>261</v>
      </c>
      <c r="BK6" s="12" t="s">
        <v>262</v>
      </c>
      <c r="BL6" s="12" t="s">
        <v>263</v>
      </c>
      <c r="BM6" s="12" t="s">
        <v>264</v>
      </c>
      <c r="BN6" s="12" t="s">
        <v>250</v>
      </c>
      <c r="BO6" s="12" t="s">
        <v>251</v>
      </c>
      <c r="BP6" s="12" t="s">
        <v>252</v>
      </c>
      <c r="BQ6" s="12" t="s">
        <v>253</v>
      </c>
      <c r="BR6" s="12" t="s">
        <v>254</v>
      </c>
      <c r="BU6" s="206"/>
    </row>
    <row r="7" spans="1:83" s="7" customFormat="1" ht="37.5" customHeight="1" x14ac:dyDescent="0.2">
      <c r="A7" s="7" t="s">
        <v>150</v>
      </c>
      <c r="B7" s="10" t="s">
        <v>665</v>
      </c>
      <c r="C7" s="10" t="s">
        <v>72</v>
      </c>
      <c r="D7" s="10" t="s">
        <v>211</v>
      </c>
      <c r="E7" s="10" t="s">
        <v>73</v>
      </c>
      <c r="F7" s="10" t="s">
        <v>220</v>
      </c>
      <c r="G7" s="10" t="s">
        <v>244</v>
      </c>
      <c r="H7" s="10" t="s">
        <v>74</v>
      </c>
      <c r="I7" s="10" t="s">
        <v>133</v>
      </c>
      <c r="J7" s="11" t="s">
        <v>72</v>
      </c>
      <c r="K7" s="40" t="str">
        <f t="shared" ref="K7:Y7" si="0">K4&amp;"  "&amp;K6</f>
        <v>Enero  02 - 06</v>
      </c>
      <c r="L7" s="40" t="str">
        <f t="shared" si="0"/>
        <v>Enero  09 - 13</v>
      </c>
      <c r="M7" s="40" t="str">
        <f t="shared" si="0"/>
        <v>Enero  16 - 20</v>
      </c>
      <c r="N7" s="40" t="str">
        <f t="shared" si="0"/>
        <v>Enero  23 - 27</v>
      </c>
      <c r="O7" s="40" t="str">
        <f t="shared" si="0"/>
        <v>Enero  30 - 31</v>
      </c>
      <c r="P7" s="40" t="str">
        <f t="shared" si="0"/>
        <v>Febrero  01 - 03</v>
      </c>
      <c r="Q7" s="40" t="str">
        <f t="shared" si="0"/>
        <v>Febrero  06 - 10</v>
      </c>
      <c r="R7" s="40" t="str">
        <f t="shared" si="0"/>
        <v>Febrero  13 - 17</v>
      </c>
      <c r="S7" s="40" t="str">
        <f t="shared" si="0"/>
        <v>Febrero  20 - 24</v>
      </c>
      <c r="T7" s="40" t="str">
        <f t="shared" si="0"/>
        <v>Febrero  27 - 28</v>
      </c>
      <c r="U7" s="40" t="str">
        <f t="shared" si="0"/>
        <v>Marzo  01 - 03</v>
      </c>
      <c r="V7" s="40" t="str">
        <f t="shared" si="0"/>
        <v>Marzo  06 - 10</v>
      </c>
      <c r="W7" s="40" t="str">
        <f t="shared" si="0"/>
        <v>Marzo  13 - 17</v>
      </c>
      <c r="X7" s="40" t="str">
        <f t="shared" si="0"/>
        <v>Marzo  20 - 24</v>
      </c>
      <c r="Y7" s="40" t="str">
        <f t="shared" si="0"/>
        <v>Marzo  27 - 31</v>
      </c>
      <c r="Z7" s="40" t="str">
        <f t="shared" ref="Z7:AH7" si="1">Z4&amp;"  "&amp;Z6</f>
        <v>Abril  03 - 07</v>
      </c>
      <c r="AA7" s="40" t="str">
        <f t="shared" si="1"/>
        <v>Abril  10 - 12</v>
      </c>
      <c r="AB7" s="40" t="str">
        <f t="shared" si="1"/>
        <v>Abril  17 - 21</v>
      </c>
      <c r="AC7" s="40" t="str">
        <f t="shared" si="1"/>
        <v>Abril  24 - 28</v>
      </c>
      <c r="AD7" s="40" t="str">
        <f t="shared" si="1"/>
        <v>Mayo  02 - 05</v>
      </c>
      <c r="AE7" s="40" t="str">
        <f t="shared" si="1"/>
        <v>Mayo  08 - 12</v>
      </c>
      <c r="AF7" s="40" t="str">
        <f t="shared" si="1"/>
        <v>Mayo  15 - 19</v>
      </c>
      <c r="AG7" s="40" t="str">
        <f t="shared" si="1"/>
        <v>Mayo  22 - 26</v>
      </c>
      <c r="AH7" s="40" t="str">
        <f t="shared" si="1"/>
        <v>Mayo  29 - 31</v>
      </c>
      <c r="AI7" s="40" t="str">
        <f>AI4&amp;"  "&amp;AI6</f>
        <v>Junio  01-02</v>
      </c>
      <c r="AJ7" s="40" t="str">
        <f>AJ4&amp;"  "&amp;AJ6</f>
        <v>Junio  05-09</v>
      </c>
      <c r="AK7" s="40" t="str">
        <f t="shared" ref="AK7:AQ7" si="2">AK4&amp;"  "&amp;AK6</f>
        <v>Junio  12-16</v>
      </c>
      <c r="AL7" s="40" t="str">
        <f t="shared" si="2"/>
        <v>Junio  19-23</v>
      </c>
      <c r="AM7" s="40" t="str">
        <f t="shared" si="2"/>
        <v>Junio  26-30</v>
      </c>
      <c r="AN7" s="40" t="str">
        <f t="shared" si="2"/>
        <v>Julio  03-07</v>
      </c>
      <c r="AO7" s="40" t="str">
        <f t="shared" si="2"/>
        <v>Julio  10-14</v>
      </c>
      <c r="AP7" s="40" t="str">
        <f t="shared" si="2"/>
        <v>Julio  17-21</v>
      </c>
      <c r="AQ7" s="40" t="str">
        <f t="shared" si="2"/>
        <v>Julio  24-28</v>
      </c>
      <c r="AR7" s="40" t="str">
        <f t="shared" ref="AR7:BR7" si="3">AR4&amp;"  "&amp;AR6</f>
        <v>Julio  24-28</v>
      </c>
      <c r="AS7" s="40" t="str">
        <f t="shared" si="3"/>
        <v>Julio  31-</v>
      </c>
      <c r="AT7" s="40" t="str">
        <f t="shared" si="3"/>
        <v>Agosto  01-04</v>
      </c>
      <c r="AU7" s="40" t="str">
        <f t="shared" si="3"/>
        <v>Agosto  07-11</v>
      </c>
      <c r="AV7" s="40" t="str">
        <f t="shared" si="3"/>
        <v>Agosto  14-18</v>
      </c>
      <c r="AW7" s="40" t="str">
        <f t="shared" si="3"/>
        <v>Agosto  21-25</v>
      </c>
      <c r="AX7" s="40" t="str">
        <f t="shared" si="3"/>
        <v>Agosto  28-31</v>
      </c>
      <c r="AY7" s="40" t="str">
        <f t="shared" si="3"/>
        <v>Setiembre  01-</v>
      </c>
      <c r="AZ7" s="40" t="str">
        <f t="shared" si="3"/>
        <v>Setiembre  04-08</v>
      </c>
      <c r="BA7" s="40" t="str">
        <f t="shared" si="3"/>
        <v>Setiembre  11-15</v>
      </c>
      <c r="BB7" s="40" t="str">
        <f t="shared" si="3"/>
        <v>Setiembre  18-22</v>
      </c>
      <c r="BC7" s="40" t="str">
        <f t="shared" si="3"/>
        <v>Setiembre  25-29</v>
      </c>
      <c r="BD7" s="40" t="str">
        <f t="shared" si="3"/>
        <v>Octubre  02-06</v>
      </c>
      <c r="BE7" s="40" t="str">
        <f t="shared" si="3"/>
        <v>Octubre  09-13</v>
      </c>
      <c r="BF7" s="40" t="str">
        <f t="shared" si="3"/>
        <v>Octubre  16-20</v>
      </c>
      <c r="BG7" s="40" t="str">
        <f t="shared" si="3"/>
        <v>Octubre  23-28</v>
      </c>
      <c r="BH7" s="40" t="str">
        <f t="shared" si="3"/>
        <v>Octubre  30-31</v>
      </c>
      <c r="BI7" s="40" t="str">
        <f t="shared" si="3"/>
        <v>Noviembre  01-03</v>
      </c>
      <c r="BJ7" s="40" t="str">
        <f t="shared" si="3"/>
        <v>Noviembre  06-10</v>
      </c>
      <c r="BK7" s="40" t="str">
        <f t="shared" si="3"/>
        <v>Noviembre  13-17</v>
      </c>
      <c r="BL7" s="40" t="str">
        <f t="shared" si="3"/>
        <v>Noviembre  20-24</v>
      </c>
      <c r="BM7" s="40" t="str">
        <f t="shared" si="3"/>
        <v>Noviembre  27-30</v>
      </c>
      <c r="BN7" s="40" t="str">
        <f t="shared" si="3"/>
        <v>Diciembre  01-</v>
      </c>
      <c r="BO7" s="40" t="str">
        <f t="shared" si="3"/>
        <v>Diciembre  04-08</v>
      </c>
      <c r="BP7" s="40" t="str">
        <f t="shared" si="3"/>
        <v>Diciembre  11-15</v>
      </c>
      <c r="BQ7" s="40" t="str">
        <f t="shared" si="3"/>
        <v>Diciembre  18-22</v>
      </c>
      <c r="BR7" s="40" t="str">
        <f t="shared" si="3"/>
        <v>Diciembre  25-29</v>
      </c>
      <c r="BS7" s="40" t="s">
        <v>388</v>
      </c>
      <c r="BT7" s="40" t="s">
        <v>389</v>
      </c>
      <c r="BU7" s="40" t="s">
        <v>390</v>
      </c>
      <c r="BV7" s="40" t="s">
        <v>391</v>
      </c>
      <c r="BW7" s="40" t="s">
        <v>392</v>
      </c>
      <c r="BX7" s="40" t="s">
        <v>393</v>
      </c>
      <c r="BY7" s="40" t="s">
        <v>394</v>
      </c>
      <c r="BZ7" s="40" t="s">
        <v>395</v>
      </c>
      <c r="CA7" s="40" t="s">
        <v>396</v>
      </c>
      <c r="CB7" s="40" t="s">
        <v>397</v>
      </c>
      <c r="CC7" s="40" t="s">
        <v>398</v>
      </c>
      <c r="CD7" s="40" t="s">
        <v>399</v>
      </c>
      <c r="CE7" s="40" t="s">
        <v>413</v>
      </c>
    </row>
    <row r="8" spans="1:83" ht="12" customHeight="1" x14ac:dyDescent="0.2">
      <c r="A8" s="6">
        <v>3</v>
      </c>
      <c r="B8" s="49" t="str">
        <f>C8&amp;H8</f>
        <v>Hernani Lau Patricia RosaP0001</v>
      </c>
      <c r="C8" s="117" t="str">
        <f t="shared" ref="C8:C17" si="4">J8</f>
        <v>Hernani Lau Patricia Rosa</v>
      </c>
      <c r="D8" s="49" t="str">
        <f>VLOOKUP(C8,Datos!$B$13:$C$83,2,0)</f>
        <v>VIGENTE</v>
      </c>
      <c r="E8" s="49" t="s">
        <v>48</v>
      </c>
      <c r="F8" s="49" t="str">
        <f>IFERROR(VLOOKUP(H8,Datos!$J$2:$L$60,3,0),"OBSERVACIONES")</f>
        <v>CERRADO</v>
      </c>
      <c r="G8" s="49"/>
      <c r="H8" s="49" t="s">
        <v>43</v>
      </c>
      <c r="I8" s="49" t="s">
        <v>128</v>
      </c>
      <c r="J8" s="49" t="s">
        <v>34</v>
      </c>
      <c r="K8" s="16">
        <v>10</v>
      </c>
      <c r="L8" s="16">
        <v>16</v>
      </c>
      <c r="M8" s="16">
        <v>40</v>
      </c>
      <c r="N8" s="16">
        <v>20</v>
      </c>
      <c r="O8" s="16">
        <v>12</v>
      </c>
      <c r="P8" s="16">
        <v>24</v>
      </c>
      <c r="Q8" s="16">
        <v>40</v>
      </c>
      <c r="R8" s="16">
        <v>40</v>
      </c>
      <c r="S8" s="16">
        <v>40</v>
      </c>
      <c r="T8" s="16">
        <v>4</v>
      </c>
      <c r="U8" s="16">
        <v>0</v>
      </c>
      <c r="V8" s="16">
        <v>0</v>
      </c>
      <c r="W8" s="16">
        <v>0</v>
      </c>
      <c r="X8" s="16">
        <v>0</v>
      </c>
      <c r="Y8" s="16">
        <v>0</v>
      </c>
      <c r="Z8" s="16">
        <v>0</v>
      </c>
      <c r="AA8" s="16">
        <v>0</v>
      </c>
      <c r="AB8" s="16">
        <v>0</v>
      </c>
      <c r="AC8" s="16">
        <v>0</v>
      </c>
      <c r="AD8" s="16">
        <v>0</v>
      </c>
      <c r="AE8" s="16">
        <v>0</v>
      </c>
      <c r="AF8" s="16">
        <v>0</v>
      </c>
      <c r="AG8" s="16">
        <v>0</v>
      </c>
      <c r="AH8" s="16">
        <v>0</v>
      </c>
      <c r="AI8" s="16">
        <v>0</v>
      </c>
      <c r="AJ8" s="16">
        <v>0</v>
      </c>
      <c r="AK8" s="16">
        <v>0</v>
      </c>
      <c r="AL8" s="16">
        <v>0</v>
      </c>
      <c r="AM8" s="16">
        <v>0</v>
      </c>
      <c r="AN8" s="16">
        <v>0</v>
      </c>
      <c r="AO8" s="16">
        <v>0</v>
      </c>
      <c r="AP8" s="16">
        <v>0</v>
      </c>
      <c r="AQ8" s="16">
        <v>0</v>
      </c>
      <c r="AR8" s="16">
        <v>0</v>
      </c>
      <c r="AS8" s="16">
        <v>0</v>
      </c>
      <c r="AT8" s="16">
        <v>0</v>
      </c>
      <c r="AU8" s="16">
        <v>0</v>
      </c>
      <c r="AV8" s="16">
        <v>0</v>
      </c>
      <c r="AW8" s="16">
        <v>0</v>
      </c>
      <c r="AX8" s="16">
        <v>0</v>
      </c>
      <c r="AY8" s="16">
        <v>0</v>
      </c>
      <c r="AZ8" s="16">
        <v>0</v>
      </c>
      <c r="BA8" s="16">
        <v>0</v>
      </c>
      <c r="BB8" s="16">
        <v>0</v>
      </c>
      <c r="BC8" s="16">
        <v>0</v>
      </c>
      <c r="BD8" s="16">
        <v>0</v>
      </c>
      <c r="BE8" s="16">
        <v>0</v>
      </c>
      <c r="BF8" s="16">
        <v>0</v>
      </c>
      <c r="BG8" s="16">
        <v>0</v>
      </c>
      <c r="BH8" s="16">
        <v>0</v>
      </c>
      <c r="BI8" s="16">
        <v>0</v>
      </c>
      <c r="BJ8" s="16">
        <v>0</v>
      </c>
      <c r="BK8" s="16">
        <v>0</v>
      </c>
      <c r="BL8" s="16">
        <v>0</v>
      </c>
      <c r="BM8" s="16">
        <v>0</v>
      </c>
      <c r="BN8" s="16">
        <v>0</v>
      </c>
      <c r="BO8" s="16">
        <v>0</v>
      </c>
      <c r="BP8" s="16">
        <v>0</v>
      </c>
      <c r="BQ8" s="16">
        <v>0</v>
      </c>
      <c r="BR8" s="16">
        <v>0</v>
      </c>
      <c r="BS8" s="207">
        <f t="shared" ref="BS8:BS17" si="5">SUM(K8:O8)</f>
        <v>98</v>
      </c>
      <c r="BT8" s="207">
        <f t="shared" ref="BT8:BT17" si="6">SUM(P8:T8)</f>
        <v>148</v>
      </c>
      <c r="BU8" s="207">
        <f t="shared" ref="BU8:BU17" si="7">SUM(U8:Y8)</f>
        <v>0</v>
      </c>
      <c r="BV8" s="207">
        <f>SUM(Z8:AC8)</f>
        <v>0</v>
      </c>
      <c r="BW8" s="207">
        <f t="shared" ref="BW8:BW17" si="8">SUM(AD8:AH8)</f>
        <v>0</v>
      </c>
      <c r="BX8" s="207">
        <f t="shared" ref="BX8:BX17" si="9">SUM(AI8:AM8)</f>
        <v>0</v>
      </c>
      <c r="BY8" s="207">
        <f t="shared" ref="BY8:BY17" si="10">SUM(AN8:AS8)</f>
        <v>0</v>
      </c>
      <c r="BZ8" s="207">
        <f t="shared" ref="BZ8:BZ17" si="11">SUM(AT8:AX8)</f>
        <v>0</v>
      </c>
      <c r="CA8" s="207">
        <f t="shared" ref="CA8:CA17" si="12">SUM(AY8:BC8)</f>
        <v>0</v>
      </c>
      <c r="CB8" s="207">
        <f t="shared" ref="CB8:CB17" si="13">SUM(BD8:BH8)</f>
        <v>0</v>
      </c>
      <c r="CC8" s="207">
        <f t="shared" ref="CC8:CC17" si="14">SUM(BI8:BM8)</f>
        <v>0</v>
      </c>
      <c r="CD8" s="207">
        <f t="shared" ref="CD8:CD17" si="15">SUM(BN8:BR8)</f>
        <v>0</v>
      </c>
      <c r="CE8" s="207">
        <f t="shared" ref="CE8:CE17" si="16">SUM(BS8:CD8)</f>
        <v>246</v>
      </c>
    </row>
    <row r="9" spans="1:83" ht="12" customHeight="1" x14ac:dyDescent="0.2">
      <c r="A9" s="6">
        <v>3</v>
      </c>
      <c r="B9" s="49" t="str">
        <f t="shared" ref="B9:B72" si="17">C9&amp;H9</f>
        <v>Hernani Lau Patricia RosaP0013</v>
      </c>
      <c r="C9" s="117" t="str">
        <f t="shared" si="4"/>
        <v>Hernani Lau Patricia Rosa</v>
      </c>
      <c r="D9" s="49" t="str">
        <f>VLOOKUP(C9,Datos!$B$13:$C$83,2,0)</f>
        <v>VIGENTE</v>
      </c>
      <c r="E9" s="50" t="s">
        <v>45</v>
      </c>
      <c r="F9" s="49" t="str">
        <f>IFERROR(VLOOKUP(H9,Datos!$J$2:$L$60,3,0),"OBSERVACIONES")</f>
        <v>CERRADO</v>
      </c>
      <c r="G9" s="49"/>
      <c r="H9" s="50" t="s">
        <v>51</v>
      </c>
      <c r="I9" s="49" t="s">
        <v>122</v>
      </c>
      <c r="J9" s="49" t="s">
        <v>34</v>
      </c>
      <c r="K9" s="16">
        <v>0</v>
      </c>
      <c r="L9" s="16">
        <v>0</v>
      </c>
      <c r="M9" s="16">
        <v>0</v>
      </c>
      <c r="N9" s="16">
        <v>0</v>
      </c>
      <c r="O9" s="16">
        <v>0</v>
      </c>
      <c r="P9" s="16">
        <v>0</v>
      </c>
      <c r="Q9" s="16">
        <v>0</v>
      </c>
      <c r="R9" s="16">
        <v>0</v>
      </c>
      <c r="S9" s="16">
        <v>0</v>
      </c>
      <c r="T9" s="16">
        <v>0</v>
      </c>
      <c r="U9" s="16">
        <v>0</v>
      </c>
      <c r="V9" s="16">
        <v>0</v>
      </c>
      <c r="W9" s="16">
        <v>0</v>
      </c>
      <c r="X9" s="16">
        <v>0</v>
      </c>
      <c r="Y9" s="16">
        <v>0</v>
      </c>
      <c r="Z9" s="16">
        <v>0</v>
      </c>
      <c r="AA9" s="16">
        <v>11</v>
      </c>
      <c r="AB9" s="16">
        <v>0</v>
      </c>
      <c r="AC9" s="16">
        <v>0</v>
      </c>
      <c r="AD9" s="16">
        <v>32</v>
      </c>
      <c r="AE9" s="16">
        <v>40</v>
      </c>
      <c r="AF9" s="16">
        <v>20</v>
      </c>
      <c r="AG9" s="16">
        <v>36</v>
      </c>
      <c r="AH9" s="16">
        <v>24</v>
      </c>
      <c r="AI9" s="16">
        <v>13</v>
      </c>
      <c r="AJ9" s="16">
        <v>40</v>
      </c>
      <c r="AK9" s="16">
        <v>40</v>
      </c>
      <c r="AL9" s="16">
        <v>0</v>
      </c>
      <c r="AM9" s="16">
        <v>3</v>
      </c>
      <c r="AN9" s="16">
        <v>0</v>
      </c>
      <c r="AO9" s="16">
        <v>0</v>
      </c>
      <c r="AP9" s="16">
        <v>0</v>
      </c>
      <c r="AQ9" s="16">
        <v>0</v>
      </c>
      <c r="AR9" s="16">
        <v>0</v>
      </c>
      <c r="AS9" s="16">
        <v>0</v>
      </c>
      <c r="AT9" s="16">
        <v>0</v>
      </c>
      <c r="AU9" s="16">
        <v>0</v>
      </c>
      <c r="AV9" s="16">
        <v>0</v>
      </c>
      <c r="AW9" s="16">
        <v>0</v>
      </c>
      <c r="AX9" s="16">
        <v>0</v>
      </c>
      <c r="AY9" s="16">
        <v>0</v>
      </c>
      <c r="AZ9" s="16">
        <v>0</v>
      </c>
      <c r="BA9" s="16">
        <v>0</v>
      </c>
      <c r="BB9" s="16">
        <v>0</v>
      </c>
      <c r="BC9" s="16">
        <v>0</v>
      </c>
      <c r="BD9" s="16">
        <v>0</v>
      </c>
      <c r="BE9" s="16">
        <v>0</v>
      </c>
      <c r="BF9" s="16">
        <v>0</v>
      </c>
      <c r="BG9" s="16">
        <v>0</v>
      </c>
      <c r="BH9" s="16">
        <v>0</v>
      </c>
      <c r="BI9" s="16">
        <v>0</v>
      </c>
      <c r="BJ9" s="16">
        <v>0</v>
      </c>
      <c r="BK9" s="16">
        <v>0</v>
      </c>
      <c r="BL9" s="16">
        <v>0</v>
      </c>
      <c r="BM9" s="16">
        <v>0</v>
      </c>
      <c r="BN9" s="16">
        <v>0</v>
      </c>
      <c r="BO9" s="16">
        <v>0</v>
      </c>
      <c r="BP9" s="16">
        <v>0</v>
      </c>
      <c r="BQ9" s="16">
        <v>0</v>
      </c>
      <c r="BR9" s="16">
        <v>0</v>
      </c>
      <c r="BS9" s="207">
        <f t="shared" si="5"/>
        <v>0</v>
      </c>
      <c r="BT9" s="207">
        <f t="shared" si="6"/>
        <v>0</v>
      </c>
      <c r="BU9" s="207">
        <f t="shared" si="7"/>
        <v>0</v>
      </c>
      <c r="BV9" s="207">
        <f t="shared" ref="BV9:BV17" si="18">SUM(Z9:AC9)</f>
        <v>11</v>
      </c>
      <c r="BW9" s="207">
        <f t="shared" si="8"/>
        <v>152</v>
      </c>
      <c r="BX9" s="207">
        <f t="shared" si="9"/>
        <v>96</v>
      </c>
      <c r="BY9" s="207">
        <f t="shared" si="10"/>
        <v>0</v>
      </c>
      <c r="BZ9" s="207">
        <f t="shared" si="11"/>
        <v>0</v>
      </c>
      <c r="CA9" s="207">
        <f t="shared" si="12"/>
        <v>0</v>
      </c>
      <c r="CB9" s="207">
        <f t="shared" si="13"/>
        <v>0</v>
      </c>
      <c r="CC9" s="207">
        <f t="shared" si="14"/>
        <v>0</v>
      </c>
      <c r="CD9" s="207">
        <f t="shared" si="15"/>
        <v>0</v>
      </c>
      <c r="CE9" s="207">
        <f t="shared" si="16"/>
        <v>259</v>
      </c>
    </row>
    <row r="10" spans="1:83" ht="12" customHeight="1" x14ac:dyDescent="0.2">
      <c r="A10" s="6">
        <v>3</v>
      </c>
      <c r="B10" s="49" t="str">
        <f t="shared" si="17"/>
        <v>Hernani Lau Patricia RosaMP004</v>
      </c>
      <c r="C10" s="117" t="str">
        <f>J10</f>
        <v>Hernani Lau Patricia Rosa</v>
      </c>
      <c r="D10" s="49" t="str">
        <f>VLOOKUP(C10,Datos!$B$13:$C$83,2,0)</f>
        <v>VIGENTE</v>
      </c>
      <c r="E10" s="50" t="s">
        <v>44</v>
      </c>
      <c r="F10" s="49" t="str">
        <f>IFERROR(VLOOKUP(H10,Datos!$J$2:$L$60,3,0),"OBSERVACIONES")</f>
        <v>PROCESO</v>
      </c>
      <c r="G10" s="49"/>
      <c r="H10" s="50" t="s">
        <v>42</v>
      </c>
      <c r="I10" s="49" t="s">
        <v>304</v>
      </c>
      <c r="J10" s="49" t="s">
        <v>34</v>
      </c>
      <c r="K10" s="16">
        <v>30</v>
      </c>
      <c r="L10" s="16">
        <v>24</v>
      </c>
      <c r="M10" s="16">
        <v>0</v>
      </c>
      <c r="N10" s="16">
        <v>0</v>
      </c>
      <c r="O10" s="16">
        <v>0</v>
      </c>
      <c r="P10" s="16">
        <v>0</v>
      </c>
      <c r="Q10" s="16">
        <v>0</v>
      </c>
      <c r="R10" s="16">
        <v>0</v>
      </c>
      <c r="S10" s="16">
        <v>0</v>
      </c>
      <c r="T10" s="16">
        <v>0</v>
      </c>
      <c r="U10" s="16">
        <v>0</v>
      </c>
      <c r="V10" s="16">
        <v>0</v>
      </c>
      <c r="W10" s="16">
        <v>0</v>
      </c>
      <c r="X10" s="16">
        <v>0</v>
      </c>
      <c r="Y10" s="16">
        <v>0</v>
      </c>
      <c r="Z10" s="16">
        <v>0</v>
      </c>
      <c r="AA10" s="16">
        <v>0</v>
      </c>
      <c r="AB10" s="16">
        <v>0</v>
      </c>
      <c r="AC10" s="16">
        <v>0</v>
      </c>
      <c r="AD10" s="16">
        <v>0</v>
      </c>
      <c r="AE10" s="16">
        <v>0</v>
      </c>
      <c r="AF10" s="16">
        <v>0</v>
      </c>
      <c r="AG10" s="16">
        <v>0</v>
      </c>
      <c r="AH10" s="16">
        <v>0</v>
      </c>
      <c r="AI10" s="16">
        <v>0</v>
      </c>
      <c r="AJ10" s="16">
        <v>0</v>
      </c>
      <c r="AK10" s="16">
        <v>0</v>
      </c>
      <c r="AL10" s="16">
        <v>0</v>
      </c>
      <c r="AM10" s="16">
        <v>0</v>
      </c>
      <c r="AN10" s="16">
        <v>0</v>
      </c>
      <c r="AO10" s="16">
        <v>0</v>
      </c>
      <c r="AP10" s="16">
        <v>38.5</v>
      </c>
      <c r="AQ10" s="16">
        <v>32</v>
      </c>
      <c r="AR10" s="16">
        <v>0</v>
      </c>
      <c r="AS10" s="16">
        <v>8</v>
      </c>
      <c r="AT10" s="16">
        <v>32</v>
      </c>
      <c r="AU10" s="16">
        <v>40</v>
      </c>
      <c r="AV10" s="16">
        <v>40</v>
      </c>
      <c r="AW10" s="16">
        <v>40</v>
      </c>
      <c r="AX10" s="16">
        <v>24</v>
      </c>
      <c r="AY10" s="16">
        <v>8</v>
      </c>
      <c r="AZ10" s="16">
        <v>40</v>
      </c>
      <c r="BA10" s="16">
        <v>32</v>
      </c>
      <c r="BB10" s="16">
        <v>40</v>
      </c>
      <c r="BC10" s="16">
        <v>40</v>
      </c>
      <c r="BD10" s="16">
        <v>40</v>
      </c>
      <c r="BE10" s="16">
        <v>0</v>
      </c>
      <c r="BF10" s="16">
        <v>0</v>
      </c>
      <c r="BG10" s="16">
        <v>0</v>
      </c>
      <c r="BH10" s="16">
        <v>0</v>
      </c>
      <c r="BI10" s="16">
        <v>0</v>
      </c>
      <c r="BJ10" s="16">
        <v>0</v>
      </c>
      <c r="BK10" s="16">
        <v>0</v>
      </c>
      <c r="BL10" s="16">
        <v>0</v>
      </c>
      <c r="BM10" s="16">
        <v>0</v>
      </c>
      <c r="BN10" s="16">
        <v>0</v>
      </c>
      <c r="BO10" s="16">
        <v>0</v>
      </c>
      <c r="BP10" s="16">
        <v>0</v>
      </c>
      <c r="BQ10" s="16">
        <v>0</v>
      </c>
      <c r="BR10" s="16">
        <v>0</v>
      </c>
      <c r="BS10" s="207">
        <f t="shared" si="5"/>
        <v>54</v>
      </c>
      <c r="BT10" s="207">
        <f t="shared" si="6"/>
        <v>0</v>
      </c>
      <c r="BU10" s="207">
        <f t="shared" si="7"/>
        <v>0</v>
      </c>
      <c r="BV10" s="207">
        <f t="shared" si="18"/>
        <v>0</v>
      </c>
      <c r="BW10" s="207">
        <f t="shared" si="8"/>
        <v>0</v>
      </c>
      <c r="BX10" s="207">
        <f t="shared" si="9"/>
        <v>0</v>
      </c>
      <c r="BY10" s="207">
        <f t="shared" si="10"/>
        <v>78.5</v>
      </c>
      <c r="BZ10" s="207">
        <f t="shared" si="11"/>
        <v>176</v>
      </c>
      <c r="CA10" s="207">
        <f t="shared" si="12"/>
        <v>160</v>
      </c>
      <c r="CB10" s="207">
        <f t="shared" si="13"/>
        <v>40</v>
      </c>
      <c r="CC10" s="207">
        <f t="shared" si="14"/>
        <v>0</v>
      </c>
      <c r="CD10" s="207">
        <f t="shared" si="15"/>
        <v>0</v>
      </c>
      <c r="CE10" s="207">
        <f t="shared" si="16"/>
        <v>508.5</v>
      </c>
    </row>
    <row r="11" spans="1:83" ht="12" customHeight="1" x14ac:dyDescent="0.2">
      <c r="A11" s="6">
        <v>1</v>
      </c>
      <c r="B11" s="49" t="str">
        <f t="shared" si="17"/>
        <v>Hernani Lau Patricia RosaNO FACT.</v>
      </c>
      <c r="C11" s="117" t="str">
        <f t="shared" si="4"/>
        <v>Hernani Lau Patricia Rosa</v>
      </c>
      <c r="D11" s="49" t="str">
        <f>VLOOKUP(C11,Datos!$B$13:$C$83,2,0)</f>
        <v>VIGENTE</v>
      </c>
      <c r="E11" s="50" t="s">
        <v>75</v>
      </c>
      <c r="F11" s="49"/>
      <c r="G11" s="49" t="str">
        <f>IFERROR(VLOOKUP(H11,Datos!$J$2:$L$60,3,0),"OBSERVACIONES")</f>
        <v>OBSERVACIONES</v>
      </c>
      <c r="H11" s="50" t="s">
        <v>75</v>
      </c>
      <c r="I11" s="49" t="s">
        <v>131</v>
      </c>
      <c r="J11" s="49" t="s">
        <v>34</v>
      </c>
      <c r="K11" s="16">
        <v>0</v>
      </c>
      <c r="L11" s="16">
        <v>0</v>
      </c>
      <c r="M11" s="16">
        <v>0</v>
      </c>
      <c r="N11" s="16">
        <v>0</v>
      </c>
      <c r="O11" s="16">
        <v>0</v>
      </c>
      <c r="P11" s="16">
        <v>0</v>
      </c>
      <c r="Q11" s="16">
        <v>0</v>
      </c>
      <c r="R11" s="16">
        <v>0</v>
      </c>
      <c r="S11" s="16">
        <v>0</v>
      </c>
      <c r="T11" s="16">
        <v>0</v>
      </c>
      <c r="U11" s="16">
        <v>21</v>
      </c>
      <c r="V11" s="16">
        <v>16</v>
      </c>
      <c r="W11" s="16">
        <v>0</v>
      </c>
      <c r="X11" s="16">
        <v>0</v>
      </c>
      <c r="Y11" s="16">
        <v>0</v>
      </c>
      <c r="Z11" s="16">
        <v>14</v>
      </c>
      <c r="AA11" s="16">
        <v>8</v>
      </c>
      <c r="AB11" s="16">
        <v>40</v>
      </c>
      <c r="AC11" s="16">
        <v>40</v>
      </c>
      <c r="AD11" s="16">
        <v>0</v>
      </c>
      <c r="AE11" s="16">
        <v>0</v>
      </c>
      <c r="AF11" s="16">
        <v>0</v>
      </c>
      <c r="AG11" s="16">
        <v>0</v>
      </c>
      <c r="AH11" s="16">
        <v>0</v>
      </c>
      <c r="AI11" s="16">
        <v>0</v>
      </c>
      <c r="AJ11" s="16">
        <v>0</v>
      </c>
      <c r="AK11" s="16">
        <v>0</v>
      </c>
      <c r="AL11" s="16">
        <v>0</v>
      </c>
      <c r="AM11" s="16">
        <v>0</v>
      </c>
      <c r="AN11" s="16">
        <v>0</v>
      </c>
      <c r="AO11" s="16">
        <v>0</v>
      </c>
      <c r="AP11" s="16">
        <v>0</v>
      </c>
      <c r="AQ11" s="16">
        <v>0</v>
      </c>
      <c r="AR11" s="16">
        <v>0</v>
      </c>
      <c r="AS11" s="16">
        <v>0</v>
      </c>
      <c r="AT11" s="16">
        <v>0</v>
      </c>
      <c r="AU11" s="16">
        <v>0</v>
      </c>
      <c r="AV11" s="16">
        <v>0</v>
      </c>
      <c r="AW11" s="16">
        <v>0</v>
      </c>
      <c r="AX11" s="16">
        <v>0</v>
      </c>
      <c r="AY11" s="16">
        <v>0</v>
      </c>
      <c r="AZ11" s="16">
        <v>0</v>
      </c>
      <c r="BA11" s="16">
        <v>0</v>
      </c>
      <c r="BB11" s="16">
        <v>0</v>
      </c>
      <c r="BC11" s="16">
        <v>0</v>
      </c>
      <c r="BD11" s="16">
        <v>0</v>
      </c>
      <c r="BE11" s="16">
        <v>0</v>
      </c>
      <c r="BF11" s="16">
        <v>0</v>
      </c>
      <c r="BG11" s="16">
        <v>0</v>
      </c>
      <c r="BH11" s="16">
        <v>0</v>
      </c>
      <c r="BI11" s="16">
        <v>0</v>
      </c>
      <c r="BJ11" s="16">
        <v>0</v>
      </c>
      <c r="BK11" s="16">
        <v>0</v>
      </c>
      <c r="BL11" s="16">
        <v>0</v>
      </c>
      <c r="BM11" s="16">
        <v>0</v>
      </c>
      <c r="BN11" s="16">
        <v>0</v>
      </c>
      <c r="BO11" s="16">
        <v>0</v>
      </c>
      <c r="BP11" s="16">
        <v>0</v>
      </c>
      <c r="BQ11" s="16">
        <v>0</v>
      </c>
      <c r="BR11" s="16">
        <v>0</v>
      </c>
      <c r="BS11" s="207">
        <f t="shared" si="5"/>
        <v>0</v>
      </c>
      <c r="BT11" s="207">
        <f t="shared" si="6"/>
        <v>0</v>
      </c>
      <c r="BU11" s="207">
        <f t="shared" si="7"/>
        <v>37</v>
      </c>
      <c r="BV11" s="207">
        <f t="shared" si="18"/>
        <v>102</v>
      </c>
      <c r="BW11" s="207">
        <f t="shared" si="8"/>
        <v>0</v>
      </c>
      <c r="BX11" s="207">
        <f t="shared" si="9"/>
        <v>0</v>
      </c>
      <c r="BY11" s="207">
        <f t="shared" si="10"/>
        <v>0</v>
      </c>
      <c r="BZ11" s="207">
        <f t="shared" si="11"/>
        <v>0</v>
      </c>
      <c r="CA11" s="207">
        <f t="shared" si="12"/>
        <v>0</v>
      </c>
      <c r="CB11" s="207">
        <f t="shared" si="13"/>
        <v>0</v>
      </c>
      <c r="CC11" s="207">
        <f t="shared" si="14"/>
        <v>0</v>
      </c>
      <c r="CD11" s="207">
        <f t="shared" si="15"/>
        <v>0</v>
      </c>
      <c r="CE11" s="207">
        <f t="shared" si="16"/>
        <v>139</v>
      </c>
    </row>
    <row r="12" spans="1:83" ht="12" customHeight="1" x14ac:dyDescent="0.2">
      <c r="A12" s="6">
        <v>4</v>
      </c>
      <c r="B12" s="49" t="str">
        <f t="shared" si="17"/>
        <v>Hernani Lau Patricia RosaVACACIONES</v>
      </c>
      <c r="C12" s="117" t="str">
        <f t="shared" si="4"/>
        <v>Hernani Lau Patricia Rosa</v>
      </c>
      <c r="D12" s="49" t="str">
        <f>VLOOKUP(C12,Datos!$B$13:$C$83,2,0)</f>
        <v>VIGENTE</v>
      </c>
      <c r="E12" s="50" t="s">
        <v>209</v>
      </c>
      <c r="F12" s="49"/>
      <c r="G12" s="49" t="str">
        <f>IFERROR(VLOOKUP(H12,Datos!$J$2:$L$60,3,0),"OBSERVACIONES")</f>
        <v>OBSERVACIONES</v>
      </c>
      <c r="H12" s="50" t="s">
        <v>209</v>
      </c>
      <c r="I12" s="49" t="s">
        <v>243</v>
      </c>
      <c r="J12" s="49" t="s">
        <v>34</v>
      </c>
      <c r="K12" s="16">
        <v>0</v>
      </c>
      <c r="L12" s="16">
        <v>0</v>
      </c>
      <c r="M12" s="16">
        <v>0</v>
      </c>
      <c r="N12" s="16">
        <v>0</v>
      </c>
      <c r="O12" s="16">
        <v>0</v>
      </c>
      <c r="P12" s="16">
        <v>0</v>
      </c>
      <c r="Q12" s="16">
        <v>0</v>
      </c>
      <c r="R12" s="16">
        <v>0</v>
      </c>
      <c r="S12" s="16">
        <v>0</v>
      </c>
      <c r="T12" s="16">
        <v>0</v>
      </c>
      <c r="U12" s="16">
        <v>0</v>
      </c>
      <c r="V12" s="16">
        <v>0</v>
      </c>
      <c r="W12" s="16">
        <v>0</v>
      </c>
      <c r="X12" s="16">
        <v>0</v>
      </c>
      <c r="Y12" s="16">
        <v>0</v>
      </c>
      <c r="Z12" s="16">
        <v>0</v>
      </c>
      <c r="AA12" s="16">
        <v>0</v>
      </c>
      <c r="AB12" s="16">
        <v>0</v>
      </c>
      <c r="AC12" s="16">
        <v>0</v>
      </c>
      <c r="AD12" s="16">
        <v>0</v>
      </c>
      <c r="AE12" s="16">
        <v>0</v>
      </c>
      <c r="AF12" s="16">
        <v>0</v>
      </c>
      <c r="AG12" s="16">
        <v>0</v>
      </c>
      <c r="AH12" s="16">
        <v>0</v>
      </c>
      <c r="AI12" s="16">
        <v>0</v>
      </c>
      <c r="AJ12" s="16">
        <v>0</v>
      </c>
      <c r="AK12" s="16">
        <v>0</v>
      </c>
      <c r="AL12" s="16">
        <v>0</v>
      </c>
      <c r="AM12" s="16">
        <v>0</v>
      </c>
      <c r="AN12" s="16">
        <v>0</v>
      </c>
      <c r="AO12" s="16">
        <v>24</v>
      </c>
      <c r="AP12" s="16">
        <v>0</v>
      </c>
      <c r="AQ12" s="16">
        <v>0</v>
      </c>
      <c r="AR12" s="16">
        <v>0</v>
      </c>
      <c r="AS12" s="16">
        <v>0</v>
      </c>
      <c r="AT12" s="16">
        <v>0</v>
      </c>
      <c r="AU12" s="16">
        <v>0</v>
      </c>
      <c r="AV12" s="16">
        <v>0</v>
      </c>
      <c r="AW12" s="16">
        <v>0</v>
      </c>
      <c r="AX12" s="16">
        <v>0</v>
      </c>
      <c r="AY12" s="16">
        <v>0</v>
      </c>
      <c r="AZ12" s="16">
        <v>0</v>
      </c>
      <c r="BA12" s="16">
        <v>0</v>
      </c>
      <c r="BB12" s="16">
        <v>0</v>
      </c>
      <c r="BC12" s="16">
        <v>0</v>
      </c>
      <c r="BD12" s="16">
        <v>0</v>
      </c>
      <c r="BE12" s="16">
        <v>0</v>
      </c>
      <c r="BF12" s="16">
        <v>0</v>
      </c>
      <c r="BG12" s="16">
        <v>0</v>
      </c>
      <c r="BH12" s="16">
        <v>0</v>
      </c>
      <c r="BI12" s="16">
        <v>0</v>
      </c>
      <c r="BJ12" s="16">
        <v>0</v>
      </c>
      <c r="BK12" s="16">
        <v>0</v>
      </c>
      <c r="BL12" s="16">
        <v>0</v>
      </c>
      <c r="BM12" s="16">
        <v>0</v>
      </c>
      <c r="BN12" s="16">
        <v>0</v>
      </c>
      <c r="BO12" s="16">
        <v>0</v>
      </c>
      <c r="BP12" s="16">
        <v>0</v>
      </c>
      <c r="BQ12" s="16">
        <v>0</v>
      </c>
      <c r="BR12" s="16">
        <v>0</v>
      </c>
      <c r="BS12" s="207">
        <f t="shared" si="5"/>
        <v>0</v>
      </c>
      <c r="BT12" s="207">
        <f t="shared" si="6"/>
        <v>0</v>
      </c>
      <c r="BU12" s="207">
        <f t="shared" si="7"/>
        <v>0</v>
      </c>
      <c r="BV12" s="207">
        <f t="shared" si="18"/>
        <v>0</v>
      </c>
      <c r="BW12" s="207">
        <f t="shared" si="8"/>
        <v>0</v>
      </c>
      <c r="BX12" s="207">
        <f t="shared" si="9"/>
        <v>0</v>
      </c>
      <c r="BY12" s="207">
        <f t="shared" si="10"/>
        <v>24</v>
      </c>
      <c r="BZ12" s="207">
        <f t="shared" si="11"/>
        <v>0</v>
      </c>
      <c r="CA12" s="207">
        <f t="shared" si="12"/>
        <v>0</v>
      </c>
      <c r="CB12" s="207">
        <f t="shared" si="13"/>
        <v>0</v>
      </c>
      <c r="CC12" s="207">
        <f t="shared" si="14"/>
        <v>0</v>
      </c>
      <c r="CD12" s="207">
        <f t="shared" si="15"/>
        <v>0</v>
      </c>
      <c r="CE12" s="207">
        <f t="shared" si="16"/>
        <v>24</v>
      </c>
    </row>
    <row r="13" spans="1:83" ht="12" customHeight="1" x14ac:dyDescent="0.2">
      <c r="A13" s="6">
        <v>2</v>
      </c>
      <c r="B13" s="49" t="str">
        <f t="shared" si="17"/>
        <v>Hernani Lau Patricia RosaPROPUESTA</v>
      </c>
      <c r="C13" s="117" t="str">
        <f t="shared" si="4"/>
        <v>Hernani Lau Patricia Rosa</v>
      </c>
      <c r="D13" s="49" t="str">
        <f>VLOOKUP(C13,Datos!$B$13:$C$83,2,0)</f>
        <v>VIGENTE</v>
      </c>
      <c r="E13" s="50" t="s">
        <v>46</v>
      </c>
      <c r="F13" s="49"/>
      <c r="G13" s="49" t="str">
        <f>IFERROR(VLOOKUP(H13,Datos!$J$2:$L$60,3,0),"OBSERVACIONES")</f>
        <v>OBSERVACIONES</v>
      </c>
      <c r="H13" s="50" t="s">
        <v>46</v>
      </c>
      <c r="I13" s="49" t="s">
        <v>132</v>
      </c>
      <c r="J13" s="49" t="s">
        <v>34</v>
      </c>
      <c r="K13" s="16">
        <v>0</v>
      </c>
      <c r="L13" s="16">
        <v>0</v>
      </c>
      <c r="M13" s="16">
        <v>0</v>
      </c>
      <c r="N13" s="16">
        <v>20</v>
      </c>
      <c r="O13" s="16">
        <v>4</v>
      </c>
      <c r="P13" s="16">
        <v>0</v>
      </c>
      <c r="Q13" s="16">
        <v>0</v>
      </c>
      <c r="R13" s="16">
        <v>0</v>
      </c>
      <c r="S13" s="16">
        <v>0</v>
      </c>
      <c r="T13" s="16">
        <v>12</v>
      </c>
      <c r="U13" s="16">
        <v>0</v>
      </c>
      <c r="V13" s="16">
        <v>0</v>
      </c>
      <c r="W13" s="16">
        <v>0</v>
      </c>
      <c r="X13" s="16">
        <v>0</v>
      </c>
      <c r="Y13" s="16">
        <v>0</v>
      </c>
      <c r="Z13" s="16">
        <v>8</v>
      </c>
      <c r="AA13" s="16">
        <v>3</v>
      </c>
      <c r="AB13" s="16">
        <v>0</v>
      </c>
      <c r="AC13" s="16">
        <v>0</v>
      </c>
      <c r="AD13" s="16">
        <v>0</v>
      </c>
      <c r="AE13" s="16">
        <v>0</v>
      </c>
      <c r="AF13" s="16">
        <v>0</v>
      </c>
      <c r="AG13" s="16">
        <v>0</v>
      </c>
      <c r="AH13" s="16">
        <v>0</v>
      </c>
      <c r="AI13" s="16">
        <v>0</v>
      </c>
      <c r="AJ13" s="16">
        <v>0</v>
      </c>
      <c r="AK13" s="16">
        <v>0</v>
      </c>
      <c r="AL13" s="16">
        <v>0</v>
      </c>
      <c r="AM13" s="16">
        <v>0</v>
      </c>
      <c r="AN13" s="16">
        <v>0</v>
      </c>
      <c r="AO13" s="16">
        <v>0</v>
      </c>
      <c r="AP13" s="16">
        <v>0</v>
      </c>
      <c r="AQ13" s="16">
        <v>0</v>
      </c>
      <c r="AR13" s="16">
        <v>0</v>
      </c>
      <c r="AS13" s="16">
        <v>0</v>
      </c>
      <c r="AT13" s="16">
        <v>0</v>
      </c>
      <c r="AU13" s="16">
        <v>0</v>
      </c>
      <c r="AV13" s="16">
        <v>0</v>
      </c>
      <c r="AW13" s="16">
        <v>0</v>
      </c>
      <c r="AX13" s="16">
        <v>0</v>
      </c>
      <c r="AY13" s="16">
        <v>0</v>
      </c>
      <c r="AZ13" s="16">
        <v>0</v>
      </c>
      <c r="BA13" s="16">
        <v>0</v>
      </c>
      <c r="BB13" s="16">
        <v>0</v>
      </c>
      <c r="BC13" s="16">
        <v>0</v>
      </c>
      <c r="BD13" s="16">
        <v>0</v>
      </c>
      <c r="BE13" s="16">
        <v>0</v>
      </c>
      <c r="BF13" s="16">
        <v>0</v>
      </c>
      <c r="BG13" s="16">
        <v>0</v>
      </c>
      <c r="BH13" s="16">
        <v>0</v>
      </c>
      <c r="BI13" s="16">
        <v>0</v>
      </c>
      <c r="BJ13" s="16">
        <v>0</v>
      </c>
      <c r="BK13" s="16">
        <v>0</v>
      </c>
      <c r="BL13" s="16">
        <v>0</v>
      </c>
      <c r="BM13" s="16">
        <v>0</v>
      </c>
      <c r="BN13" s="16">
        <v>0</v>
      </c>
      <c r="BO13" s="16">
        <v>0</v>
      </c>
      <c r="BP13" s="16">
        <v>0</v>
      </c>
      <c r="BQ13" s="16">
        <v>0</v>
      </c>
      <c r="BR13" s="16">
        <v>0</v>
      </c>
      <c r="BS13" s="207">
        <f t="shared" si="5"/>
        <v>24</v>
      </c>
      <c r="BT13" s="207">
        <f t="shared" si="6"/>
        <v>12</v>
      </c>
      <c r="BU13" s="207">
        <f t="shared" si="7"/>
        <v>0</v>
      </c>
      <c r="BV13" s="207">
        <f t="shared" si="18"/>
        <v>11</v>
      </c>
      <c r="BW13" s="207">
        <f t="shared" si="8"/>
        <v>0</v>
      </c>
      <c r="BX13" s="207">
        <f t="shared" si="9"/>
        <v>0</v>
      </c>
      <c r="BY13" s="207">
        <f t="shared" si="10"/>
        <v>0</v>
      </c>
      <c r="BZ13" s="207">
        <f t="shared" si="11"/>
        <v>0</v>
      </c>
      <c r="CA13" s="207">
        <f t="shared" si="12"/>
        <v>0</v>
      </c>
      <c r="CB13" s="207">
        <f t="shared" si="13"/>
        <v>0</v>
      </c>
      <c r="CC13" s="207">
        <f t="shared" si="14"/>
        <v>0</v>
      </c>
      <c r="CD13" s="207">
        <f t="shared" si="15"/>
        <v>0</v>
      </c>
      <c r="CE13" s="207">
        <f t="shared" si="16"/>
        <v>47</v>
      </c>
    </row>
    <row r="14" spans="1:83" ht="12" customHeight="1" x14ac:dyDescent="0.2">
      <c r="A14" s="6">
        <v>5</v>
      </c>
      <c r="B14" s="49" t="str">
        <f t="shared" si="17"/>
        <v>Hernani Lau Patricia RosaINASISTENCIAS</v>
      </c>
      <c r="C14" s="117" t="str">
        <f t="shared" si="4"/>
        <v>Hernani Lau Patricia Rosa</v>
      </c>
      <c r="D14" s="49" t="str">
        <f>VLOOKUP(C14,Datos!$B$13:$C$83,2,0)</f>
        <v>VIGENTE</v>
      </c>
      <c r="E14" s="50" t="s">
        <v>208</v>
      </c>
      <c r="F14" s="49"/>
      <c r="G14" s="49" t="str">
        <f>IFERROR(VLOOKUP(H14,Datos!$J$2:$L$60,3,0),"OBSERVACIONES")</f>
        <v>OBSERVACIONES</v>
      </c>
      <c r="H14" s="50" t="s">
        <v>208</v>
      </c>
      <c r="I14" s="50" t="s">
        <v>210</v>
      </c>
      <c r="J14" s="49" t="s">
        <v>34</v>
      </c>
      <c r="K14" s="16">
        <v>0</v>
      </c>
      <c r="L14" s="16">
        <v>0</v>
      </c>
      <c r="M14" s="16">
        <v>0</v>
      </c>
      <c r="N14" s="16">
        <v>0</v>
      </c>
      <c r="O14" s="16">
        <v>0</v>
      </c>
      <c r="P14" s="16">
        <v>0</v>
      </c>
      <c r="Q14" s="16">
        <v>0</v>
      </c>
      <c r="R14" s="16">
        <v>0</v>
      </c>
      <c r="S14" s="16">
        <v>0</v>
      </c>
      <c r="T14" s="16">
        <v>0</v>
      </c>
      <c r="U14" s="16">
        <v>0</v>
      </c>
      <c r="V14" s="16">
        <v>0</v>
      </c>
      <c r="W14" s="16">
        <v>0</v>
      </c>
      <c r="X14" s="16">
        <v>0</v>
      </c>
      <c r="Y14" s="16">
        <v>0</v>
      </c>
      <c r="Z14" s="16">
        <v>0</v>
      </c>
      <c r="AA14" s="16">
        <v>0</v>
      </c>
      <c r="AB14" s="16">
        <v>0</v>
      </c>
      <c r="AC14" s="16">
        <v>0</v>
      </c>
      <c r="AD14" s="16">
        <v>0</v>
      </c>
      <c r="AE14" s="16">
        <v>0</v>
      </c>
      <c r="AF14" s="16">
        <v>0</v>
      </c>
      <c r="AG14" s="16">
        <v>0</v>
      </c>
      <c r="AH14" s="16">
        <v>0</v>
      </c>
      <c r="AI14" s="16">
        <v>0</v>
      </c>
      <c r="AJ14" s="16">
        <v>0</v>
      </c>
      <c r="AK14" s="16">
        <v>0</v>
      </c>
      <c r="AL14" s="16">
        <v>8</v>
      </c>
      <c r="AM14" s="16">
        <v>0</v>
      </c>
      <c r="AN14" s="16">
        <v>0</v>
      </c>
      <c r="AO14" s="16">
        <v>0</v>
      </c>
      <c r="AP14" s="16">
        <v>0</v>
      </c>
      <c r="AQ14" s="16">
        <v>0</v>
      </c>
      <c r="AR14" s="16">
        <v>0</v>
      </c>
      <c r="AS14" s="16">
        <v>0</v>
      </c>
      <c r="AT14" s="16">
        <v>0</v>
      </c>
      <c r="AU14" s="16">
        <v>0</v>
      </c>
      <c r="AV14" s="16">
        <v>0</v>
      </c>
      <c r="AW14" s="16">
        <v>0</v>
      </c>
      <c r="AX14" s="16">
        <v>0</v>
      </c>
      <c r="AY14" s="16">
        <v>0</v>
      </c>
      <c r="AZ14" s="16">
        <v>0</v>
      </c>
      <c r="BA14" s="16">
        <v>0</v>
      </c>
      <c r="BB14" s="16">
        <v>0</v>
      </c>
      <c r="BC14" s="16">
        <v>0</v>
      </c>
      <c r="BD14" s="16">
        <v>0</v>
      </c>
      <c r="BE14" s="16">
        <v>0</v>
      </c>
      <c r="BF14" s="16">
        <v>0</v>
      </c>
      <c r="BG14" s="16">
        <v>0</v>
      </c>
      <c r="BH14" s="16">
        <v>0</v>
      </c>
      <c r="BI14" s="16">
        <v>0</v>
      </c>
      <c r="BJ14" s="16">
        <v>0</v>
      </c>
      <c r="BK14" s="16">
        <v>0</v>
      </c>
      <c r="BL14" s="16">
        <v>0</v>
      </c>
      <c r="BM14" s="16">
        <v>0</v>
      </c>
      <c r="BN14" s="16">
        <v>0</v>
      </c>
      <c r="BO14" s="16">
        <v>0</v>
      </c>
      <c r="BP14" s="16">
        <v>0</v>
      </c>
      <c r="BQ14" s="16">
        <v>0</v>
      </c>
      <c r="BR14" s="16">
        <v>0</v>
      </c>
      <c r="BS14" s="207">
        <f t="shared" si="5"/>
        <v>0</v>
      </c>
      <c r="BT14" s="207">
        <f t="shared" si="6"/>
        <v>0</v>
      </c>
      <c r="BU14" s="207">
        <f t="shared" si="7"/>
        <v>0</v>
      </c>
      <c r="BV14" s="207">
        <f t="shared" si="18"/>
        <v>0</v>
      </c>
      <c r="BW14" s="207">
        <f t="shared" si="8"/>
        <v>0</v>
      </c>
      <c r="BX14" s="207">
        <f t="shared" si="9"/>
        <v>8</v>
      </c>
      <c r="BY14" s="207">
        <f t="shared" si="10"/>
        <v>0</v>
      </c>
      <c r="BZ14" s="207">
        <f t="shared" si="11"/>
        <v>0</v>
      </c>
      <c r="CA14" s="207">
        <f t="shared" si="12"/>
        <v>0</v>
      </c>
      <c r="CB14" s="207">
        <f t="shared" si="13"/>
        <v>0</v>
      </c>
      <c r="CC14" s="207">
        <f t="shared" si="14"/>
        <v>0</v>
      </c>
      <c r="CD14" s="207">
        <f t="shared" si="15"/>
        <v>0</v>
      </c>
      <c r="CE14" s="207">
        <f t="shared" si="16"/>
        <v>8</v>
      </c>
    </row>
    <row r="15" spans="1:83" ht="12" customHeight="1" x14ac:dyDescent="0.2">
      <c r="A15" s="6">
        <v>3</v>
      </c>
      <c r="B15" s="49" t="str">
        <f t="shared" si="17"/>
        <v>Benito Bendezú Marco AntonioP0005</v>
      </c>
      <c r="C15" s="117" t="str">
        <f t="shared" si="4"/>
        <v>Benito Bendezú Marco Antonio</v>
      </c>
      <c r="D15" s="49" t="str">
        <f>VLOOKUP(C15,Datos!$B$13:$C$83,2,0)</f>
        <v>CESADO</v>
      </c>
      <c r="E15" s="49" t="s">
        <v>76</v>
      </c>
      <c r="F15" s="49" t="str">
        <f>IFERROR(VLOOKUP(H15,Datos!$J$2:$L$60,3,0),"OBSERVCIONES")</f>
        <v>CERRADO</v>
      </c>
      <c r="G15" s="49"/>
      <c r="H15" s="49" t="s">
        <v>77</v>
      </c>
      <c r="I15" s="49" t="s">
        <v>115</v>
      </c>
      <c r="J15" s="49" t="s">
        <v>30</v>
      </c>
      <c r="K15" s="16">
        <v>0</v>
      </c>
      <c r="L15" s="16">
        <v>0</v>
      </c>
      <c r="M15" s="16">
        <v>0</v>
      </c>
      <c r="N15" s="16">
        <v>0</v>
      </c>
      <c r="O15" s="16">
        <v>0</v>
      </c>
      <c r="P15" s="16">
        <v>0</v>
      </c>
      <c r="Q15" s="16">
        <v>0</v>
      </c>
      <c r="R15" s="16">
        <v>0</v>
      </c>
      <c r="S15" s="16">
        <v>0</v>
      </c>
      <c r="T15" s="16">
        <v>0</v>
      </c>
      <c r="U15" s="16">
        <v>6</v>
      </c>
      <c r="V15" s="16">
        <v>10</v>
      </c>
      <c r="W15" s="16">
        <v>10</v>
      </c>
      <c r="X15" s="16">
        <v>10</v>
      </c>
      <c r="Y15" s="16">
        <v>10</v>
      </c>
      <c r="Z15" s="16">
        <v>13</v>
      </c>
      <c r="AA15" s="16">
        <v>6</v>
      </c>
      <c r="AB15" s="16">
        <v>4</v>
      </c>
      <c r="AC15" s="16">
        <v>10</v>
      </c>
      <c r="AD15" s="16">
        <v>20</v>
      </c>
      <c r="AE15" s="16">
        <v>16</v>
      </c>
      <c r="AF15" s="16">
        <v>0</v>
      </c>
      <c r="AG15" s="16">
        <v>0</v>
      </c>
      <c r="AH15" s="16">
        <v>0</v>
      </c>
      <c r="AI15" s="16">
        <v>0</v>
      </c>
      <c r="AJ15" s="16">
        <v>0</v>
      </c>
      <c r="AK15" s="16">
        <v>3</v>
      </c>
      <c r="AL15" s="16">
        <v>32</v>
      </c>
      <c r="AM15" s="16">
        <v>28</v>
      </c>
      <c r="AN15" s="16">
        <v>35</v>
      </c>
      <c r="AO15" s="16">
        <v>35</v>
      </c>
      <c r="AP15" s="16">
        <v>12</v>
      </c>
      <c r="AQ15" s="16">
        <v>0</v>
      </c>
      <c r="AR15" s="16">
        <v>0</v>
      </c>
      <c r="AS15" s="16">
        <v>0</v>
      </c>
      <c r="AT15" s="16">
        <v>0</v>
      </c>
      <c r="AU15" s="16">
        <v>0</v>
      </c>
      <c r="AV15" s="16">
        <v>0</v>
      </c>
      <c r="AW15" s="16">
        <v>0</v>
      </c>
      <c r="AX15" s="16">
        <v>0</v>
      </c>
      <c r="AY15" s="16">
        <v>0</v>
      </c>
      <c r="AZ15" s="16">
        <v>16</v>
      </c>
      <c r="BA15" s="16">
        <v>0</v>
      </c>
      <c r="BB15" s="16">
        <v>0</v>
      </c>
      <c r="BC15" s="16">
        <v>0</v>
      </c>
      <c r="BD15" s="16">
        <v>0</v>
      </c>
      <c r="BE15" s="16">
        <v>0</v>
      </c>
      <c r="BF15" s="16">
        <v>0</v>
      </c>
      <c r="BG15" s="16">
        <v>0</v>
      </c>
      <c r="BH15" s="16">
        <v>0</v>
      </c>
      <c r="BI15" s="16">
        <v>0</v>
      </c>
      <c r="BJ15" s="16">
        <v>0</v>
      </c>
      <c r="BK15" s="16">
        <v>0</v>
      </c>
      <c r="BL15" s="16">
        <v>0</v>
      </c>
      <c r="BM15" s="16">
        <v>0</v>
      </c>
      <c r="BN15" s="16">
        <v>0</v>
      </c>
      <c r="BO15" s="16">
        <v>0</v>
      </c>
      <c r="BP15" s="16">
        <v>0</v>
      </c>
      <c r="BQ15" s="16">
        <v>0</v>
      </c>
      <c r="BR15" s="16">
        <v>0</v>
      </c>
      <c r="BS15" s="207">
        <f t="shared" si="5"/>
        <v>0</v>
      </c>
      <c r="BT15" s="207">
        <f t="shared" si="6"/>
        <v>0</v>
      </c>
      <c r="BU15" s="207">
        <f t="shared" si="7"/>
        <v>46</v>
      </c>
      <c r="BV15" s="207">
        <f t="shared" si="18"/>
        <v>33</v>
      </c>
      <c r="BW15" s="207">
        <f t="shared" si="8"/>
        <v>36</v>
      </c>
      <c r="BX15" s="207">
        <f t="shared" si="9"/>
        <v>63</v>
      </c>
      <c r="BY15" s="207">
        <f t="shared" si="10"/>
        <v>82</v>
      </c>
      <c r="BZ15" s="207">
        <f t="shared" si="11"/>
        <v>0</v>
      </c>
      <c r="CA15" s="207">
        <f t="shared" si="12"/>
        <v>16</v>
      </c>
      <c r="CB15" s="207">
        <f t="shared" si="13"/>
        <v>0</v>
      </c>
      <c r="CC15" s="207">
        <f t="shared" si="14"/>
        <v>0</v>
      </c>
      <c r="CD15" s="207">
        <f t="shared" si="15"/>
        <v>0</v>
      </c>
      <c r="CE15" s="207">
        <f t="shared" si="16"/>
        <v>276</v>
      </c>
    </row>
    <row r="16" spans="1:83" ht="12" customHeight="1" x14ac:dyDescent="0.2">
      <c r="A16" s="6">
        <v>3</v>
      </c>
      <c r="B16" s="49" t="str">
        <f t="shared" si="17"/>
        <v>Benito Bendezú Marco AntonioP0026</v>
      </c>
      <c r="C16" s="117" t="str">
        <f>J16</f>
        <v>Benito Bendezú Marco Antonio</v>
      </c>
      <c r="D16" s="49" t="str">
        <f>VLOOKUP(C16,Datos!$B$13:$C$83,2,0)</f>
        <v>CESADO</v>
      </c>
      <c r="E16" s="49" t="s">
        <v>103</v>
      </c>
      <c r="F16" s="49" t="s">
        <v>218</v>
      </c>
      <c r="G16" s="49"/>
      <c r="H16" s="49" t="s">
        <v>305</v>
      </c>
      <c r="I16" s="49" t="s">
        <v>436</v>
      </c>
      <c r="J16" s="49" t="s">
        <v>30</v>
      </c>
      <c r="K16" s="16">
        <v>0</v>
      </c>
      <c r="L16" s="16">
        <v>0</v>
      </c>
      <c r="M16" s="16">
        <v>0</v>
      </c>
      <c r="N16" s="16">
        <v>0</v>
      </c>
      <c r="O16" s="16">
        <v>0</v>
      </c>
      <c r="P16" s="16">
        <v>0</v>
      </c>
      <c r="Q16" s="16">
        <v>0</v>
      </c>
      <c r="R16" s="16">
        <v>0</v>
      </c>
      <c r="S16" s="16">
        <v>0</v>
      </c>
      <c r="T16" s="16">
        <v>0</v>
      </c>
      <c r="U16" s="16">
        <v>0</v>
      </c>
      <c r="V16" s="16">
        <v>0</v>
      </c>
      <c r="W16" s="16">
        <v>0</v>
      </c>
      <c r="X16" s="16">
        <v>0</v>
      </c>
      <c r="Y16" s="16">
        <v>0</v>
      </c>
      <c r="Z16" s="16">
        <v>0</v>
      </c>
      <c r="AA16" s="16">
        <v>0</v>
      </c>
      <c r="AB16" s="16">
        <v>0</v>
      </c>
      <c r="AC16" s="16">
        <v>0</v>
      </c>
      <c r="AD16" s="16">
        <v>0</v>
      </c>
      <c r="AE16" s="16">
        <v>0</v>
      </c>
      <c r="AF16" s="16">
        <v>0</v>
      </c>
      <c r="AG16" s="16">
        <v>0</v>
      </c>
      <c r="AH16" s="16">
        <v>0</v>
      </c>
      <c r="AI16" s="16">
        <v>0</v>
      </c>
      <c r="AJ16" s="16">
        <v>0</v>
      </c>
      <c r="AK16" s="16">
        <v>0</v>
      </c>
      <c r="AL16" s="16">
        <v>0</v>
      </c>
      <c r="AM16" s="16">
        <v>0</v>
      </c>
      <c r="AN16" s="16">
        <v>0</v>
      </c>
      <c r="AO16" s="16">
        <v>0</v>
      </c>
      <c r="AP16" s="16">
        <v>22</v>
      </c>
      <c r="AQ16" s="16">
        <v>28</v>
      </c>
      <c r="AR16" s="16">
        <v>0</v>
      </c>
      <c r="AS16" s="16">
        <v>8</v>
      </c>
      <c r="AT16" s="16">
        <v>32</v>
      </c>
      <c r="AU16" s="16">
        <v>40</v>
      </c>
      <c r="AV16" s="16">
        <v>40</v>
      </c>
      <c r="AW16" s="16">
        <v>40</v>
      </c>
      <c r="AX16" s="16">
        <v>24</v>
      </c>
      <c r="AY16" s="16">
        <v>8</v>
      </c>
      <c r="AZ16" s="16">
        <v>24</v>
      </c>
      <c r="BA16" s="16">
        <v>40</v>
      </c>
      <c r="BB16" s="16">
        <v>40</v>
      </c>
      <c r="BC16" s="16">
        <v>40</v>
      </c>
      <c r="BD16" s="16">
        <v>0</v>
      </c>
      <c r="BE16" s="16">
        <v>0</v>
      </c>
      <c r="BF16" s="16">
        <v>0</v>
      </c>
      <c r="BG16" s="16">
        <v>0</v>
      </c>
      <c r="BH16" s="16">
        <v>0</v>
      </c>
      <c r="BI16" s="16">
        <v>0</v>
      </c>
      <c r="BJ16" s="16">
        <v>0</v>
      </c>
      <c r="BK16" s="16">
        <v>0</v>
      </c>
      <c r="BL16" s="16">
        <v>0</v>
      </c>
      <c r="BM16" s="16">
        <v>0</v>
      </c>
      <c r="BN16" s="16">
        <v>0</v>
      </c>
      <c r="BO16" s="16">
        <v>0</v>
      </c>
      <c r="BP16" s="16">
        <v>0</v>
      </c>
      <c r="BQ16" s="16">
        <v>0</v>
      </c>
      <c r="BR16" s="16">
        <v>0</v>
      </c>
      <c r="BS16" s="207">
        <f t="shared" si="5"/>
        <v>0</v>
      </c>
      <c r="BT16" s="207">
        <f t="shared" si="6"/>
        <v>0</v>
      </c>
      <c r="BU16" s="207">
        <f t="shared" si="7"/>
        <v>0</v>
      </c>
      <c r="BV16" s="207">
        <f t="shared" si="18"/>
        <v>0</v>
      </c>
      <c r="BW16" s="207">
        <f t="shared" si="8"/>
        <v>0</v>
      </c>
      <c r="BX16" s="207">
        <f t="shared" si="9"/>
        <v>0</v>
      </c>
      <c r="BY16" s="207">
        <f t="shared" si="10"/>
        <v>58</v>
      </c>
      <c r="BZ16" s="207">
        <f t="shared" si="11"/>
        <v>176</v>
      </c>
      <c r="CA16" s="207">
        <f t="shared" si="12"/>
        <v>152</v>
      </c>
      <c r="CB16" s="207">
        <f t="shared" si="13"/>
        <v>0</v>
      </c>
      <c r="CC16" s="207">
        <f t="shared" si="14"/>
        <v>0</v>
      </c>
      <c r="CD16" s="207">
        <f t="shared" si="15"/>
        <v>0</v>
      </c>
      <c r="CE16" s="207">
        <f t="shared" si="16"/>
        <v>386</v>
      </c>
    </row>
    <row r="17" spans="1:83" ht="12" customHeight="1" x14ac:dyDescent="0.2">
      <c r="A17" s="6">
        <v>3</v>
      </c>
      <c r="B17" s="49" t="str">
        <f t="shared" si="17"/>
        <v>Benito Bendezú Marco AntonioP0008</v>
      </c>
      <c r="C17" s="117" t="str">
        <f t="shared" si="4"/>
        <v>Benito Bendezú Marco Antonio</v>
      </c>
      <c r="D17" s="49" t="str">
        <f>VLOOKUP(C17,Datos!$B$13:$C$83,2,0)</f>
        <v>CESADO</v>
      </c>
      <c r="E17" s="49" t="s">
        <v>78</v>
      </c>
      <c r="F17" s="49" t="str">
        <f>IFERROR(VLOOKUP(H17,Datos!$J$2:$L$60,3,0),"OBSERVCIONES")</f>
        <v>CERRADO</v>
      </c>
      <c r="G17" s="49"/>
      <c r="H17" s="49" t="s">
        <v>79</v>
      </c>
      <c r="I17" s="49" t="s">
        <v>164</v>
      </c>
      <c r="J17" s="49" t="s">
        <v>30</v>
      </c>
      <c r="K17" s="16">
        <v>0</v>
      </c>
      <c r="L17" s="16">
        <v>0</v>
      </c>
      <c r="M17" s="16">
        <v>0</v>
      </c>
      <c r="N17" s="16">
        <v>0</v>
      </c>
      <c r="O17" s="16">
        <v>0</v>
      </c>
      <c r="P17" s="16">
        <v>0</v>
      </c>
      <c r="Q17" s="16">
        <v>8</v>
      </c>
      <c r="R17" s="16">
        <v>10</v>
      </c>
      <c r="S17" s="16">
        <v>10</v>
      </c>
      <c r="T17" s="16">
        <v>4</v>
      </c>
      <c r="U17" s="16">
        <v>6</v>
      </c>
      <c r="V17" s="16">
        <v>0</v>
      </c>
      <c r="W17" s="16">
        <v>0</v>
      </c>
      <c r="X17" s="16">
        <v>0</v>
      </c>
      <c r="Y17" s="16">
        <v>0</v>
      </c>
      <c r="Z17" s="16">
        <v>0</v>
      </c>
      <c r="AA17" s="16">
        <v>0</v>
      </c>
      <c r="AB17" s="16">
        <v>0</v>
      </c>
      <c r="AC17" s="16">
        <v>0</v>
      </c>
      <c r="AD17" s="16">
        <v>0</v>
      </c>
      <c r="AE17" s="16">
        <v>0</v>
      </c>
      <c r="AF17" s="16">
        <v>0</v>
      </c>
      <c r="AG17" s="16">
        <v>0</v>
      </c>
      <c r="AH17" s="16">
        <v>0</v>
      </c>
      <c r="AI17" s="16">
        <v>0</v>
      </c>
      <c r="AJ17" s="16">
        <v>0</v>
      </c>
      <c r="AK17" s="16">
        <v>0</v>
      </c>
      <c r="AL17" s="16">
        <v>0</v>
      </c>
      <c r="AM17" s="16">
        <v>0</v>
      </c>
      <c r="AN17" s="16">
        <v>0</v>
      </c>
      <c r="AO17" s="16">
        <v>0</v>
      </c>
      <c r="AP17" s="16">
        <v>0</v>
      </c>
      <c r="AQ17" s="16">
        <v>0</v>
      </c>
      <c r="AR17" s="16">
        <v>0</v>
      </c>
      <c r="AS17" s="16">
        <v>0</v>
      </c>
      <c r="AT17" s="16">
        <v>0</v>
      </c>
      <c r="AU17" s="16">
        <v>0</v>
      </c>
      <c r="AV17" s="16">
        <v>0</v>
      </c>
      <c r="AW17" s="16">
        <v>0</v>
      </c>
      <c r="AX17" s="16">
        <v>0</v>
      </c>
      <c r="AY17" s="16">
        <v>0</v>
      </c>
      <c r="AZ17" s="16">
        <v>0</v>
      </c>
      <c r="BA17" s="16">
        <v>0</v>
      </c>
      <c r="BB17" s="16">
        <v>0</v>
      </c>
      <c r="BC17" s="16">
        <v>0</v>
      </c>
      <c r="BD17" s="16">
        <v>0</v>
      </c>
      <c r="BE17" s="16">
        <v>0</v>
      </c>
      <c r="BF17" s="16">
        <v>0</v>
      </c>
      <c r="BG17" s="16">
        <v>0</v>
      </c>
      <c r="BH17" s="16">
        <v>0</v>
      </c>
      <c r="BI17" s="16">
        <v>0</v>
      </c>
      <c r="BJ17" s="16">
        <v>0</v>
      </c>
      <c r="BK17" s="16">
        <v>0</v>
      </c>
      <c r="BL17" s="16">
        <v>0</v>
      </c>
      <c r="BM17" s="16">
        <v>0</v>
      </c>
      <c r="BN17" s="16">
        <v>0</v>
      </c>
      <c r="BO17" s="16">
        <v>0</v>
      </c>
      <c r="BP17" s="16">
        <v>0</v>
      </c>
      <c r="BQ17" s="16">
        <v>0</v>
      </c>
      <c r="BR17" s="16">
        <v>0</v>
      </c>
      <c r="BS17" s="207">
        <f t="shared" si="5"/>
        <v>0</v>
      </c>
      <c r="BT17" s="207">
        <f t="shared" si="6"/>
        <v>32</v>
      </c>
      <c r="BU17" s="207">
        <f t="shared" si="7"/>
        <v>6</v>
      </c>
      <c r="BV17" s="207">
        <f t="shared" si="18"/>
        <v>0</v>
      </c>
      <c r="BW17" s="207">
        <f t="shared" si="8"/>
        <v>0</v>
      </c>
      <c r="BX17" s="207">
        <f t="shared" si="9"/>
        <v>0</v>
      </c>
      <c r="BY17" s="207">
        <f t="shared" si="10"/>
        <v>0</v>
      </c>
      <c r="BZ17" s="207">
        <f t="shared" si="11"/>
        <v>0</v>
      </c>
      <c r="CA17" s="207">
        <f t="shared" si="12"/>
        <v>0</v>
      </c>
      <c r="CB17" s="207">
        <f t="shared" si="13"/>
        <v>0</v>
      </c>
      <c r="CC17" s="207">
        <f t="shared" si="14"/>
        <v>0</v>
      </c>
      <c r="CD17" s="207">
        <f t="shared" si="15"/>
        <v>0</v>
      </c>
      <c r="CE17" s="207">
        <f t="shared" si="16"/>
        <v>38</v>
      </c>
    </row>
    <row r="18" spans="1:83" ht="12" customHeight="1" x14ac:dyDescent="0.2">
      <c r="A18" s="6">
        <v>3</v>
      </c>
      <c r="B18" s="49" t="str">
        <f t="shared" si="17"/>
        <v>Benito Bendezú Marco AntonioMP002</v>
      </c>
      <c r="C18" s="117" t="str">
        <f t="shared" ref="C18:C25" si="19">J18</f>
        <v>Benito Bendezú Marco Antonio</v>
      </c>
      <c r="D18" s="49" t="str">
        <f>VLOOKUP(C18,Datos!$B$13:$C$83,2,0)</f>
        <v>CESADO</v>
      </c>
      <c r="E18" s="49" t="s">
        <v>80</v>
      </c>
      <c r="F18" s="49" t="str">
        <f>IFERROR(VLOOKUP(H18,Datos!$J$2:$L$60,3,0),"OBSERVCIONES")</f>
        <v>PROCESO</v>
      </c>
      <c r="G18" s="49"/>
      <c r="H18" s="49" t="s">
        <v>81</v>
      </c>
      <c r="I18" s="49" t="s">
        <v>126</v>
      </c>
      <c r="J18" s="49" t="s">
        <v>30</v>
      </c>
      <c r="K18" s="16">
        <v>0</v>
      </c>
      <c r="L18" s="16">
        <v>0</v>
      </c>
      <c r="M18" s="16">
        <v>0</v>
      </c>
      <c r="N18" s="16">
        <v>0</v>
      </c>
      <c r="O18" s="16">
        <v>0</v>
      </c>
      <c r="P18" s="16">
        <v>0</v>
      </c>
      <c r="Q18" s="16">
        <v>0</v>
      </c>
      <c r="R18" s="16">
        <v>0</v>
      </c>
      <c r="S18" s="16">
        <v>0</v>
      </c>
      <c r="T18" s="16">
        <v>0</v>
      </c>
      <c r="U18" s="16">
        <v>0</v>
      </c>
      <c r="V18" s="16">
        <v>0</v>
      </c>
      <c r="W18" s="16">
        <v>0</v>
      </c>
      <c r="X18" s="16">
        <v>0</v>
      </c>
      <c r="Y18" s="16">
        <v>0</v>
      </c>
      <c r="Z18" s="16">
        <v>5</v>
      </c>
      <c r="AA18" s="16">
        <v>3</v>
      </c>
      <c r="AB18" s="16">
        <v>5</v>
      </c>
      <c r="AC18" s="16">
        <v>5</v>
      </c>
      <c r="AD18" s="16">
        <v>1</v>
      </c>
      <c r="AE18" s="16">
        <v>0</v>
      </c>
      <c r="AF18" s="16">
        <v>0</v>
      </c>
      <c r="AG18" s="16">
        <v>0</v>
      </c>
      <c r="AH18" s="16">
        <v>0</v>
      </c>
      <c r="AI18" s="16">
        <v>0</v>
      </c>
      <c r="AJ18" s="16">
        <v>0</v>
      </c>
      <c r="AK18" s="16">
        <v>0</v>
      </c>
      <c r="AL18" s="16">
        <v>0</v>
      </c>
      <c r="AM18" s="16">
        <v>0</v>
      </c>
      <c r="AN18" s="16">
        <v>0</v>
      </c>
      <c r="AO18" s="16">
        <v>0</v>
      </c>
      <c r="AP18" s="16">
        <v>0</v>
      </c>
      <c r="AQ18" s="16">
        <v>0</v>
      </c>
      <c r="AR18" s="16">
        <v>0</v>
      </c>
      <c r="AS18" s="16">
        <v>0</v>
      </c>
      <c r="AT18" s="16">
        <v>0</v>
      </c>
      <c r="AU18" s="16">
        <v>0</v>
      </c>
      <c r="AV18" s="16">
        <v>0</v>
      </c>
      <c r="AW18" s="16">
        <v>0</v>
      </c>
      <c r="AX18" s="16">
        <v>0</v>
      </c>
      <c r="AY18" s="16">
        <v>0</v>
      </c>
      <c r="AZ18" s="16">
        <v>0</v>
      </c>
      <c r="BA18" s="16">
        <v>0</v>
      </c>
      <c r="BB18" s="16">
        <v>0</v>
      </c>
      <c r="BC18" s="16">
        <v>0</v>
      </c>
      <c r="BD18" s="16">
        <v>0</v>
      </c>
      <c r="BE18" s="16">
        <v>0</v>
      </c>
      <c r="BF18" s="16">
        <v>0</v>
      </c>
      <c r="BG18" s="16">
        <v>0</v>
      </c>
      <c r="BH18" s="16">
        <v>0</v>
      </c>
      <c r="BI18" s="16">
        <v>0</v>
      </c>
      <c r="BJ18" s="16">
        <v>0</v>
      </c>
      <c r="BK18" s="16">
        <v>0</v>
      </c>
      <c r="BL18" s="16">
        <v>0</v>
      </c>
      <c r="BM18" s="16">
        <v>0</v>
      </c>
      <c r="BN18" s="16">
        <v>0</v>
      </c>
      <c r="BO18" s="16">
        <v>0</v>
      </c>
      <c r="BP18" s="16">
        <v>0</v>
      </c>
      <c r="BQ18" s="16">
        <v>0</v>
      </c>
      <c r="BR18" s="16">
        <v>0</v>
      </c>
      <c r="BS18" s="207">
        <f t="shared" ref="BS18:BS41" si="20">SUM(K18:O18)</f>
        <v>0</v>
      </c>
      <c r="BT18" s="207">
        <f t="shared" ref="BT18:BT41" si="21">SUM(P18:T18)</f>
        <v>0</v>
      </c>
      <c r="BU18" s="207">
        <f t="shared" ref="BU18:BU39" si="22">SUM(U18:Y18)</f>
        <v>0</v>
      </c>
      <c r="BV18" s="207">
        <f t="shared" ref="BV18:BV71" si="23">SUM(Z18:AC18)</f>
        <v>18</v>
      </c>
      <c r="BW18" s="207">
        <f t="shared" ref="BW18:BW41" si="24">SUM(AD18:AH18)</f>
        <v>1</v>
      </c>
      <c r="BX18" s="207">
        <f t="shared" ref="BX18:BX41" si="25">SUM(AI18:AM18)</f>
        <v>0</v>
      </c>
      <c r="BY18" s="207">
        <f t="shared" ref="BY18:BY41" si="26">SUM(AN18:AS18)</f>
        <v>0</v>
      </c>
      <c r="BZ18" s="207">
        <f t="shared" ref="BZ18:BZ41" si="27">SUM(AT18:AX18)</f>
        <v>0</v>
      </c>
      <c r="CA18" s="207">
        <f t="shared" ref="CA18:CA41" si="28">SUM(AY18:BC18)</f>
        <v>0</v>
      </c>
      <c r="CB18" s="207">
        <f t="shared" ref="CB18:CB41" si="29">SUM(BD18:BH18)</f>
        <v>0</v>
      </c>
      <c r="CC18" s="207">
        <f t="shared" ref="CC18:CC41" si="30">SUM(BI18:BM18)</f>
        <v>0</v>
      </c>
      <c r="CD18" s="207">
        <f t="shared" ref="CD18:CD41" si="31">SUM(BN18:BR18)</f>
        <v>0</v>
      </c>
      <c r="CE18" s="207">
        <f t="shared" ref="CE18:CE39" si="32">SUM(BS18:CD18)</f>
        <v>19</v>
      </c>
    </row>
    <row r="19" spans="1:83" ht="12" customHeight="1" x14ac:dyDescent="0.2">
      <c r="A19" s="6">
        <v>3</v>
      </c>
      <c r="B19" s="49" t="str">
        <f t="shared" si="17"/>
        <v>Benito Bendezú Marco AntonioMP003</v>
      </c>
      <c r="C19" s="117" t="str">
        <f t="shared" si="19"/>
        <v>Benito Bendezú Marco Antonio</v>
      </c>
      <c r="D19" s="49" t="str">
        <f>VLOOKUP(C19,Datos!$B$13:$C$83,2,0)</f>
        <v>CESADO</v>
      </c>
      <c r="E19" s="49" t="s">
        <v>82</v>
      </c>
      <c r="F19" s="49" t="str">
        <f>IFERROR(VLOOKUP(H19,Datos!$J$2:$L$60,3,0),"OBSERVCIONES")</f>
        <v>PROCESO</v>
      </c>
      <c r="G19" s="49"/>
      <c r="H19" s="49" t="s">
        <v>83</v>
      </c>
      <c r="I19" s="49" t="s">
        <v>126</v>
      </c>
      <c r="J19" s="49" t="s">
        <v>30</v>
      </c>
      <c r="K19" s="16">
        <v>0</v>
      </c>
      <c r="L19" s="16">
        <v>0</v>
      </c>
      <c r="M19" s="16">
        <v>0</v>
      </c>
      <c r="N19" s="16">
        <v>0</v>
      </c>
      <c r="O19" s="16">
        <v>0</v>
      </c>
      <c r="P19" s="16">
        <v>0</v>
      </c>
      <c r="Q19" s="16">
        <v>0</v>
      </c>
      <c r="R19" s="16">
        <v>0</v>
      </c>
      <c r="S19" s="16">
        <v>0</v>
      </c>
      <c r="T19" s="16">
        <v>0</v>
      </c>
      <c r="U19" s="16">
        <v>0</v>
      </c>
      <c r="V19" s="16">
        <v>0</v>
      </c>
      <c r="W19" s="16">
        <v>0</v>
      </c>
      <c r="X19" s="16">
        <v>0</v>
      </c>
      <c r="Y19" s="16">
        <v>0</v>
      </c>
      <c r="Z19" s="16">
        <v>2</v>
      </c>
      <c r="AA19" s="16">
        <v>3</v>
      </c>
      <c r="AB19" s="16">
        <v>2</v>
      </c>
      <c r="AC19" s="16">
        <v>1</v>
      </c>
      <c r="AD19" s="16">
        <v>1</v>
      </c>
      <c r="AE19" s="16">
        <v>0</v>
      </c>
      <c r="AF19" s="16">
        <v>0</v>
      </c>
      <c r="AG19" s="16">
        <v>0</v>
      </c>
      <c r="AH19" s="16">
        <v>0</v>
      </c>
      <c r="AI19" s="16">
        <v>0</v>
      </c>
      <c r="AJ19" s="16">
        <v>0</v>
      </c>
      <c r="AK19" s="16">
        <v>0</v>
      </c>
      <c r="AL19" s="16">
        <v>0</v>
      </c>
      <c r="AM19" s="16">
        <v>0</v>
      </c>
      <c r="AN19" s="16">
        <v>0</v>
      </c>
      <c r="AO19" s="16">
        <v>0</v>
      </c>
      <c r="AP19" s="16">
        <v>0</v>
      </c>
      <c r="AQ19" s="16">
        <v>0</v>
      </c>
      <c r="AR19" s="16">
        <v>0</v>
      </c>
      <c r="AS19" s="16">
        <v>0</v>
      </c>
      <c r="AT19" s="16">
        <v>0</v>
      </c>
      <c r="AU19" s="16">
        <v>0</v>
      </c>
      <c r="AV19" s="16">
        <v>0</v>
      </c>
      <c r="AW19" s="16">
        <v>0</v>
      </c>
      <c r="AX19" s="16">
        <v>0</v>
      </c>
      <c r="AY19" s="16">
        <v>0</v>
      </c>
      <c r="AZ19" s="16">
        <v>0</v>
      </c>
      <c r="BA19" s="16">
        <v>0</v>
      </c>
      <c r="BB19" s="16">
        <v>0</v>
      </c>
      <c r="BC19" s="16">
        <v>0</v>
      </c>
      <c r="BD19" s="16">
        <v>0</v>
      </c>
      <c r="BE19" s="16">
        <v>0</v>
      </c>
      <c r="BF19" s="16">
        <v>0</v>
      </c>
      <c r="BG19" s="16">
        <v>0</v>
      </c>
      <c r="BH19" s="16">
        <v>0</v>
      </c>
      <c r="BI19" s="16">
        <v>0</v>
      </c>
      <c r="BJ19" s="16">
        <v>0</v>
      </c>
      <c r="BK19" s="16">
        <v>0</v>
      </c>
      <c r="BL19" s="16">
        <v>0</v>
      </c>
      <c r="BM19" s="16">
        <v>0</v>
      </c>
      <c r="BN19" s="16">
        <v>0</v>
      </c>
      <c r="BO19" s="16">
        <v>0</v>
      </c>
      <c r="BP19" s="16">
        <v>0</v>
      </c>
      <c r="BQ19" s="16">
        <v>0</v>
      </c>
      <c r="BR19" s="16">
        <v>0</v>
      </c>
      <c r="BS19" s="207">
        <f t="shared" si="20"/>
        <v>0</v>
      </c>
      <c r="BT19" s="207">
        <f t="shared" si="21"/>
        <v>0</v>
      </c>
      <c r="BU19" s="207">
        <f t="shared" si="22"/>
        <v>0</v>
      </c>
      <c r="BV19" s="207">
        <f t="shared" si="23"/>
        <v>8</v>
      </c>
      <c r="BW19" s="207">
        <f t="shared" si="24"/>
        <v>1</v>
      </c>
      <c r="BX19" s="207">
        <f t="shared" si="25"/>
        <v>0</v>
      </c>
      <c r="BY19" s="207">
        <f t="shared" si="26"/>
        <v>0</v>
      </c>
      <c r="BZ19" s="207">
        <f t="shared" si="27"/>
        <v>0</v>
      </c>
      <c r="CA19" s="207">
        <f t="shared" si="28"/>
        <v>0</v>
      </c>
      <c r="CB19" s="207">
        <f t="shared" si="29"/>
        <v>0</v>
      </c>
      <c r="CC19" s="207">
        <f t="shared" si="30"/>
        <v>0</v>
      </c>
      <c r="CD19" s="207">
        <f t="shared" si="31"/>
        <v>0</v>
      </c>
      <c r="CE19" s="207">
        <f t="shared" si="32"/>
        <v>9</v>
      </c>
    </row>
    <row r="20" spans="1:83" ht="12" customHeight="1" x14ac:dyDescent="0.2">
      <c r="A20" s="6">
        <v>3</v>
      </c>
      <c r="B20" s="49" t="str">
        <f t="shared" si="17"/>
        <v>Benito Bendezú Marco AntonioP0020</v>
      </c>
      <c r="C20" s="117" t="str">
        <f t="shared" si="19"/>
        <v>Benito Bendezú Marco Antonio</v>
      </c>
      <c r="D20" s="49" t="str">
        <f>VLOOKUP(C20,Datos!$B$13:$C$83,2,0)</f>
        <v>CESADO</v>
      </c>
      <c r="E20" s="49" t="s">
        <v>50</v>
      </c>
      <c r="F20" s="49" t="str">
        <f>IFERROR(VLOOKUP(H20,Datos!$J$2:$L$60,3,0),"OBSERVACIONES")</f>
        <v>CERRADO</v>
      </c>
      <c r="G20" s="49"/>
      <c r="H20" s="49" t="s">
        <v>196</v>
      </c>
      <c r="I20" s="49" t="s">
        <v>127</v>
      </c>
      <c r="J20" s="49" t="s">
        <v>30</v>
      </c>
      <c r="K20" s="16">
        <v>28</v>
      </c>
      <c r="L20" s="16">
        <v>28</v>
      </c>
      <c r="M20" s="16">
        <v>28</v>
      </c>
      <c r="N20" s="16">
        <v>28</v>
      </c>
      <c r="O20" s="16">
        <v>11</v>
      </c>
      <c r="P20" s="16">
        <v>13</v>
      </c>
      <c r="Q20" s="16">
        <v>23</v>
      </c>
      <c r="R20" s="16">
        <v>25</v>
      </c>
      <c r="S20" s="16">
        <v>25</v>
      </c>
      <c r="T20" s="16">
        <v>10</v>
      </c>
      <c r="U20" s="16">
        <v>8.5</v>
      </c>
      <c r="V20" s="16">
        <v>21</v>
      </c>
      <c r="W20" s="16">
        <v>21</v>
      </c>
      <c r="X20" s="16">
        <v>21</v>
      </c>
      <c r="Y20" s="16">
        <v>21</v>
      </c>
      <c r="Z20" s="16">
        <v>0</v>
      </c>
      <c r="AA20" s="16">
        <v>0</v>
      </c>
      <c r="AB20" s="16">
        <v>0</v>
      </c>
      <c r="AC20" s="16">
        <v>0</v>
      </c>
      <c r="AD20" s="16">
        <v>0</v>
      </c>
      <c r="AE20" s="16">
        <v>0</v>
      </c>
      <c r="AF20" s="16">
        <v>0</v>
      </c>
      <c r="AG20" s="16">
        <v>0</v>
      </c>
      <c r="AH20" s="16">
        <v>0</v>
      </c>
      <c r="AI20" s="16">
        <v>0</v>
      </c>
      <c r="AJ20" s="16">
        <v>0</v>
      </c>
      <c r="AK20" s="16">
        <v>0</v>
      </c>
      <c r="AL20" s="16">
        <v>0</v>
      </c>
      <c r="AM20" s="16">
        <v>0</v>
      </c>
      <c r="AN20" s="16">
        <v>0</v>
      </c>
      <c r="AO20" s="16">
        <v>0</v>
      </c>
      <c r="AP20" s="16">
        <v>0</v>
      </c>
      <c r="AQ20" s="16">
        <v>0</v>
      </c>
      <c r="AR20" s="16">
        <v>0</v>
      </c>
      <c r="AS20" s="16">
        <v>0</v>
      </c>
      <c r="AT20" s="16">
        <v>0</v>
      </c>
      <c r="AU20" s="16">
        <v>0</v>
      </c>
      <c r="AV20" s="16">
        <v>0</v>
      </c>
      <c r="AW20" s="16">
        <v>0</v>
      </c>
      <c r="AX20" s="16">
        <v>0</v>
      </c>
      <c r="AY20" s="16">
        <v>0</v>
      </c>
      <c r="AZ20" s="16">
        <v>0</v>
      </c>
      <c r="BA20" s="16">
        <v>0</v>
      </c>
      <c r="BB20" s="16">
        <v>0</v>
      </c>
      <c r="BC20" s="16">
        <v>0</v>
      </c>
      <c r="BD20" s="16">
        <v>0</v>
      </c>
      <c r="BE20" s="16">
        <v>0</v>
      </c>
      <c r="BF20" s="16">
        <v>0</v>
      </c>
      <c r="BG20" s="16">
        <v>0</v>
      </c>
      <c r="BH20" s="16">
        <v>0</v>
      </c>
      <c r="BI20" s="16">
        <v>0</v>
      </c>
      <c r="BJ20" s="16">
        <v>0</v>
      </c>
      <c r="BK20" s="16">
        <v>0</v>
      </c>
      <c r="BL20" s="16">
        <v>0</v>
      </c>
      <c r="BM20" s="16">
        <v>0</v>
      </c>
      <c r="BN20" s="16">
        <v>0</v>
      </c>
      <c r="BO20" s="16">
        <v>0</v>
      </c>
      <c r="BP20" s="16">
        <v>0</v>
      </c>
      <c r="BQ20" s="16">
        <v>0</v>
      </c>
      <c r="BR20" s="16">
        <v>0</v>
      </c>
      <c r="BS20" s="207">
        <f t="shared" si="20"/>
        <v>123</v>
      </c>
      <c r="BT20" s="207">
        <f t="shared" si="21"/>
        <v>96</v>
      </c>
      <c r="BU20" s="207">
        <f t="shared" si="22"/>
        <v>92.5</v>
      </c>
      <c r="BV20" s="207">
        <f t="shared" si="23"/>
        <v>0</v>
      </c>
      <c r="BW20" s="207">
        <f t="shared" si="24"/>
        <v>0</v>
      </c>
      <c r="BX20" s="207">
        <f t="shared" si="25"/>
        <v>0</v>
      </c>
      <c r="BY20" s="207">
        <f t="shared" si="26"/>
        <v>0</v>
      </c>
      <c r="BZ20" s="207">
        <f t="shared" si="27"/>
        <v>0</v>
      </c>
      <c r="CA20" s="207">
        <f t="shared" si="28"/>
        <v>0</v>
      </c>
      <c r="CB20" s="207">
        <f t="shared" si="29"/>
        <v>0</v>
      </c>
      <c r="CC20" s="207">
        <f t="shared" si="30"/>
        <v>0</v>
      </c>
      <c r="CD20" s="207">
        <f t="shared" si="31"/>
        <v>0</v>
      </c>
      <c r="CE20" s="207">
        <f t="shared" si="32"/>
        <v>311.5</v>
      </c>
    </row>
    <row r="21" spans="1:83" ht="12" customHeight="1" x14ac:dyDescent="0.2">
      <c r="A21" s="6">
        <v>3</v>
      </c>
      <c r="B21" s="49" t="str">
        <f t="shared" si="17"/>
        <v>Benito Bendezú Marco AntonioP0010</v>
      </c>
      <c r="C21" s="117" t="str">
        <f t="shared" si="19"/>
        <v>Benito Bendezú Marco Antonio</v>
      </c>
      <c r="D21" s="49" t="str">
        <f>VLOOKUP(C21,Datos!$B$13:$C$83,2,0)</f>
        <v>CESADO</v>
      </c>
      <c r="E21" s="49" t="s">
        <v>84</v>
      </c>
      <c r="F21" s="49" t="str">
        <f>IFERROR(VLOOKUP(H21,Datos!$J$2:$L$60,3,0),"OBSERVCIONES")</f>
        <v>CERRADO</v>
      </c>
      <c r="G21" s="49"/>
      <c r="H21" s="49" t="s">
        <v>85</v>
      </c>
      <c r="I21" s="49" t="s">
        <v>123</v>
      </c>
      <c r="J21" s="49" t="s">
        <v>30</v>
      </c>
      <c r="K21" s="16">
        <v>0</v>
      </c>
      <c r="L21" s="16">
        <v>0</v>
      </c>
      <c r="M21" s="16">
        <v>0</v>
      </c>
      <c r="N21" s="16">
        <v>0</v>
      </c>
      <c r="O21" s="16">
        <v>0</v>
      </c>
      <c r="P21" s="16">
        <v>0</v>
      </c>
      <c r="Q21" s="16">
        <v>0</v>
      </c>
      <c r="R21" s="16">
        <v>0</v>
      </c>
      <c r="S21" s="16">
        <v>0</v>
      </c>
      <c r="T21" s="16">
        <v>0</v>
      </c>
      <c r="U21" s="16">
        <v>0</v>
      </c>
      <c r="V21" s="16">
        <v>0</v>
      </c>
      <c r="W21" s="16">
        <v>0</v>
      </c>
      <c r="X21" s="16">
        <v>0</v>
      </c>
      <c r="Y21" s="16">
        <v>0</v>
      </c>
      <c r="Z21" s="16">
        <v>2</v>
      </c>
      <c r="AA21" s="16">
        <v>0</v>
      </c>
      <c r="AB21" s="16">
        <v>1</v>
      </c>
      <c r="AC21" s="16">
        <v>2</v>
      </c>
      <c r="AD21" s="16">
        <v>1</v>
      </c>
      <c r="AE21" s="16">
        <v>0</v>
      </c>
      <c r="AF21" s="16">
        <v>0</v>
      </c>
      <c r="AG21" s="16">
        <v>0</v>
      </c>
      <c r="AH21" s="16">
        <v>0</v>
      </c>
      <c r="AI21" s="16">
        <v>0</v>
      </c>
      <c r="AJ21" s="16">
        <v>0</v>
      </c>
      <c r="AK21" s="16">
        <v>0</v>
      </c>
      <c r="AL21" s="16">
        <v>0</v>
      </c>
      <c r="AM21" s="16">
        <v>0</v>
      </c>
      <c r="AN21" s="16">
        <v>0</v>
      </c>
      <c r="AO21" s="16">
        <v>0</v>
      </c>
      <c r="AP21" s="16">
        <v>0</v>
      </c>
      <c r="AQ21" s="16">
        <v>0</v>
      </c>
      <c r="AR21" s="16">
        <v>0</v>
      </c>
      <c r="AS21" s="16">
        <v>0</v>
      </c>
      <c r="AT21" s="16">
        <v>0</v>
      </c>
      <c r="AU21" s="16">
        <v>0</v>
      </c>
      <c r="AV21" s="16">
        <v>0</v>
      </c>
      <c r="AW21" s="16">
        <v>0</v>
      </c>
      <c r="AX21" s="16">
        <v>0</v>
      </c>
      <c r="AY21" s="16">
        <v>0</v>
      </c>
      <c r="AZ21" s="16">
        <v>0</v>
      </c>
      <c r="BA21" s="16">
        <v>0</v>
      </c>
      <c r="BB21" s="16">
        <v>0</v>
      </c>
      <c r="BC21" s="16">
        <v>0</v>
      </c>
      <c r="BD21" s="16">
        <v>0</v>
      </c>
      <c r="BE21" s="16">
        <v>0</v>
      </c>
      <c r="BF21" s="16">
        <v>0</v>
      </c>
      <c r="BG21" s="16">
        <v>0</v>
      </c>
      <c r="BH21" s="16">
        <v>0</v>
      </c>
      <c r="BI21" s="16">
        <v>0</v>
      </c>
      <c r="BJ21" s="16">
        <v>0</v>
      </c>
      <c r="BK21" s="16">
        <v>0</v>
      </c>
      <c r="BL21" s="16">
        <v>0</v>
      </c>
      <c r="BM21" s="16">
        <v>0</v>
      </c>
      <c r="BN21" s="16">
        <v>0</v>
      </c>
      <c r="BO21" s="16">
        <v>0</v>
      </c>
      <c r="BP21" s="16">
        <v>0</v>
      </c>
      <c r="BQ21" s="16">
        <v>0</v>
      </c>
      <c r="BR21" s="16">
        <v>0</v>
      </c>
      <c r="BS21" s="207">
        <f t="shared" si="20"/>
        <v>0</v>
      </c>
      <c r="BT21" s="207">
        <f t="shared" si="21"/>
        <v>0</v>
      </c>
      <c r="BU21" s="207">
        <f t="shared" si="22"/>
        <v>0</v>
      </c>
      <c r="BV21" s="207">
        <f t="shared" si="23"/>
        <v>5</v>
      </c>
      <c r="BW21" s="207">
        <f t="shared" si="24"/>
        <v>1</v>
      </c>
      <c r="BX21" s="207">
        <f t="shared" si="25"/>
        <v>0</v>
      </c>
      <c r="BY21" s="207">
        <f t="shared" si="26"/>
        <v>0</v>
      </c>
      <c r="BZ21" s="207">
        <f t="shared" si="27"/>
        <v>0</v>
      </c>
      <c r="CA21" s="207">
        <f t="shared" si="28"/>
        <v>0</v>
      </c>
      <c r="CB21" s="207">
        <f t="shared" si="29"/>
        <v>0</v>
      </c>
      <c r="CC21" s="207">
        <f t="shared" si="30"/>
        <v>0</v>
      </c>
      <c r="CD21" s="207">
        <f t="shared" si="31"/>
        <v>0</v>
      </c>
      <c r="CE21" s="207">
        <f t="shared" si="32"/>
        <v>6</v>
      </c>
    </row>
    <row r="22" spans="1:83" ht="12" customHeight="1" x14ac:dyDescent="0.2">
      <c r="A22" s="6">
        <v>3</v>
      </c>
      <c r="B22" s="49" t="str">
        <f t="shared" si="17"/>
        <v>Palomino Ferroa Victor IsaiasMP004</v>
      </c>
      <c r="C22" s="117" t="str">
        <f t="shared" si="19"/>
        <v>Palomino Ferroa Victor Isaias</v>
      </c>
      <c r="D22" s="49" t="str">
        <f>VLOOKUP(C22,Datos!$B$13:$C$83,2,0)</f>
        <v>CESADO</v>
      </c>
      <c r="E22" s="50" t="s">
        <v>44</v>
      </c>
      <c r="F22" s="49" t="str">
        <f>IFERROR(VLOOKUP(H22,Datos!$J$2:$L$60,3,0),"OBSERVCIONES")</f>
        <v>PROCESO</v>
      </c>
      <c r="G22" s="49"/>
      <c r="H22" s="50" t="s">
        <v>42</v>
      </c>
      <c r="I22" s="49" t="s">
        <v>304</v>
      </c>
      <c r="J22" s="118" t="s">
        <v>422</v>
      </c>
      <c r="K22" s="16">
        <v>40</v>
      </c>
      <c r="L22" s="16">
        <v>40</v>
      </c>
      <c r="M22" s="16">
        <v>40</v>
      </c>
      <c r="N22" s="16">
        <v>40</v>
      </c>
      <c r="O22" s="16">
        <v>16</v>
      </c>
      <c r="P22" s="16">
        <v>24</v>
      </c>
      <c r="Q22" s="16">
        <v>40</v>
      </c>
      <c r="R22" s="16">
        <v>40</v>
      </c>
      <c r="S22" s="16">
        <v>0</v>
      </c>
      <c r="T22" s="16">
        <v>0</v>
      </c>
      <c r="U22" s="16">
        <v>0</v>
      </c>
      <c r="V22" s="16">
        <v>0</v>
      </c>
      <c r="W22" s="16">
        <v>0</v>
      </c>
      <c r="X22" s="16">
        <v>0</v>
      </c>
      <c r="Y22" s="16">
        <v>0</v>
      </c>
      <c r="Z22" s="16">
        <v>0</v>
      </c>
      <c r="AA22" s="16">
        <v>0</v>
      </c>
      <c r="AB22" s="16">
        <v>0</v>
      </c>
      <c r="AC22" s="16">
        <v>0</v>
      </c>
      <c r="AD22" s="16">
        <v>0</v>
      </c>
      <c r="AE22" s="16">
        <v>0</v>
      </c>
      <c r="AF22" s="16">
        <v>0</v>
      </c>
      <c r="AG22" s="16">
        <v>0</v>
      </c>
      <c r="AH22" s="16">
        <v>0</v>
      </c>
      <c r="AI22" s="16">
        <v>0</v>
      </c>
      <c r="AJ22" s="16">
        <v>0</v>
      </c>
      <c r="AK22" s="16">
        <v>0</v>
      </c>
      <c r="AL22" s="16">
        <v>0</v>
      </c>
      <c r="AM22" s="16">
        <v>0</v>
      </c>
      <c r="AN22" s="16">
        <v>0</v>
      </c>
      <c r="AO22" s="16">
        <v>0</v>
      </c>
      <c r="AP22" s="16">
        <v>0</v>
      </c>
      <c r="AQ22" s="16">
        <v>0</v>
      </c>
      <c r="AR22" s="16">
        <v>0</v>
      </c>
      <c r="AS22" s="16">
        <v>0</v>
      </c>
      <c r="AT22" s="16">
        <v>0</v>
      </c>
      <c r="AU22" s="16">
        <v>0</v>
      </c>
      <c r="AV22" s="16">
        <v>0</v>
      </c>
      <c r="AW22" s="16">
        <v>0</v>
      </c>
      <c r="AX22" s="16">
        <v>0</v>
      </c>
      <c r="AY22" s="16">
        <v>0</v>
      </c>
      <c r="AZ22" s="16">
        <v>0</v>
      </c>
      <c r="BA22" s="16">
        <v>0</v>
      </c>
      <c r="BB22" s="16">
        <v>0</v>
      </c>
      <c r="BC22" s="16">
        <v>0</v>
      </c>
      <c r="BD22" s="16">
        <v>0</v>
      </c>
      <c r="BE22" s="16">
        <v>0</v>
      </c>
      <c r="BF22" s="16">
        <v>0</v>
      </c>
      <c r="BG22" s="16">
        <v>0</v>
      </c>
      <c r="BH22" s="16">
        <v>0</v>
      </c>
      <c r="BI22" s="16">
        <v>0</v>
      </c>
      <c r="BJ22" s="16">
        <v>0</v>
      </c>
      <c r="BK22" s="16">
        <v>0</v>
      </c>
      <c r="BL22" s="16">
        <v>0</v>
      </c>
      <c r="BM22" s="16">
        <v>0</v>
      </c>
      <c r="BN22" s="16">
        <v>0</v>
      </c>
      <c r="BO22" s="16">
        <v>0</v>
      </c>
      <c r="BP22" s="16">
        <v>0</v>
      </c>
      <c r="BQ22" s="16">
        <v>0</v>
      </c>
      <c r="BR22" s="16">
        <v>0</v>
      </c>
      <c r="BS22" s="207">
        <f t="shared" si="20"/>
        <v>176</v>
      </c>
      <c r="BT22" s="207">
        <f t="shared" si="21"/>
        <v>104</v>
      </c>
      <c r="BU22" s="207">
        <f t="shared" si="22"/>
        <v>0</v>
      </c>
      <c r="BV22" s="207">
        <f t="shared" si="23"/>
        <v>0</v>
      </c>
      <c r="BW22" s="207">
        <f t="shared" si="24"/>
        <v>0</v>
      </c>
      <c r="BX22" s="207">
        <f t="shared" si="25"/>
        <v>0</v>
      </c>
      <c r="BY22" s="207">
        <f t="shared" si="26"/>
        <v>0</v>
      </c>
      <c r="BZ22" s="207">
        <f t="shared" si="27"/>
        <v>0</v>
      </c>
      <c r="CA22" s="207">
        <f t="shared" si="28"/>
        <v>0</v>
      </c>
      <c r="CB22" s="207">
        <f t="shared" si="29"/>
        <v>0</v>
      </c>
      <c r="CC22" s="207">
        <f t="shared" si="30"/>
        <v>0</v>
      </c>
      <c r="CD22" s="207">
        <f t="shared" si="31"/>
        <v>0</v>
      </c>
      <c r="CE22" s="207">
        <f t="shared" si="32"/>
        <v>280</v>
      </c>
    </row>
    <row r="23" spans="1:83" ht="12" customHeight="1" x14ac:dyDescent="0.2">
      <c r="A23" s="6">
        <v>3</v>
      </c>
      <c r="B23" s="49" t="str">
        <f t="shared" si="17"/>
        <v>Zuñiga Santillan Jose EduardoMP004</v>
      </c>
      <c r="C23" s="117" t="str">
        <f t="shared" si="19"/>
        <v>Zuñiga Santillan Jose Eduardo</v>
      </c>
      <c r="D23" s="49" t="str">
        <f>VLOOKUP(C23,Datos!$B$13:$C$83,2,0)</f>
        <v>CESADO</v>
      </c>
      <c r="E23" s="50" t="s">
        <v>44</v>
      </c>
      <c r="F23" s="49" t="str">
        <f>IFERROR(VLOOKUP(H23,Datos!$J$2:$L$60,3,0),"OBSERVCIONES")</f>
        <v>PROCESO</v>
      </c>
      <c r="G23" s="49"/>
      <c r="H23" s="50" t="s">
        <v>42</v>
      </c>
      <c r="I23" s="49" t="s">
        <v>304</v>
      </c>
      <c r="J23" s="49" t="s">
        <v>427</v>
      </c>
      <c r="K23" s="16">
        <v>40</v>
      </c>
      <c r="L23" s="16">
        <v>40</v>
      </c>
      <c r="M23" s="16">
        <v>0</v>
      </c>
      <c r="N23" s="16">
        <v>0</v>
      </c>
      <c r="O23" s="16">
        <v>0</v>
      </c>
      <c r="P23" s="16">
        <v>0</v>
      </c>
      <c r="Q23" s="16">
        <v>0</v>
      </c>
      <c r="R23" s="16">
        <v>0</v>
      </c>
      <c r="S23" s="16">
        <v>0</v>
      </c>
      <c r="T23" s="16">
        <v>0</v>
      </c>
      <c r="U23" s="16">
        <v>24</v>
      </c>
      <c r="V23" s="16">
        <v>36</v>
      </c>
      <c r="W23" s="16">
        <v>0</v>
      </c>
      <c r="X23" s="16">
        <v>0</v>
      </c>
      <c r="Y23" s="16">
        <v>0</v>
      </c>
      <c r="Z23" s="16">
        <v>0</v>
      </c>
      <c r="AA23" s="16">
        <v>0</v>
      </c>
      <c r="AB23" s="16">
        <v>0</v>
      </c>
      <c r="AC23" s="16">
        <v>0</v>
      </c>
      <c r="AD23" s="16">
        <v>0</v>
      </c>
      <c r="AE23" s="16">
        <v>0</v>
      </c>
      <c r="AF23" s="16">
        <v>0</v>
      </c>
      <c r="AG23" s="16">
        <v>0</v>
      </c>
      <c r="AH23" s="16">
        <v>0</v>
      </c>
      <c r="AI23" s="16">
        <v>0</v>
      </c>
      <c r="AJ23" s="16">
        <v>0</v>
      </c>
      <c r="AK23" s="16">
        <v>0</v>
      </c>
      <c r="AL23" s="16">
        <v>0</v>
      </c>
      <c r="AM23" s="16">
        <v>0</v>
      </c>
      <c r="AN23" s="16">
        <v>0</v>
      </c>
      <c r="AO23" s="16">
        <v>0</v>
      </c>
      <c r="AP23" s="16">
        <v>0</v>
      </c>
      <c r="AQ23" s="16">
        <v>0</v>
      </c>
      <c r="AR23" s="16">
        <v>0</v>
      </c>
      <c r="AS23" s="16">
        <v>0</v>
      </c>
      <c r="AT23" s="16">
        <v>0</v>
      </c>
      <c r="AU23" s="16">
        <v>0</v>
      </c>
      <c r="AV23" s="16">
        <v>0</v>
      </c>
      <c r="AW23" s="16">
        <v>0</v>
      </c>
      <c r="AX23" s="16">
        <v>0</v>
      </c>
      <c r="AY23" s="16">
        <v>0</v>
      </c>
      <c r="AZ23" s="16">
        <v>0</v>
      </c>
      <c r="BA23" s="16">
        <v>0</v>
      </c>
      <c r="BB23" s="16">
        <v>0</v>
      </c>
      <c r="BC23" s="16">
        <v>0</v>
      </c>
      <c r="BD23" s="16">
        <v>0</v>
      </c>
      <c r="BE23" s="16">
        <v>0</v>
      </c>
      <c r="BF23" s="16">
        <v>0</v>
      </c>
      <c r="BG23" s="16">
        <v>0</v>
      </c>
      <c r="BH23" s="16">
        <v>0</v>
      </c>
      <c r="BI23" s="16">
        <v>0</v>
      </c>
      <c r="BJ23" s="16">
        <v>0</v>
      </c>
      <c r="BK23" s="16">
        <v>0</v>
      </c>
      <c r="BL23" s="16">
        <v>0</v>
      </c>
      <c r="BM23" s="16">
        <v>0</v>
      </c>
      <c r="BN23" s="16">
        <v>0</v>
      </c>
      <c r="BO23" s="16">
        <v>0</v>
      </c>
      <c r="BP23" s="16">
        <v>0</v>
      </c>
      <c r="BQ23" s="16">
        <v>0</v>
      </c>
      <c r="BR23" s="16">
        <v>0</v>
      </c>
      <c r="BS23" s="207">
        <f t="shared" si="20"/>
        <v>80</v>
      </c>
      <c r="BT23" s="207">
        <f t="shared" si="21"/>
        <v>0</v>
      </c>
      <c r="BU23" s="207">
        <f t="shared" si="22"/>
        <v>60</v>
      </c>
      <c r="BV23" s="207">
        <f t="shared" si="23"/>
        <v>0</v>
      </c>
      <c r="BW23" s="207">
        <f t="shared" si="24"/>
        <v>0</v>
      </c>
      <c r="BX23" s="207">
        <f t="shared" si="25"/>
        <v>0</v>
      </c>
      <c r="BY23" s="207">
        <f t="shared" si="26"/>
        <v>0</v>
      </c>
      <c r="BZ23" s="207">
        <f t="shared" si="27"/>
        <v>0</v>
      </c>
      <c r="CA23" s="207">
        <f t="shared" si="28"/>
        <v>0</v>
      </c>
      <c r="CB23" s="207">
        <f t="shared" si="29"/>
        <v>0</v>
      </c>
      <c r="CC23" s="207">
        <f t="shared" si="30"/>
        <v>0</v>
      </c>
      <c r="CD23" s="207">
        <f t="shared" si="31"/>
        <v>0</v>
      </c>
      <c r="CE23" s="207">
        <f t="shared" si="32"/>
        <v>140</v>
      </c>
    </row>
    <row r="24" spans="1:83" ht="12" customHeight="1" x14ac:dyDescent="0.2">
      <c r="A24" s="6">
        <v>3</v>
      </c>
      <c r="B24" s="49" t="str">
        <f t="shared" si="17"/>
        <v>Tarazona Falcon Jesus MP004</v>
      </c>
      <c r="C24" s="117" t="str">
        <f t="shared" si="19"/>
        <v xml:space="preserve">Tarazona Falcon Jesus </v>
      </c>
      <c r="D24" s="49" t="str">
        <f>VLOOKUP(C24,Datos!$B$13:$C$83,2,0)</f>
        <v>CESADO</v>
      </c>
      <c r="E24" s="50" t="s">
        <v>44</v>
      </c>
      <c r="F24" s="49" t="str">
        <f>IFERROR(VLOOKUP(H24,Datos!$J$2:$L$60,3,0),"OBSERVCIONES")</f>
        <v>PROCESO</v>
      </c>
      <c r="G24" s="49"/>
      <c r="H24" s="50" t="s">
        <v>42</v>
      </c>
      <c r="I24" s="49" t="s">
        <v>304</v>
      </c>
      <c r="J24" s="118" t="s">
        <v>425</v>
      </c>
      <c r="K24" s="16">
        <v>40</v>
      </c>
      <c r="L24" s="16">
        <v>40</v>
      </c>
      <c r="M24" s="16">
        <v>40</v>
      </c>
      <c r="N24" s="16">
        <v>40</v>
      </c>
      <c r="O24" s="16">
        <v>16</v>
      </c>
      <c r="P24" s="16">
        <v>0</v>
      </c>
      <c r="Q24" s="16">
        <v>0</v>
      </c>
      <c r="R24" s="16">
        <v>0</v>
      </c>
      <c r="S24" s="16">
        <v>0</v>
      </c>
      <c r="T24" s="16">
        <v>0</v>
      </c>
      <c r="U24" s="16">
        <v>0</v>
      </c>
      <c r="V24" s="16">
        <v>0</v>
      </c>
      <c r="W24" s="16">
        <v>0</v>
      </c>
      <c r="X24" s="16">
        <v>0</v>
      </c>
      <c r="Y24" s="16">
        <v>0</v>
      </c>
      <c r="Z24" s="16">
        <v>0</v>
      </c>
      <c r="AA24" s="16">
        <v>0</v>
      </c>
      <c r="AB24" s="16">
        <v>0</v>
      </c>
      <c r="AC24" s="16">
        <v>0</v>
      </c>
      <c r="AD24" s="16">
        <v>0</v>
      </c>
      <c r="AE24" s="16">
        <v>0</v>
      </c>
      <c r="AF24" s="16">
        <v>0</v>
      </c>
      <c r="AG24" s="16">
        <v>0</v>
      </c>
      <c r="AH24" s="16">
        <v>0</v>
      </c>
      <c r="AI24" s="16">
        <v>0</v>
      </c>
      <c r="AJ24" s="16">
        <v>0</v>
      </c>
      <c r="AK24" s="16">
        <v>0</v>
      </c>
      <c r="AL24" s="16">
        <v>0</v>
      </c>
      <c r="AM24" s="16">
        <v>0</v>
      </c>
      <c r="AN24" s="16">
        <v>0</v>
      </c>
      <c r="AO24" s="16">
        <v>0</v>
      </c>
      <c r="AP24" s="16">
        <v>0</v>
      </c>
      <c r="AQ24" s="16">
        <v>0</v>
      </c>
      <c r="AR24" s="16">
        <v>0</v>
      </c>
      <c r="AS24" s="16">
        <v>0</v>
      </c>
      <c r="AT24" s="16">
        <v>0</v>
      </c>
      <c r="AU24" s="16">
        <v>0</v>
      </c>
      <c r="AV24" s="16">
        <v>0</v>
      </c>
      <c r="AW24" s="16">
        <v>0</v>
      </c>
      <c r="AX24" s="16">
        <v>0</v>
      </c>
      <c r="AY24" s="16">
        <v>0</v>
      </c>
      <c r="AZ24" s="16">
        <v>0</v>
      </c>
      <c r="BA24" s="16">
        <v>0</v>
      </c>
      <c r="BB24" s="16">
        <v>0</v>
      </c>
      <c r="BC24" s="16">
        <v>0</v>
      </c>
      <c r="BD24" s="16">
        <v>0</v>
      </c>
      <c r="BE24" s="16">
        <v>0</v>
      </c>
      <c r="BF24" s="16">
        <v>0</v>
      </c>
      <c r="BG24" s="16">
        <v>0</v>
      </c>
      <c r="BH24" s="16">
        <v>0</v>
      </c>
      <c r="BI24" s="16">
        <v>0</v>
      </c>
      <c r="BJ24" s="16">
        <v>0</v>
      </c>
      <c r="BK24" s="16">
        <v>0</v>
      </c>
      <c r="BL24" s="16">
        <v>0</v>
      </c>
      <c r="BM24" s="16">
        <v>0</v>
      </c>
      <c r="BN24" s="16">
        <v>0</v>
      </c>
      <c r="BO24" s="16">
        <v>0</v>
      </c>
      <c r="BP24" s="16">
        <v>0</v>
      </c>
      <c r="BQ24" s="16">
        <v>0</v>
      </c>
      <c r="BR24" s="16">
        <v>0</v>
      </c>
      <c r="BS24" s="207">
        <f t="shared" si="20"/>
        <v>176</v>
      </c>
      <c r="BT24" s="207">
        <f t="shared" si="21"/>
        <v>0</v>
      </c>
      <c r="BU24" s="207">
        <f t="shared" si="22"/>
        <v>0</v>
      </c>
      <c r="BV24" s="207">
        <f t="shared" si="23"/>
        <v>0</v>
      </c>
      <c r="BW24" s="207">
        <f t="shared" si="24"/>
        <v>0</v>
      </c>
      <c r="BX24" s="207">
        <f t="shared" si="25"/>
        <v>0</v>
      </c>
      <c r="BY24" s="207">
        <f t="shared" si="26"/>
        <v>0</v>
      </c>
      <c r="BZ24" s="207">
        <f t="shared" si="27"/>
        <v>0</v>
      </c>
      <c r="CA24" s="207">
        <f t="shared" si="28"/>
        <v>0</v>
      </c>
      <c r="CB24" s="207">
        <f t="shared" si="29"/>
        <v>0</v>
      </c>
      <c r="CC24" s="207">
        <f t="shared" si="30"/>
        <v>0</v>
      </c>
      <c r="CD24" s="207">
        <f t="shared" si="31"/>
        <v>0</v>
      </c>
      <c r="CE24" s="207">
        <f t="shared" si="32"/>
        <v>176</v>
      </c>
    </row>
    <row r="25" spans="1:83" ht="12" customHeight="1" x14ac:dyDescent="0.2">
      <c r="A25" s="6">
        <v>3</v>
      </c>
      <c r="B25" s="49" t="str">
        <f t="shared" si="17"/>
        <v>Carrillo Roque RafaelMP004</v>
      </c>
      <c r="C25" s="117" t="str">
        <f t="shared" si="19"/>
        <v>Carrillo Roque Rafael</v>
      </c>
      <c r="D25" s="49" t="str">
        <f>VLOOKUP(C25,Datos!$B$13:$C$83,2,0)</f>
        <v>CESADO</v>
      </c>
      <c r="E25" s="50" t="s">
        <v>44</v>
      </c>
      <c r="F25" s="49" t="str">
        <f>IFERROR(VLOOKUP(H25,Datos!$J$2:$L$60,3,0),"OBSERVCIONES")</f>
        <v>PROCESO</v>
      </c>
      <c r="G25" s="49"/>
      <c r="H25" s="50" t="s">
        <v>42</v>
      </c>
      <c r="I25" s="49" t="s">
        <v>304</v>
      </c>
      <c r="J25" s="118" t="s">
        <v>418</v>
      </c>
      <c r="K25" s="16">
        <v>0</v>
      </c>
      <c r="L25" s="16">
        <v>0</v>
      </c>
      <c r="M25" s="16">
        <v>0</v>
      </c>
      <c r="N25" s="16">
        <v>0</v>
      </c>
      <c r="O25" s="16">
        <v>0</v>
      </c>
      <c r="P25" s="16">
        <v>0</v>
      </c>
      <c r="Q25" s="16">
        <v>0</v>
      </c>
      <c r="R25" s="16">
        <v>24</v>
      </c>
      <c r="S25" s="16">
        <v>40</v>
      </c>
      <c r="T25" s="16">
        <v>16</v>
      </c>
      <c r="U25" s="16">
        <v>24</v>
      </c>
      <c r="V25" s="16">
        <v>40</v>
      </c>
      <c r="W25" s="16">
        <v>40</v>
      </c>
      <c r="X25" s="16">
        <v>40</v>
      </c>
      <c r="Y25" s="16">
        <v>40</v>
      </c>
      <c r="Z25" s="16">
        <v>16</v>
      </c>
      <c r="AA25" s="16">
        <v>0</v>
      </c>
      <c r="AB25" s="16">
        <v>0</v>
      </c>
      <c r="AC25" s="16">
        <v>0</v>
      </c>
      <c r="AD25" s="16">
        <v>0</v>
      </c>
      <c r="AE25" s="16">
        <v>0</v>
      </c>
      <c r="AF25" s="16">
        <v>0</v>
      </c>
      <c r="AG25" s="16">
        <v>0</v>
      </c>
      <c r="AH25" s="16">
        <v>0</v>
      </c>
      <c r="AI25" s="16">
        <v>0</v>
      </c>
      <c r="AJ25" s="16">
        <v>0</v>
      </c>
      <c r="AK25" s="16">
        <v>0</v>
      </c>
      <c r="AL25" s="16">
        <v>0</v>
      </c>
      <c r="AM25" s="16">
        <v>0</v>
      </c>
      <c r="AN25" s="16">
        <v>0</v>
      </c>
      <c r="AO25" s="16">
        <v>0</v>
      </c>
      <c r="AP25" s="16">
        <v>0</v>
      </c>
      <c r="AQ25" s="16">
        <v>0</v>
      </c>
      <c r="AR25" s="16">
        <v>0</v>
      </c>
      <c r="AS25" s="16">
        <v>0</v>
      </c>
      <c r="AT25" s="16">
        <v>0</v>
      </c>
      <c r="AU25" s="16">
        <v>0</v>
      </c>
      <c r="AV25" s="16">
        <v>0</v>
      </c>
      <c r="AW25" s="16">
        <v>0</v>
      </c>
      <c r="AX25" s="16">
        <v>0</v>
      </c>
      <c r="AY25" s="16">
        <v>0</v>
      </c>
      <c r="AZ25" s="16">
        <v>0</v>
      </c>
      <c r="BA25" s="16">
        <v>0</v>
      </c>
      <c r="BB25" s="16">
        <v>0</v>
      </c>
      <c r="BC25" s="16">
        <v>0</v>
      </c>
      <c r="BD25" s="16">
        <v>0</v>
      </c>
      <c r="BE25" s="16">
        <v>0</v>
      </c>
      <c r="BF25" s="16">
        <v>0</v>
      </c>
      <c r="BG25" s="16">
        <v>0</v>
      </c>
      <c r="BH25" s="16">
        <v>0</v>
      </c>
      <c r="BI25" s="16">
        <v>0</v>
      </c>
      <c r="BJ25" s="16">
        <v>0</v>
      </c>
      <c r="BK25" s="16">
        <v>0</v>
      </c>
      <c r="BL25" s="16">
        <v>0</v>
      </c>
      <c r="BM25" s="16">
        <v>0</v>
      </c>
      <c r="BN25" s="16">
        <v>0</v>
      </c>
      <c r="BO25" s="16">
        <v>0</v>
      </c>
      <c r="BP25" s="16">
        <v>0</v>
      </c>
      <c r="BQ25" s="16">
        <v>0</v>
      </c>
      <c r="BR25" s="16">
        <v>0</v>
      </c>
      <c r="BS25" s="207">
        <f t="shared" si="20"/>
        <v>0</v>
      </c>
      <c r="BT25" s="207">
        <f t="shared" si="21"/>
        <v>80</v>
      </c>
      <c r="BU25" s="207">
        <f t="shared" si="22"/>
        <v>184</v>
      </c>
      <c r="BV25" s="207">
        <f t="shared" si="23"/>
        <v>16</v>
      </c>
      <c r="BW25" s="207">
        <f t="shared" si="24"/>
        <v>0</v>
      </c>
      <c r="BX25" s="207">
        <f t="shared" si="25"/>
        <v>0</v>
      </c>
      <c r="BY25" s="207">
        <f t="shared" si="26"/>
        <v>0</v>
      </c>
      <c r="BZ25" s="207">
        <f t="shared" si="27"/>
        <v>0</v>
      </c>
      <c r="CA25" s="207">
        <f t="shared" si="28"/>
        <v>0</v>
      </c>
      <c r="CB25" s="207">
        <f t="shared" si="29"/>
        <v>0</v>
      </c>
      <c r="CC25" s="207">
        <f t="shared" si="30"/>
        <v>0</v>
      </c>
      <c r="CD25" s="207">
        <f t="shared" si="31"/>
        <v>0</v>
      </c>
      <c r="CE25" s="207">
        <f t="shared" si="32"/>
        <v>280</v>
      </c>
    </row>
    <row r="26" spans="1:83" ht="12" customHeight="1" x14ac:dyDescent="0.2">
      <c r="A26" s="6">
        <v>3</v>
      </c>
      <c r="B26" s="49" t="str">
        <f t="shared" si="17"/>
        <v>Alvarez Vera DanielMP004</v>
      </c>
      <c r="C26" s="117" t="str">
        <f t="shared" ref="C26:C47" si="33">J26</f>
        <v>Alvarez Vera Daniel</v>
      </c>
      <c r="D26" s="49" t="str">
        <f>VLOOKUP(C26,Datos!$B$13:$C$83,2,0)</f>
        <v>CESADO</v>
      </c>
      <c r="E26" s="50" t="s">
        <v>44</v>
      </c>
      <c r="F26" s="49" t="str">
        <f>IFERROR(VLOOKUP(H26,Datos!$J$2:$L$60,3,0),"OBSERVCIONES")</f>
        <v>PROCESO</v>
      </c>
      <c r="G26" s="49"/>
      <c r="H26" s="50" t="s">
        <v>42</v>
      </c>
      <c r="I26" s="49" t="s">
        <v>304</v>
      </c>
      <c r="J26" s="49" t="s">
        <v>282</v>
      </c>
      <c r="K26" s="16">
        <v>0</v>
      </c>
      <c r="L26" s="16">
        <v>0</v>
      </c>
      <c r="M26" s="16">
        <v>0</v>
      </c>
      <c r="N26" s="16">
        <v>0</v>
      </c>
      <c r="O26" s="16">
        <v>0</v>
      </c>
      <c r="P26" s="16">
        <v>0</v>
      </c>
      <c r="Q26" s="16">
        <v>0</v>
      </c>
      <c r="R26" s="16">
        <v>0</v>
      </c>
      <c r="S26" s="16">
        <v>0</v>
      </c>
      <c r="T26" s="16">
        <v>0</v>
      </c>
      <c r="U26" s="16">
        <v>0</v>
      </c>
      <c r="V26" s="16">
        <v>0</v>
      </c>
      <c r="W26" s="16">
        <v>0</v>
      </c>
      <c r="X26" s="16">
        <v>0</v>
      </c>
      <c r="Y26" s="16">
        <v>0</v>
      </c>
      <c r="Z26" s="16">
        <v>0</v>
      </c>
      <c r="AA26" s="16">
        <v>0</v>
      </c>
      <c r="AB26" s="16">
        <v>0</v>
      </c>
      <c r="AC26" s="16">
        <v>0</v>
      </c>
      <c r="AD26" s="16">
        <v>0</v>
      </c>
      <c r="AE26" s="16">
        <v>18.5</v>
      </c>
      <c r="AF26" s="16">
        <v>40</v>
      </c>
      <c r="AG26" s="16">
        <v>40</v>
      </c>
      <c r="AH26" s="16">
        <v>24</v>
      </c>
      <c r="AI26" s="16">
        <v>16</v>
      </c>
      <c r="AJ26" s="16">
        <v>40</v>
      </c>
      <c r="AK26" s="16">
        <v>40</v>
      </c>
      <c r="AL26" s="16">
        <v>40</v>
      </c>
      <c r="AM26" s="16">
        <v>32</v>
      </c>
      <c r="AN26" s="16">
        <v>0</v>
      </c>
      <c r="AO26" s="16">
        <v>0</v>
      </c>
      <c r="AP26" s="16">
        <v>0</v>
      </c>
      <c r="AQ26" s="16">
        <v>0</v>
      </c>
      <c r="AR26" s="16">
        <v>0</v>
      </c>
      <c r="AS26" s="16">
        <v>0</v>
      </c>
      <c r="AT26" s="16">
        <v>0</v>
      </c>
      <c r="AU26" s="16">
        <v>0</v>
      </c>
      <c r="AV26" s="16">
        <v>0</v>
      </c>
      <c r="AW26" s="16">
        <v>0</v>
      </c>
      <c r="AX26" s="16">
        <v>0</v>
      </c>
      <c r="AY26" s="16">
        <v>0</v>
      </c>
      <c r="AZ26" s="16">
        <v>0</v>
      </c>
      <c r="BA26" s="16">
        <v>0</v>
      </c>
      <c r="BB26" s="16">
        <v>0</v>
      </c>
      <c r="BC26" s="16">
        <v>0</v>
      </c>
      <c r="BD26" s="16">
        <v>0</v>
      </c>
      <c r="BE26" s="16">
        <v>0</v>
      </c>
      <c r="BF26" s="16">
        <v>0</v>
      </c>
      <c r="BG26" s="16">
        <v>0</v>
      </c>
      <c r="BH26" s="16">
        <v>0</v>
      </c>
      <c r="BI26" s="16">
        <v>0</v>
      </c>
      <c r="BJ26" s="16">
        <v>0</v>
      </c>
      <c r="BK26" s="16">
        <v>0</v>
      </c>
      <c r="BL26" s="16">
        <v>0</v>
      </c>
      <c r="BM26" s="16">
        <v>0</v>
      </c>
      <c r="BN26" s="16">
        <v>0</v>
      </c>
      <c r="BO26" s="16">
        <v>0</v>
      </c>
      <c r="BP26" s="16">
        <v>0</v>
      </c>
      <c r="BQ26" s="16">
        <v>0</v>
      </c>
      <c r="BR26" s="16">
        <v>0</v>
      </c>
      <c r="BS26" s="207">
        <f t="shared" si="20"/>
        <v>0</v>
      </c>
      <c r="BT26" s="207">
        <f t="shared" si="21"/>
        <v>0</v>
      </c>
      <c r="BU26" s="207">
        <f t="shared" si="22"/>
        <v>0</v>
      </c>
      <c r="BV26" s="207">
        <f t="shared" si="23"/>
        <v>0</v>
      </c>
      <c r="BW26" s="207">
        <f t="shared" si="24"/>
        <v>122.5</v>
      </c>
      <c r="BX26" s="207">
        <f t="shared" si="25"/>
        <v>168</v>
      </c>
      <c r="BY26" s="207">
        <f t="shared" si="26"/>
        <v>0</v>
      </c>
      <c r="BZ26" s="207">
        <f t="shared" si="27"/>
        <v>0</v>
      </c>
      <c r="CA26" s="207">
        <f t="shared" si="28"/>
        <v>0</v>
      </c>
      <c r="CB26" s="207">
        <f t="shared" si="29"/>
        <v>0</v>
      </c>
      <c r="CC26" s="207">
        <f t="shared" si="30"/>
        <v>0</v>
      </c>
      <c r="CD26" s="207">
        <f t="shared" si="31"/>
        <v>0</v>
      </c>
      <c r="CE26" s="207">
        <f t="shared" si="32"/>
        <v>290.5</v>
      </c>
    </row>
    <row r="27" spans="1:83" ht="12" customHeight="1" x14ac:dyDescent="0.2">
      <c r="A27" s="6">
        <v>3</v>
      </c>
      <c r="B27" s="49" t="str">
        <f t="shared" si="17"/>
        <v>Chavez Guillen Miguel AngelMP004</v>
      </c>
      <c r="C27" s="117" t="str">
        <f t="shared" si="33"/>
        <v>Chavez Guillen Miguel Angel</v>
      </c>
      <c r="D27" s="49" t="str">
        <f>VLOOKUP(C27,Datos!$B$13:$C$83,2,0)</f>
        <v>CESADO</v>
      </c>
      <c r="E27" s="50" t="s">
        <v>44</v>
      </c>
      <c r="F27" s="49" t="str">
        <f>IFERROR(VLOOKUP(H27,Datos!$J$2:$L$60,3,0),"OBSERVCIONES")</f>
        <v>PROCESO</v>
      </c>
      <c r="G27" s="49"/>
      <c r="H27" s="50" t="s">
        <v>42</v>
      </c>
      <c r="I27" s="49" t="s">
        <v>304</v>
      </c>
      <c r="J27" s="49" t="s">
        <v>6</v>
      </c>
      <c r="K27" s="16">
        <v>0</v>
      </c>
      <c r="L27" s="16">
        <v>0</v>
      </c>
      <c r="M27" s="16">
        <v>0</v>
      </c>
      <c r="N27" s="16">
        <v>0</v>
      </c>
      <c r="O27" s="16">
        <v>0</v>
      </c>
      <c r="P27" s="16">
        <v>0</v>
      </c>
      <c r="Q27" s="16">
        <v>0</v>
      </c>
      <c r="R27" s="16">
        <v>0</v>
      </c>
      <c r="S27" s="16">
        <v>0</v>
      </c>
      <c r="T27" s="16">
        <v>0</v>
      </c>
      <c r="U27" s="16">
        <v>0</v>
      </c>
      <c r="V27" s="16">
        <v>0</v>
      </c>
      <c r="W27" s="16">
        <v>0</v>
      </c>
      <c r="X27" s="16">
        <v>16</v>
      </c>
      <c r="Y27" s="16">
        <v>40</v>
      </c>
      <c r="Z27" s="16">
        <v>40</v>
      </c>
      <c r="AA27" s="16">
        <v>24</v>
      </c>
      <c r="AB27" s="16">
        <v>40</v>
      </c>
      <c r="AC27" s="16">
        <v>40</v>
      </c>
      <c r="AD27" s="16">
        <v>32</v>
      </c>
      <c r="AE27" s="16">
        <v>40</v>
      </c>
      <c r="AF27" s="16">
        <v>40</v>
      </c>
      <c r="AG27" s="16">
        <v>40</v>
      </c>
      <c r="AH27" s="16">
        <v>24</v>
      </c>
      <c r="AI27" s="16">
        <v>16</v>
      </c>
      <c r="AJ27" s="16">
        <v>40</v>
      </c>
      <c r="AK27" s="16">
        <v>40</v>
      </c>
      <c r="AL27" s="16">
        <v>40</v>
      </c>
      <c r="AM27" s="16">
        <v>32</v>
      </c>
      <c r="AN27" s="16">
        <v>0</v>
      </c>
      <c r="AO27" s="16">
        <v>0</v>
      </c>
      <c r="AP27" s="16">
        <v>0</v>
      </c>
      <c r="AQ27" s="16">
        <v>0</v>
      </c>
      <c r="AR27" s="16">
        <v>0</v>
      </c>
      <c r="AS27" s="16">
        <v>0</v>
      </c>
      <c r="AT27" s="16">
        <v>0</v>
      </c>
      <c r="AU27" s="16">
        <v>0</v>
      </c>
      <c r="AV27" s="16">
        <v>0</v>
      </c>
      <c r="AW27" s="16">
        <v>0</v>
      </c>
      <c r="AX27" s="16">
        <v>0</v>
      </c>
      <c r="AY27" s="16">
        <v>0</v>
      </c>
      <c r="AZ27" s="16">
        <v>0</v>
      </c>
      <c r="BA27" s="16">
        <v>0</v>
      </c>
      <c r="BB27" s="16">
        <v>0</v>
      </c>
      <c r="BC27" s="16">
        <v>0</v>
      </c>
      <c r="BD27" s="16">
        <v>0</v>
      </c>
      <c r="BE27" s="16">
        <v>0</v>
      </c>
      <c r="BF27" s="16">
        <v>0</v>
      </c>
      <c r="BG27" s="16">
        <v>0</v>
      </c>
      <c r="BH27" s="16">
        <v>0</v>
      </c>
      <c r="BI27" s="16">
        <v>0</v>
      </c>
      <c r="BJ27" s="16">
        <v>0</v>
      </c>
      <c r="BK27" s="16">
        <v>0</v>
      </c>
      <c r="BL27" s="16">
        <v>0</v>
      </c>
      <c r="BM27" s="16">
        <v>0</v>
      </c>
      <c r="BN27" s="16">
        <v>0</v>
      </c>
      <c r="BO27" s="16">
        <v>0</v>
      </c>
      <c r="BP27" s="16">
        <v>0</v>
      </c>
      <c r="BQ27" s="16">
        <v>0</v>
      </c>
      <c r="BR27" s="16">
        <v>0</v>
      </c>
      <c r="BS27" s="207">
        <f t="shared" si="20"/>
        <v>0</v>
      </c>
      <c r="BT27" s="207">
        <f t="shared" si="21"/>
        <v>0</v>
      </c>
      <c r="BU27" s="207">
        <f t="shared" si="22"/>
        <v>56</v>
      </c>
      <c r="BV27" s="207">
        <f t="shared" si="23"/>
        <v>144</v>
      </c>
      <c r="BW27" s="207">
        <f t="shared" si="24"/>
        <v>176</v>
      </c>
      <c r="BX27" s="207">
        <f t="shared" si="25"/>
        <v>168</v>
      </c>
      <c r="BY27" s="207">
        <f t="shared" si="26"/>
        <v>0</v>
      </c>
      <c r="BZ27" s="207">
        <f t="shared" si="27"/>
        <v>0</v>
      </c>
      <c r="CA27" s="207">
        <f t="shared" si="28"/>
        <v>0</v>
      </c>
      <c r="CB27" s="207">
        <f t="shared" si="29"/>
        <v>0</v>
      </c>
      <c r="CC27" s="207">
        <f t="shared" si="30"/>
        <v>0</v>
      </c>
      <c r="CD27" s="207">
        <f t="shared" si="31"/>
        <v>0</v>
      </c>
      <c r="CE27" s="207">
        <f t="shared" si="32"/>
        <v>544</v>
      </c>
    </row>
    <row r="28" spans="1:83" ht="12" customHeight="1" x14ac:dyDescent="0.2">
      <c r="A28" s="6">
        <v>3</v>
      </c>
      <c r="B28" s="49" t="str">
        <f t="shared" si="17"/>
        <v>Huaman Ramos MoisesMP004</v>
      </c>
      <c r="C28" s="117" t="str">
        <f t="shared" si="33"/>
        <v>Huaman Ramos Moises</v>
      </c>
      <c r="D28" s="49" t="str">
        <f>VLOOKUP(C28,Datos!$B$13:$C$83,2,0)</f>
        <v>CESADO</v>
      </c>
      <c r="E28" s="50" t="s">
        <v>44</v>
      </c>
      <c r="F28" s="49" t="str">
        <f>IFERROR(VLOOKUP(H28,Datos!$J$2:$L$60,3,0),"OBSERVCIONES")</f>
        <v>PROCESO</v>
      </c>
      <c r="G28" s="49"/>
      <c r="H28" s="50" t="s">
        <v>42</v>
      </c>
      <c r="I28" s="49" t="s">
        <v>304</v>
      </c>
      <c r="J28" s="49" t="s">
        <v>17</v>
      </c>
      <c r="K28" s="16">
        <v>0</v>
      </c>
      <c r="L28" s="16">
        <v>0</v>
      </c>
      <c r="M28" s="16">
        <v>0</v>
      </c>
      <c r="N28" s="16">
        <v>0</v>
      </c>
      <c r="O28" s="16">
        <v>0</v>
      </c>
      <c r="P28" s="16">
        <v>0</v>
      </c>
      <c r="Q28" s="16">
        <v>0</v>
      </c>
      <c r="R28" s="16">
        <v>0</v>
      </c>
      <c r="S28" s="16">
        <v>0</v>
      </c>
      <c r="T28" s="16">
        <v>0</v>
      </c>
      <c r="U28" s="16">
        <v>0</v>
      </c>
      <c r="V28" s="16">
        <v>0</v>
      </c>
      <c r="W28" s="16">
        <v>0</v>
      </c>
      <c r="X28" s="16">
        <v>0</v>
      </c>
      <c r="Y28" s="16">
        <v>0</v>
      </c>
      <c r="Z28" s="16">
        <v>8</v>
      </c>
      <c r="AA28" s="16">
        <v>40</v>
      </c>
      <c r="AB28" s="16">
        <v>40</v>
      </c>
      <c r="AC28" s="16">
        <v>40</v>
      </c>
      <c r="AD28" s="16">
        <v>32</v>
      </c>
      <c r="AE28" s="16">
        <v>40</v>
      </c>
      <c r="AF28" s="16">
        <v>40</v>
      </c>
      <c r="AG28" s="16">
        <v>40</v>
      </c>
      <c r="AH28" s="16">
        <v>24</v>
      </c>
      <c r="AI28" s="16">
        <v>16</v>
      </c>
      <c r="AJ28" s="16">
        <v>40</v>
      </c>
      <c r="AK28" s="16">
        <v>40</v>
      </c>
      <c r="AL28" s="16">
        <v>40</v>
      </c>
      <c r="AM28" s="16">
        <v>32</v>
      </c>
      <c r="AN28" s="16">
        <v>8</v>
      </c>
      <c r="AO28" s="16">
        <v>0</v>
      </c>
      <c r="AP28" s="16">
        <v>0</v>
      </c>
      <c r="AQ28" s="16">
        <v>0</v>
      </c>
      <c r="AR28" s="16">
        <v>0</v>
      </c>
      <c r="AS28" s="16">
        <v>0</v>
      </c>
      <c r="AT28" s="16">
        <v>0</v>
      </c>
      <c r="AU28" s="16">
        <v>0</v>
      </c>
      <c r="AV28" s="16">
        <v>0</v>
      </c>
      <c r="AW28" s="16">
        <v>0</v>
      </c>
      <c r="AX28" s="16">
        <v>0</v>
      </c>
      <c r="AY28" s="16">
        <v>0</v>
      </c>
      <c r="AZ28" s="16">
        <v>0</v>
      </c>
      <c r="BA28" s="16">
        <v>0</v>
      </c>
      <c r="BB28" s="16">
        <v>0</v>
      </c>
      <c r="BC28" s="16">
        <v>0</v>
      </c>
      <c r="BD28" s="16">
        <v>0</v>
      </c>
      <c r="BE28" s="16">
        <v>0</v>
      </c>
      <c r="BF28" s="16">
        <v>0</v>
      </c>
      <c r="BG28" s="16">
        <v>0</v>
      </c>
      <c r="BH28" s="16">
        <v>0</v>
      </c>
      <c r="BI28" s="16">
        <v>0</v>
      </c>
      <c r="BJ28" s="16">
        <v>0</v>
      </c>
      <c r="BK28" s="16">
        <v>0</v>
      </c>
      <c r="BL28" s="16">
        <v>0</v>
      </c>
      <c r="BM28" s="16">
        <v>0</v>
      </c>
      <c r="BN28" s="16">
        <v>0</v>
      </c>
      <c r="BO28" s="16">
        <v>0</v>
      </c>
      <c r="BP28" s="16">
        <v>0</v>
      </c>
      <c r="BQ28" s="16">
        <v>0</v>
      </c>
      <c r="BR28" s="16">
        <v>0</v>
      </c>
      <c r="BS28" s="207">
        <f t="shared" si="20"/>
        <v>0</v>
      </c>
      <c r="BT28" s="207">
        <f t="shared" si="21"/>
        <v>0</v>
      </c>
      <c r="BU28" s="207">
        <f t="shared" si="22"/>
        <v>0</v>
      </c>
      <c r="BV28" s="207">
        <f t="shared" si="23"/>
        <v>128</v>
      </c>
      <c r="BW28" s="207">
        <f t="shared" si="24"/>
        <v>176</v>
      </c>
      <c r="BX28" s="207">
        <f t="shared" si="25"/>
        <v>168</v>
      </c>
      <c r="BY28" s="207">
        <f t="shared" si="26"/>
        <v>8</v>
      </c>
      <c r="BZ28" s="207">
        <f t="shared" si="27"/>
        <v>0</v>
      </c>
      <c r="CA28" s="207">
        <f t="shared" si="28"/>
        <v>0</v>
      </c>
      <c r="CB28" s="207">
        <f t="shared" si="29"/>
        <v>0</v>
      </c>
      <c r="CC28" s="207">
        <f t="shared" si="30"/>
        <v>0</v>
      </c>
      <c r="CD28" s="207">
        <f t="shared" si="31"/>
        <v>0</v>
      </c>
      <c r="CE28" s="207">
        <f t="shared" si="32"/>
        <v>480</v>
      </c>
    </row>
    <row r="29" spans="1:83" ht="12" customHeight="1" x14ac:dyDescent="0.2">
      <c r="A29" s="6">
        <v>3</v>
      </c>
      <c r="B29" s="49" t="str">
        <f t="shared" si="17"/>
        <v>Girano Corbera Cristiam AlbertoMP004</v>
      </c>
      <c r="C29" s="117" t="str">
        <f>J29</f>
        <v>Girano Corbera Cristiam Alberto</v>
      </c>
      <c r="D29" s="49" t="str">
        <f>VLOOKUP(C29,Datos!$B$13:$C$83,2,0)</f>
        <v>CESADO</v>
      </c>
      <c r="E29" s="50" t="s">
        <v>44</v>
      </c>
      <c r="F29" s="49" t="str">
        <f>IFERROR(VLOOKUP(H29,Datos!$J$2:$L$60,3,0),"OBSERVCIONES")</f>
        <v>PROCESO</v>
      </c>
      <c r="G29" s="49"/>
      <c r="H29" s="50" t="s">
        <v>42</v>
      </c>
      <c r="I29" s="49" t="s">
        <v>304</v>
      </c>
      <c r="J29" s="49" t="s">
        <v>15</v>
      </c>
      <c r="K29" s="16">
        <v>0</v>
      </c>
      <c r="L29" s="16">
        <v>0</v>
      </c>
      <c r="M29" s="16">
        <v>0</v>
      </c>
      <c r="N29" s="16">
        <v>0</v>
      </c>
      <c r="O29" s="16">
        <v>0</v>
      </c>
      <c r="P29" s="16">
        <v>0</v>
      </c>
      <c r="Q29" s="16">
        <v>0</v>
      </c>
      <c r="R29" s="16">
        <v>0</v>
      </c>
      <c r="S29" s="16">
        <v>0</v>
      </c>
      <c r="T29" s="16">
        <v>0</v>
      </c>
      <c r="U29" s="16">
        <v>0</v>
      </c>
      <c r="V29" s="16">
        <v>0</v>
      </c>
      <c r="W29" s="16">
        <v>0</v>
      </c>
      <c r="X29" s="16">
        <v>16</v>
      </c>
      <c r="Y29" s="16">
        <v>40</v>
      </c>
      <c r="Z29" s="16">
        <v>40</v>
      </c>
      <c r="AA29" s="16">
        <v>24</v>
      </c>
      <c r="AB29" s="16">
        <v>40</v>
      </c>
      <c r="AC29" s="16">
        <v>40</v>
      </c>
      <c r="AD29" s="16">
        <v>32</v>
      </c>
      <c r="AE29" s="16">
        <v>40</v>
      </c>
      <c r="AF29" s="16">
        <v>40</v>
      </c>
      <c r="AG29" s="16">
        <v>40</v>
      </c>
      <c r="AH29" s="16">
        <v>24</v>
      </c>
      <c r="AI29" s="16">
        <v>16</v>
      </c>
      <c r="AJ29" s="16">
        <v>16</v>
      </c>
      <c r="AK29" s="16">
        <v>0</v>
      </c>
      <c r="AL29" s="16">
        <v>0</v>
      </c>
      <c r="AM29" s="16">
        <v>0</v>
      </c>
      <c r="AN29" s="16">
        <v>0</v>
      </c>
      <c r="AO29" s="16">
        <v>0</v>
      </c>
      <c r="AP29" s="16">
        <v>0</v>
      </c>
      <c r="AQ29" s="16">
        <v>0</v>
      </c>
      <c r="AR29" s="16">
        <v>0</v>
      </c>
      <c r="AS29" s="16">
        <v>0</v>
      </c>
      <c r="AT29" s="16">
        <v>0</v>
      </c>
      <c r="AU29" s="16">
        <v>0</v>
      </c>
      <c r="AV29" s="16">
        <v>0</v>
      </c>
      <c r="AW29" s="16">
        <v>0</v>
      </c>
      <c r="AX29" s="16">
        <v>0</v>
      </c>
      <c r="AY29" s="16">
        <v>0</v>
      </c>
      <c r="AZ29" s="16">
        <v>0</v>
      </c>
      <c r="BA29" s="16">
        <v>0</v>
      </c>
      <c r="BB29" s="16">
        <v>0</v>
      </c>
      <c r="BC29" s="16">
        <v>0</v>
      </c>
      <c r="BD29" s="16">
        <v>0</v>
      </c>
      <c r="BE29" s="16">
        <v>0</v>
      </c>
      <c r="BF29" s="16">
        <v>0</v>
      </c>
      <c r="BG29" s="16">
        <v>0</v>
      </c>
      <c r="BH29" s="16">
        <v>0</v>
      </c>
      <c r="BI29" s="16">
        <v>0</v>
      </c>
      <c r="BJ29" s="16">
        <v>0</v>
      </c>
      <c r="BK29" s="16">
        <v>0</v>
      </c>
      <c r="BL29" s="16">
        <v>0</v>
      </c>
      <c r="BM29" s="16">
        <v>0</v>
      </c>
      <c r="BN29" s="16">
        <v>0</v>
      </c>
      <c r="BO29" s="16">
        <v>0</v>
      </c>
      <c r="BP29" s="16">
        <v>0</v>
      </c>
      <c r="BQ29" s="16">
        <v>0</v>
      </c>
      <c r="BR29" s="16">
        <v>0</v>
      </c>
      <c r="BS29" s="207">
        <f t="shared" si="20"/>
        <v>0</v>
      </c>
      <c r="BT29" s="207">
        <f t="shared" si="21"/>
        <v>0</v>
      </c>
      <c r="BU29" s="207">
        <f t="shared" si="22"/>
        <v>56</v>
      </c>
      <c r="BV29" s="207">
        <f t="shared" si="23"/>
        <v>144</v>
      </c>
      <c r="BW29" s="207">
        <f t="shared" si="24"/>
        <v>176</v>
      </c>
      <c r="BX29" s="207">
        <f t="shared" si="25"/>
        <v>32</v>
      </c>
      <c r="BY29" s="207">
        <f t="shared" si="26"/>
        <v>0</v>
      </c>
      <c r="BZ29" s="207">
        <f t="shared" si="27"/>
        <v>0</v>
      </c>
      <c r="CA29" s="207">
        <f t="shared" si="28"/>
        <v>0</v>
      </c>
      <c r="CB29" s="207">
        <f t="shared" si="29"/>
        <v>0</v>
      </c>
      <c r="CC29" s="207">
        <f t="shared" si="30"/>
        <v>0</v>
      </c>
      <c r="CD29" s="207">
        <f t="shared" si="31"/>
        <v>0</v>
      </c>
      <c r="CE29" s="207">
        <f t="shared" si="32"/>
        <v>408</v>
      </c>
    </row>
    <row r="30" spans="1:83" ht="12" customHeight="1" x14ac:dyDescent="0.2">
      <c r="A30" s="6">
        <v>3</v>
      </c>
      <c r="B30" s="49" t="str">
        <f t="shared" si="17"/>
        <v>Velasquez Quispe Lizbet NatalyMP004</v>
      </c>
      <c r="C30" s="117" t="str">
        <f t="shared" si="33"/>
        <v>Velasquez Quispe Lizbet Nataly</v>
      </c>
      <c r="D30" s="49" t="str">
        <f>VLOOKUP(C30,Datos!$B$13:$C$83,2,0)</f>
        <v>VIGENTE</v>
      </c>
      <c r="E30" s="50" t="s">
        <v>44</v>
      </c>
      <c r="F30" s="49" t="str">
        <f>IFERROR(VLOOKUP(H30,Datos!$J$2:$L$60,3,0),"OBSERVCIONES")</f>
        <v>PROCESO</v>
      </c>
      <c r="G30" s="49"/>
      <c r="H30" s="50" t="s">
        <v>42</v>
      </c>
      <c r="I30" s="49" t="s">
        <v>304</v>
      </c>
      <c r="J30" s="49" t="s">
        <v>26</v>
      </c>
      <c r="K30" s="16">
        <v>16</v>
      </c>
      <c r="L30" s="16">
        <v>40</v>
      </c>
      <c r="M30" s="16">
        <v>40</v>
      </c>
      <c r="N30" s="16">
        <v>40</v>
      </c>
      <c r="O30" s="16">
        <v>16</v>
      </c>
      <c r="P30" s="16">
        <v>24</v>
      </c>
      <c r="Q30" s="16">
        <v>40</v>
      </c>
      <c r="R30" s="16">
        <v>40</v>
      </c>
      <c r="S30" s="16">
        <v>40</v>
      </c>
      <c r="T30" s="16">
        <v>16</v>
      </c>
      <c r="U30" s="16">
        <v>24</v>
      </c>
      <c r="V30" s="16">
        <v>40</v>
      </c>
      <c r="W30" s="16">
        <v>40</v>
      </c>
      <c r="X30" s="16">
        <v>40</v>
      </c>
      <c r="Y30" s="16">
        <v>40</v>
      </c>
      <c r="Z30" s="16">
        <v>40</v>
      </c>
      <c r="AA30" s="16">
        <v>24</v>
      </c>
      <c r="AB30" s="16">
        <v>40</v>
      </c>
      <c r="AC30" s="16">
        <v>40</v>
      </c>
      <c r="AD30" s="16">
        <v>32</v>
      </c>
      <c r="AE30" s="16">
        <v>40</v>
      </c>
      <c r="AF30" s="16">
        <v>40</v>
      </c>
      <c r="AG30" s="16">
        <v>40</v>
      </c>
      <c r="AH30" s="16">
        <v>24</v>
      </c>
      <c r="AI30" s="16">
        <v>16</v>
      </c>
      <c r="AJ30" s="16">
        <v>40</v>
      </c>
      <c r="AK30" s="16">
        <v>40</v>
      </c>
      <c r="AL30" s="16">
        <v>40</v>
      </c>
      <c r="AM30" s="16">
        <v>32</v>
      </c>
      <c r="AN30" s="16">
        <v>40</v>
      </c>
      <c r="AO30" s="16">
        <v>40</v>
      </c>
      <c r="AP30" s="16">
        <v>40</v>
      </c>
      <c r="AQ30" s="16">
        <v>32</v>
      </c>
      <c r="AR30" s="16">
        <v>0</v>
      </c>
      <c r="AS30" s="16">
        <v>8</v>
      </c>
      <c r="AT30" s="16">
        <v>32</v>
      </c>
      <c r="AU30" s="16">
        <v>40</v>
      </c>
      <c r="AV30" s="16">
        <v>40</v>
      </c>
      <c r="AW30" s="16">
        <v>40</v>
      </c>
      <c r="AX30" s="16">
        <v>24</v>
      </c>
      <c r="AY30" s="16">
        <v>8</v>
      </c>
      <c r="AZ30" s="16">
        <v>40</v>
      </c>
      <c r="BA30" s="16">
        <v>40</v>
      </c>
      <c r="BB30" s="16">
        <v>40</v>
      </c>
      <c r="BC30" s="16">
        <v>40</v>
      </c>
      <c r="BD30" s="16">
        <v>40</v>
      </c>
      <c r="BE30" s="16">
        <v>0</v>
      </c>
      <c r="BF30" s="16">
        <v>0</v>
      </c>
      <c r="BG30" s="16">
        <v>0</v>
      </c>
      <c r="BH30" s="16">
        <v>0</v>
      </c>
      <c r="BI30" s="16">
        <v>0</v>
      </c>
      <c r="BJ30" s="16">
        <v>0</v>
      </c>
      <c r="BK30" s="16">
        <v>0</v>
      </c>
      <c r="BL30" s="16">
        <v>0</v>
      </c>
      <c r="BM30" s="16">
        <v>0</v>
      </c>
      <c r="BN30" s="16">
        <v>0</v>
      </c>
      <c r="BO30" s="16">
        <v>0</v>
      </c>
      <c r="BP30" s="16">
        <v>0</v>
      </c>
      <c r="BQ30" s="16">
        <v>0</v>
      </c>
      <c r="BR30" s="16">
        <v>0</v>
      </c>
      <c r="BS30" s="207">
        <f t="shared" si="20"/>
        <v>152</v>
      </c>
      <c r="BT30" s="207">
        <f t="shared" si="21"/>
        <v>160</v>
      </c>
      <c r="BU30" s="207">
        <f t="shared" si="22"/>
        <v>184</v>
      </c>
      <c r="BV30" s="207">
        <f t="shared" si="23"/>
        <v>144</v>
      </c>
      <c r="BW30" s="207">
        <f t="shared" si="24"/>
        <v>176</v>
      </c>
      <c r="BX30" s="207">
        <f t="shared" si="25"/>
        <v>168</v>
      </c>
      <c r="BY30" s="207">
        <f t="shared" si="26"/>
        <v>160</v>
      </c>
      <c r="BZ30" s="207">
        <f t="shared" si="27"/>
        <v>176</v>
      </c>
      <c r="CA30" s="207">
        <f t="shared" si="28"/>
        <v>168</v>
      </c>
      <c r="CB30" s="207">
        <f t="shared" si="29"/>
        <v>40</v>
      </c>
      <c r="CC30" s="207">
        <f t="shared" si="30"/>
        <v>0</v>
      </c>
      <c r="CD30" s="207">
        <f t="shared" si="31"/>
        <v>0</v>
      </c>
      <c r="CE30" s="207">
        <f t="shared" si="32"/>
        <v>1528</v>
      </c>
    </row>
    <row r="31" spans="1:83" ht="12" customHeight="1" x14ac:dyDescent="0.2">
      <c r="A31" s="6">
        <v>4</v>
      </c>
      <c r="B31" s="49" t="str">
        <f t="shared" si="17"/>
        <v>Velasquez Quispe Lizbet NatalyVACACIONES</v>
      </c>
      <c r="C31" s="117" t="str">
        <f>J31</f>
        <v>Velasquez Quispe Lizbet Nataly</v>
      </c>
      <c r="D31" s="49" t="str">
        <f>VLOOKUP(C31,Datos!$B$13:$C$83,2,0)</f>
        <v>VIGENTE</v>
      </c>
      <c r="E31" s="50" t="s">
        <v>209</v>
      </c>
      <c r="F31" s="49"/>
      <c r="G31" s="49" t="str">
        <f>IFERROR(VLOOKUP(H31,Datos!$J$2:$L$60,3,0),"OBSERVACIONES")</f>
        <v>OBSERVACIONES</v>
      </c>
      <c r="H31" s="50" t="s">
        <v>209</v>
      </c>
      <c r="I31" s="49" t="s">
        <v>243</v>
      </c>
      <c r="J31" s="49" t="s">
        <v>26</v>
      </c>
      <c r="K31" s="16">
        <v>24</v>
      </c>
      <c r="L31" s="16">
        <v>0</v>
      </c>
      <c r="M31" s="16">
        <v>0</v>
      </c>
      <c r="N31" s="16">
        <v>0</v>
      </c>
      <c r="O31" s="16">
        <v>0</v>
      </c>
      <c r="P31" s="16">
        <v>0</v>
      </c>
      <c r="Q31" s="16">
        <v>0</v>
      </c>
      <c r="R31" s="16">
        <v>0</v>
      </c>
      <c r="S31" s="16">
        <v>0</v>
      </c>
      <c r="T31" s="16">
        <v>0</v>
      </c>
      <c r="U31" s="16">
        <v>0</v>
      </c>
      <c r="V31" s="16">
        <v>0</v>
      </c>
      <c r="W31" s="16">
        <v>0</v>
      </c>
      <c r="X31" s="16">
        <v>0</v>
      </c>
      <c r="Y31" s="16">
        <v>0</v>
      </c>
      <c r="Z31" s="16">
        <v>0</v>
      </c>
      <c r="AA31" s="16">
        <v>0</v>
      </c>
      <c r="AB31" s="16">
        <v>0</v>
      </c>
      <c r="AC31" s="16">
        <v>0</v>
      </c>
      <c r="AD31" s="16">
        <v>0</v>
      </c>
      <c r="AE31" s="16">
        <v>0</v>
      </c>
      <c r="AF31" s="16">
        <v>0</v>
      </c>
      <c r="AG31" s="16">
        <v>0</v>
      </c>
      <c r="AH31" s="16">
        <v>0</v>
      </c>
      <c r="AI31" s="16">
        <v>0</v>
      </c>
      <c r="AJ31" s="16">
        <v>0</v>
      </c>
      <c r="AK31" s="16">
        <v>0</v>
      </c>
      <c r="AL31" s="16">
        <v>0</v>
      </c>
      <c r="AM31" s="16">
        <v>0</v>
      </c>
      <c r="AN31" s="16">
        <v>0</v>
      </c>
      <c r="AO31" s="16">
        <v>0</v>
      </c>
      <c r="AP31" s="16">
        <v>0</v>
      </c>
      <c r="AQ31" s="16">
        <v>0</v>
      </c>
      <c r="AR31" s="16">
        <v>0</v>
      </c>
      <c r="AS31" s="16">
        <v>0</v>
      </c>
      <c r="AT31" s="16">
        <v>0</v>
      </c>
      <c r="AU31" s="16">
        <v>0</v>
      </c>
      <c r="AV31" s="16">
        <v>0</v>
      </c>
      <c r="AW31" s="16">
        <v>0</v>
      </c>
      <c r="AX31" s="16">
        <v>0</v>
      </c>
      <c r="AY31" s="16">
        <v>0</v>
      </c>
      <c r="AZ31" s="16">
        <v>0</v>
      </c>
      <c r="BA31" s="16">
        <v>0</v>
      </c>
      <c r="BB31" s="16">
        <v>0</v>
      </c>
      <c r="BC31" s="16">
        <v>0</v>
      </c>
      <c r="BD31" s="16">
        <v>0</v>
      </c>
      <c r="BE31" s="16">
        <v>0</v>
      </c>
      <c r="BF31" s="16">
        <v>0</v>
      </c>
      <c r="BG31" s="16">
        <v>0</v>
      </c>
      <c r="BH31" s="16">
        <v>0</v>
      </c>
      <c r="BI31" s="16">
        <v>0</v>
      </c>
      <c r="BJ31" s="16">
        <v>0</v>
      </c>
      <c r="BK31" s="16">
        <v>0</v>
      </c>
      <c r="BL31" s="16">
        <v>0</v>
      </c>
      <c r="BM31" s="16">
        <v>0</v>
      </c>
      <c r="BN31" s="16">
        <v>0</v>
      </c>
      <c r="BO31" s="16">
        <v>0</v>
      </c>
      <c r="BP31" s="16">
        <v>0</v>
      </c>
      <c r="BQ31" s="16">
        <v>0</v>
      </c>
      <c r="BR31" s="16">
        <v>0</v>
      </c>
      <c r="BS31" s="207">
        <f t="shared" si="20"/>
        <v>24</v>
      </c>
      <c r="BT31" s="207">
        <f t="shared" si="21"/>
        <v>0</v>
      </c>
      <c r="BU31" s="207">
        <f t="shared" si="22"/>
        <v>0</v>
      </c>
      <c r="BV31" s="207">
        <f t="shared" si="23"/>
        <v>0</v>
      </c>
      <c r="BW31" s="207">
        <f t="shared" si="24"/>
        <v>0</v>
      </c>
      <c r="BX31" s="207">
        <f t="shared" si="25"/>
        <v>0</v>
      </c>
      <c r="BY31" s="207">
        <f t="shared" si="26"/>
        <v>0</v>
      </c>
      <c r="BZ31" s="207">
        <f t="shared" si="27"/>
        <v>0</v>
      </c>
      <c r="CA31" s="207">
        <f t="shared" si="28"/>
        <v>0</v>
      </c>
      <c r="CB31" s="207">
        <f t="shared" si="29"/>
        <v>0</v>
      </c>
      <c r="CC31" s="207">
        <f t="shared" si="30"/>
        <v>0</v>
      </c>
      <c r="CD31" s="207">
        <f t="shared" si="31"/>
        <v>0</v>
      </c>
      <c r="CE31" s="207">
        <f t="shared" si="32"/>
        <v>24</v>
      </c>
    </row>
    <row r="32" spans="1:83" ht="12" customHeight="1" x14ac:dyDescent="0.2">
      <c r="A32" s="6">
        <v>3</v>
      </c>
      <c r="B32" s="49" t="str">
        <f t="shared" si="17"/>
        <v>Torres Gonzales Rogger AdriánMP004</v>
      </c>
      <c r="C32" s="117" t="str">
        <f t="shared" si="33"/>
        <v>Torres Gonzales Rogger Adrián</v>
      </c>
      <c r="D32" s="49" t="str">
        <f>VLOOKUP(C32,Datos!$B$13:$C$83,2,0)</f>
        <v>VIGENTE</v>
      </c>
      <c r="E32" s="50" t="s">
        <v>44</v>
      </c>
      <c r="F32" s="49" t="str">
        <f>IFERROR(VLOOKUP(H32,Datos!$J$2:$L$60,3,0),"OBSERVCIONES")</f>
        <v>PROCESO</v>
      </c>
      <c r="G32" s="49"/>
      <c r="H32" s="50" t="s">
        <v>42</v>
      </c>
      <c r="I32" s="49" t="s">
        <v>304</v>
      </c>
      <c r="J32" s="49" t="s">
        <v>25</v>
      </c>
      <c r="K32" s="16">
        <v>40</v>
      </c>
      <c r="L32" s="16">
        <v>32</v>
      </c>
      <c r="M32" s="16">
        <v>40</v>
      </c>
      <c r="N32" s="16">
        <v>40</v>
      </c>
      <c r="O32" s="16">
        <v>16</v>
      </c>
      <c r="P32" s="16">
        <v>24</v>
      </c>
      <c r="Q32" s="16">
        <v>40</v>
      </c>
      <c r="R32" s="16">
        <v>40</v>
      </c>
      <c r="S32" s="16">
        <v>40</v>
      </c>
      <c r="T32" s="16">
        <v>16</v>
      </c>
      <c r="U32" s="16">
        <v>24</v>
      </c>
      <c r="V32" s="16">
        <v>40</v>
      </c>
      <c r="W32" s="16">
        <v>40</v>
      </c>
      <c r="X32" s="16">
        <v>40</v>
      </c>
      <c r="Y32" s="16">
        <v>40</v>
      </c>
      <c r="Z32" s="16">
        <v>40</v>
      </c>
      <c r="AA32" s="16">
        <v>24</v>
      </c>
      <c r="AB32" s="16">
        <v>40</v>
      </c>
      <c r="AC32" s="16">
        <v>40</v>
      </c>
      <c r="AD32" s="16">
        <v>32</v>
      </c>
      <c r="AE32" s="16">
        <v>40</v>
      </c>
      <c r="AF32" s="16">
        <v>40</v>
      </c>
      <c r="AG32" s="16">
        <v>40</v>
      </c>
      <c r="AH32" s="16">
        <v>24</v>
      </c>
      <c r="AI32" s="16">
        <v>16</v>
      </c>
      <c r="AJ32" s="16">
        <v>40</v>
      </c>
      <c r="AK32" s="16">
        <v>40</v>
      </c>
      <c r="AL32" s="16">
        <v>40</v>
      </c>
      <c r="AM32" s="16">
        <v>32</v>
      </c>
      <c r="AN32" s="16">
        <v>40</v>
      </c>
      <c r="AO32" s="16">
        <v>40</v>
      </c>
      <c r="AP32" s="16">
        <v>40</v>
      </c>
      <c r="AQ32" s="16">
        <v>32</v>
      </c>
      <c r="AR32" s="16">
        <v>0</v>
      </c>
      <c r="AS32" s="16">
        <v>8</v>
      </c>
      <c r="AT32" s="16">
        <v>32</v>
      </c>
      <c r="AU32" s="16">
        <v>8</v>
      </c>
      <c r="AV32" s="16">
        <v>32</v>
      </c>
      <c r="AW32" s="16">
        <v>40</v>
      </c>
      <c r="AX32" s="16">
        <v>24</v>
      </c>
      <c r="AY32" s="16">
        <v>8</v>
      </c>
      <c r="AZ32" s="16">
        <v>40</v>
      </c>
      <c r="BA32" s="16">
        <v>40</v>
      </c>
      <c r="BB32" s="16">
        <v>40</v>
      </c>
      <c r="BC32" s="16">
        <v>40</v>
      </c>
      <c r="BD32" s="16">
        <v>40</v>
      </c>
      <c r="BE32" s="16">
        <v>0</v>
      </c>
      <c r="BF32" s="16">
        <v>0</v>
      </c>
      <c r="BG32" s="16">
        <v>0</v>
      </c>
      <c r="BH32" s="16">
        <v>0</v>
      </c>
      <c r="BI32" s="16">
        <v>0</v>
      </c>
      <c r="BJ32" s="16">
        <v>0</v>
      </c>
      <c r="BK32" s="16">
        <v>0</v>
      </c>
      <c r="BL32" s="16">
        <v>0</v>
      </c>
      <c r="BM32" s="16">
        <v>0</v>
      </c>
      <c r="BN32" s="16">
        <v>0</v>
      </c>
      <c r="BO32" s="16">
        <v>0</v>
      </c>
      <c r="BP32" s="16">
        <v>0</v>
      </c>
      <c r="BQ32" s="16">
        <v>0</v>
      </c>
      <c r="BR32" s="16">
        <v>0</v>
      </c>
      <c r="BS32" s="207">
        <f t="shared" si="20"/>
        <v>168</v>
      </c>
      <c r="BT32" s="207">
        <f t="shared" si="21"/>
        <v>160</v>
      </c>
      <c r="BU32" s="207">
        <f t="shared" si="22"/>
        <v>184</v>
      </c>
      <c r="BV32" s="207">
        <f t="shared" si="23"/>
        <v>144</v>
      </c>
      <c r="BW32" s="207">
        <f t="shared" si="24"/>
        <v>176</v>
      </c>
      <c r="BX32" s="207">
        <f t="shared" si="25"/>
        <v>168</v>
      </c>
      <c r="BY32" s="207">
        <f t="shared" si="26"/>
        <v>160</v>
      </c>
      <c r="BZ32" s="207">
        <f t="shared" si="27"/>
        <v>136</v>
      </c>
      <c r="CA32" s="207">
        <f t="shared" si="28"/>
        <v>168</v>
      </c>
      <c r="CB32" s="207">
        <f t="shared" si="29"/>
        <v>40</v>
      </c>
      <c r="CC32" s="207">
        <f t="shared" si="30"/>
        <v>0</v>
      </c>
      <c r="CD32" s="207">
        <f t="shared" si="31"/>
        <v>0</v>
      </c>
      <c r="CE32" s="207">
        <f t="shared" si="32"/>
        <v>1504</v>
      </c>
    </row>
    <row r="33" spans="1:83" ht="12" customHeight="1" x14ac:dyDescent="0.2">
      <c r="A33" s="6">
        <v>3</v>
      </c>
      <c r="B33" s="49" t="str">
        <f t="shared" si="17"/>
        <v>Cordova Lozano Renzo AbelMP004</v>
      </c>
      <c r="C33" s="117" t="str">
        <f t="shared" si="33"/>
        <v>Cordova Lozano Renzo Abel</v>
      </c>
      <c r="D33" s="49" t="str">
        <f>VLOOKUP(C33,Datos!$B$13:$C$83,2,0)</f>
        <v>VIGENTE</v>
      </c>
      <c r="E33" s="50" t="s">
        <v>44</v>
      </c>
      <c r="F33" s="49" t="str">
        <f>IFERROR(VLOOKUP(H33,Datos!$J$2:$L$60,3,0),"OBSERVCIONES")</f>
        <v>PROCESO</v>
      </c>
      <c r="G33" s="49"/>
      <c r="H33" s="50" t="s">
        <v>42</v>
      </c>
      <c r="I33" s="49" t="s">
        <v>304</v>
      </c>
      <c r="J33" s="49" t="s">
        <v>9</v>
      </c>
      <c r="K33" s="16">
        <v>40</v>
      </c>
      <c r="L33" s="16">
        <v>40</v>
      </c>
      <c r="M33" s="16">
        <v>40</v>
      </c>
      <c r="N33" s="16">
        <v>40</v>
      </c>
      <c r="O33" s="16">
        <v>16</v>
      </c>
      <c r="P33" s="16">
        <v>24</v>
      </c>
      <c r="Q33" s="16">
        <v>40</v>
      </c>
      <c r="R33" s="16">
        <v>40</v>
      </c>
      <c r="S33" s="16">
        <v>40</v>
      </c>
      <c r="T33" s="16">
        <v>16</v>
      </c>
      <c r="U33" s="16">
        <v>24</v>
      </c>
      <c r="V33" s="16">
        <v>40</v>
      </c>
      <c r="W33" s="16">
        <v>40</v>
      </c>
      <c r="X33" s="16">
        <v>40</v>
      </c>
      <c r="Y33" s="16">
        <v>40</v>
      </c>
      <c r="Z33" s="16">
        <v>40</v>
      </c>
      <c r="AA33" s="16">
        <v>24</v>
      </c>
      <c r="AB33" s="16">
        <v>40</v>
      </c>
      <c r="AC33" s="16">
        <v>40</v>
      </c>
      <c r="AD33" s="16">
        <v>32</v>
      </c>
      <c r="AE33" s="16">
        <v>40</v>
      </c>
      <c r="AF33" s="16">
        <v>40</v>
      </c>
      <c r="AG33" s="16">
        <v>40</v>
      </c>
      <c r="AH33" s="16">
        <v>24</v>
      </c>
      <c r="AI33" s="16">
        <v>16</v>
      </c>
      <c r="AJ33" s="16">
        <v>40</v>
      </c>
      <c r="AK33" s="16">
        <v>40</v>
      </c>
      <c r="AL33" s="16">
        <v>40</v>
      </c>
      <c r="AM33" s="16">
        <v>32</v>
      </c>
      <c r="AN33" s="16">
        <v>40</v>
      </c>
      <c r="AO33" s="16">
        <v>40</v>
      </c>
      <c r="AP33" s="16">
        <v>40</v>
      </c>
      <c r="AQ33" s="16">
        <v>32</v>
      </c>
      <c r="AR33" s="16">
        <v>0</v>
      </c>
      <c r="AS33" s="16">
        <v>8</v>
      </c>
      <c r="AT33" s="16">
        <v>32</v>
      </c>
      <c r="AU33" s="16">
        <v>40</v>
      </c>
      <c r="AV33" s="16">
        <v>40</v>
      </c>
      <c r="AW33" s="16">
        <v>40</v>
      </c>
      <c r="AX33" s="16">
        <v>24</v>
      </c>
      <c r="AY33" s="16">
        <v>8</v>
      </c>
      <c r="AZ33" s="16">
        <v>40</v>
      </c>
      <c r="BA33" s="16">
        <v>40</v>
      </c>
      <c r="BB33" s="16">
        <v>40</v>
      </c>
      <c r="BC33" s="16">
        <v>40</v>
      </c>
      <c r="BD33" s="16">
        <v>40</v>
      </c>
      <c r="BE33" s="16">
        <v>0</v>
      </c>
      <c r="BF33" s="16">
        <v>0</v>
      </c>
      <c r="BG33" s="16">
        <v>0</v>
      </c>
      <c r="BH33" s="16">
        <v>0</v>
      </c>
      <c r="BI33" s="16">
        <v>0</v>
      </c>
      <c r="BJ33" s="16">
        <v>0</v>
      </c>
      <c r="BK33" s="16">
        <v>0</v>
      </c>
      <c r="BL33" s="16">
        <v>0</v>
      </c>
      <c r="BM33" s="16">
        <v>0</v>
      </c>
      <c r="BN33" s="16">
        <v>0</v>
      </c>
      <c r="BO33" s="16">
        <v>0</v>
      </c>
      <c r="BP33" s="16">
        <v>0</v>
      </c>
      <c r="BQ33" s="16">
        <v>0</v>
      </c>
      <c r="BR33" s="16">
        <v>0</v>
      </c>
      <c r="BS33" s="207">
        <f t="shared" si="20"/>
        <v>176</v>
      </c>
      <c r="BT33" s="207">
        <f t="shared" si="21"/>
        <v>160</v>
      </c>
      <c r="BU33" s="207">
        <f t="shared" si="22"/>
        <v>184</v>
      </c>
      <c r="BV33" s="207">
        <f t="shared" si="23"/>
        <v>144</v>
      </c>
      <c r="BW33" s="207">
        <f t="shared" si="24"/>
        <v>176</v>
      </c>
      <c r="BX33" s="207">
        <f t="shared" si="25"/>
        <v>168</v>
      </c>
      <c r="BY33" s="207">
        <f t="shared" si="26"/>
        <v>160</v>
      </c>
      <c r="BZ33" s="207">
        <f t="shared" si="27"/>
        <v>176</v>
      </c>
      <c r="CA33" s="207">
        <f t="shared" si="28"/>
        <v>168</v>
      </c>
      <c r="CB33" s="207">
        <f t="shared" si="29"/>
        <v>40</v>
      </c>
      <c r="CC33" s="207">
        <f t="shared" si="30"/>
        <v>0</v>
      </c>
      <c r="CD33" s="207">
        <f t="shared" si="31"/>
        <v>0</v>
      </c>
      <c r="CE33" s="207">
        <f t="shared" si="32"/>
        <v>1552</v>
      </c>
    </row>
    <row r="34" spans="1:83" ht="12" customHeight="1" x14ac:dyDescent="0.2">
      <c r="A34" s="6">
        <v>3</v>
      </c>
      <c r="B34" s="49" t="str">
        <f t="shared" si="17"/>
        <v>Chura Ingalla Percy WilliamMP004</v>
      </c>
      <c r="C34" s="117" t="str">
        <f t="shared" si="33"/>
        <v>Chura Ingalla Percy William</v>
      </c>
      <c r="D34" s="49" t="str">
        <f>VLOOKUP(C34,Datos!$B$13:$C$83,2,0)</f>
        <v>VIGENTE</v>
      </c>
      <c r="E34" s="50" t="s">
        <v>44</v>
      </c>
      <c r="F34" s="49" t="str">
        <f>IFERROR(VLOOKUP(H34,Datos!$J$2:$L$60,3,0),"OBSERVCIONES")</f>
        <v>PROCESO</v>
      </c>
      <c r="G34" s="49"/>
      <c r="H34" s="50" t="s">
        <v>42</v>
      </c>
      <c r="I34" s="49" t="s">
        <v>304</v>
      </c>
      <c r="J34" s="49" t="s">
        <v>8</v>
      </c>
      <c r="K34" s="16">
        <v>40</v>
      </c>
      <c r="L34" s="16">
        <v>40</v>
      </c>
      <c r="M34" s="16">
        <v>0</v>
      </c>
      <c r="N34" s="16">
        <v>40</v>
      </c>
      <c r="O34" s="16">
        <v>16</v>
      </c>
      <c r="P34" s="16">
        <v>24</v>
      </c>
      <c r="Q34" s="16">
        <v>40</v>
      </c>
      <c r="R34" s="16">
        <v>40</v>
      </c>
      <c r="S34" s="16">
        <v>40</v>
      </c>
      <c r="T34" s="16">
        <v>16</v>
      </c>
      <c r="U34" s="16">
        <v>24</v>
      </c>
      <c r="V34" s="16">
        <v>32</v>
      </c>
      <c r="W34" s="16">
        <v>40</v>
      </c>
      <c r="X34" s="16">
        <v>40</v>
      </c>
      <c r="Y34" s="16">
        <v>40</v>
      </c>
      <c r="Z34" s="16">
        <v>40</v>
      </c>
      <c r="AA34" s="16">
        <v>24</v>
      </c>
      <c r="AB34" s="16">
        <v>40</v>
      </c>
      <c r="AC34" s="16">
        <v>40</v>
      </c>
      <c r="AD34" s="16">
        <v>32</v>
      </c>
      <c r="AE34" s="16">
        <v>40</v>
      </c>
      <c r="AF34" s="16">
        <v>40</v>
      </c>
      <c r="AG34" s="16">
        <v>40</v>
      </c>
      <c r="AH34" s="16">
        <v>24</v>
      </c>
      <c r="AI34" s="16">
        <v>16</v>
      </c>
      <c r="AJ34" s="16">
        <v>40</v>
      </c>
      <c r="AK34" s="16">
        <v>40</v>
      </c>
      <c r="AL34" s="16">
        <v>40</v>
      </c>
      <c r="AM34" s="16">
        <v>32</v>
      </c>
      <c r="AN34" s="16">
        <v>40</v>
      </c>
      <c r="AO34" s="16">
        <v>40</v>
      </c>
      <c r="AP34" s="16">
        <v>40</v>
      </c>
      <c r="AQ34" s="16">
        <v>32</v>
      </c>
      <c r="AR34" s="16">
        <v>0</v>
      </c>
      <c r="AS34" s="16">
        <v>8</v>
      </c>
      <c r="AT34" s="16">
        <v>32</v>
      </c>
      <c r="AU34" s="16">
        <v>40</v>
      </c>
      <c r="AV34" s="16">
        <v>40</v>
      </c>
      <c r="AW34" s="16">
        <v>40</v>
      </c>
      <c r="AX34" s="16">
        <v>24</v>
      </c>
      <c r="AY34" s="16">
        <v>8</v>
      </c>
      <c r="AZ34" s="16">
        <v>40</v>
      </c>
      <c r="BA34" s="16">
        <v>40</v>
      </c>
      <c r="BB34" s="16">
        <v>40</v>
      </c>
      <c r="BC34" s="16">
        <v>40</v>
      </c>
      <c r="BD34" s="16">
        <v>40</v>
      </c>
      <c r="BE34" s="16">
        <v>0</v>
      </c>
      <c r="BF34" s="16">
        <v>0</v>
      </c>
      <c r="BG34" s="16">
        <v>0</v>
      </c>
      <c r="BH34" s="16">
        <v>0</v>
      </c>
      <c r="BI34" s="16">
        <v>0</v>
      </c>
      <c r="BJ34" s="16">
        <v>0</v>
      </c>
      <c r="BK34" s="16">
        <v>0</v>
      </c>
      <c r="BL34" s="16">
        <v>0</v>
      </c>
      <c r="BM34" s="16">
        <v>0</v>
      </c>
      <c r="BN34" s="16">
        <v>0</v>
      </c>
      <c r="BO34" s="16">
        <v>0</v>
      </c>
      <c r="BP34" s="16">
        <v>0</v>
      </c>
      <c r="BQ34" s="16">
        <v>0</v>
      </c>
      <c r="BR34" s="16">
        <v>0</v>
      </c>
      <c r="BS34" s="207">
        <f t="shared" si="20"/>
        <v>136</v>
      </c>
      <c r="BT34" s="207">
        <f t="shared" si="21"/>
        <v>160</v>
      </c>
      <c r="BU34" s="207">
        <f t="shared" si="22"/>
        <v>176</v>
      </c>
      <c r="BV34" s="207">
        <f t="shared" si="23"/>
        <v>144</v>
      </c>
      <c r="BW34" s="207">
        <f t="shared" si="24"/>
        <v>176</v>
      </c>
      <c r="BX34" s="207">
        <f t="shared" si="25"/>
        <v>168</v>
      </c>
      <c r="BY34" s="207">
        <f t="shared" si="26"/>
        <v>160</v>
      </c>
      <c r="BZ34" s="207">
        <f t="shared" si="27"/>
        <v>176</v>
      </c>
      <c r="CA34" s="207">
        <f t="shared" si="28"/>
        <v>168</v>
      </c>
      <c r="CB34" s="207">
        <f t="shared" si="29"/>
        <v>40</v>
      </c>
      <c r="CC34" s="207">
        <f t="shared" si="30"/>
        <v>0</v>
      </c>
      <c r="CD34" s="207">
        <f t="shared" si="31"/>
        <v>0</v>
      </c>
      <c r="CE34" s="207">
        <f t="shared" si="32"/>
        <v>1504</v>
      </c>
    </row>
    <row r="35" spans="1:83" ht="12" customHeight="1" x14ac:dyDescent="0.2">
      <c r="A35" s="6">
        <v>3</v>
      </c>
      <c r="B35" s="49" t="str">
        <f t="shared" si="17"/>
        <v>Fernandez Esquen Miguel AngelMP004</v>
      </c>
      <c r="C35" s="117" t="str">
        <f t="shared" si="33"/>
        <v>Fernandez Esquen Miguel Angel</v>
      </c>
      <c r="D35" s="49" t="str">
        <f>VLOOKUP(C35,Datos!$B$13:$C$83,2,0)</f>
        <v>VIGENTE</v>
      </c>
      <c r="E35" s="50" t="s">
        <v>44</v>
      </c>
      <c r="F35" s="49" t="str">
        <f>IFERROR(VLOOKUP(H35,Datos!$J$2:$L$60,3,0),"OBSERVCIONES")</f>
        <v>PROCESO</v>
      </c>
      <c r="G35" s="49"/>
      <c r="H35" s="50" t="s">
        <v>42</v>
      </c>
      <c r="I35" s="49" t="s">
        <v>304</v>
      </c>
      <c r="J35" s="49" t="s">
        <v>12</v>
      </c>
      <c r="K35" s="16">
        <v>40</v>
      </c>
      <c r="L35" s="16">
        <v>40</v>
      </c>
      <c r="M35" s="16">
        <v>40</v>
      </c>
      <c r="N35" s="16">
        <v>40</v>
      </c>
      <c r="O35" s="16">
        <v>16</v>
      </c>
      <c r="P35" s="16">
        <v>24</v>
      </c>
      <c r="Q35" s="16">
        <v>40</v>
      </c>
      <c r="R35" s="16">
        <v>40</v>
      </c>
      <c r="S35" s="16">
        <v>40</v>
      </c>
      <c r="T35" s="16">
        <v>16</v>
      </c>
      <c r="U35" s="16">
        <v>24</v>
      </c>
      <c r="V35" s="16">
        <v>40</v>
      </c>
      <c r="W35" s="16">
        <v>40</v>
      </c>
      <c r="X35" s="16">
        <v>40</v>
      </c>
      <c r="Y35" s="16">
        <v>40</v>
      </c>
      <c r="Z35" s="16">
        <v>40</v>
      </c>
      <c r="AA35" s="16">
        <v>24</v>
      </c>
      <c r="AB35" s="16">
        <v>40</v>
      </c>
      <c r="AC35" s="16">
        <v>40</v>
      </c>
      <c r="AD35" s="16">
        <v>32</v>
      </c>
      <c r="AE35" s="16">
        <v>40</v>
      </c>
      <c r="AF35" s="16">
        <v>40</v>
      </c>
      <c r="AG35" s="16">
        <v>40</v>
      </c>
      <c r="AH35" s="16">
        <v>24</v>
      </c>
      <c r="AI35" s="16">
        <v>16</v>
      </c>
      <c r="AJ35" s="16">
        <v>40</v>
      </c>
      <c r="AK35" s="16">
        <v>40</v>
      </c>
      <c r="AL35" s="16">
        <v>40</v>
      </c>
      <c r="AM35" s="16">
        <v>32</v>
      </c>
      <c r="AN35" s="16">
        <v>40</v>
      </c>
      <c r="AO35" s="16">
        <v>40</v>
      </c>
      <c r="AP35" s="16">
        <v>40</v>
      </c>
      <c r="AQ35" s="16">
        <v>32</v>
      </c>
      <c r="AR35" s="16">
        <v>0</v>
      </c>
      <c r="AS35" s="16">
        <v>0</v>
      </c>
      <c r="AT35" s="16">
        <v>16</v>
      </c>
      <c r="AU35" s="16">
        <v>40</v>
      </c>
      <c r="AV35" s="16">
        <v>40</v>
      </c>
      <c r="AW35" s="16">
        <v>40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0</v>
      </c>
      <c r="BD35" s="16">
        <v>0</v>
      </c>
      <c r="BE35" s="16">
        <v>0</v>
      </c>
      <c r="BF35" s="16">
        <v>0</v>
      </c>
      <c r="BG35" s="16">
        <v>0</v>
      </c>
      <c r="BH35" s="16">
        <v>0</v>
      </c>
      <c r="BI35" s="16">
        <v>0</v>
      </c>
      <c r="BJ35" s="16">
        <v>0</v>
      </c>
      <c r="BK35" s="16">
        <v>0</v>
      </c>
      <c r="BL35" s="16">
        <v>0</v>
      </c>
      <c r="BM35" s="16">
        <v>0</v>
      </c>
      <c r="BN35" s="16">
        <v>0</v>
      </c>
      <c r="BO35" s="16">
        <v>0</v>
      </c>
      <c r="BP35" s="16">
        <v>0</v>
      </c>
      <c r="BQ35" s="16">
        <v>0</v>
      </c>
      <c r="BR35" s="16">
        <v>0</v>
      </c>
      <c r="BS35" s="207">
        <f t="shared" si="20"/>
        <v>176</v>
      </c>
      <c r="BT35" s="207">
        <f t="shared" si="21"/>
        <v>160</v>
      </c>
      <c r="BU35" s="207">
        <f t="shared" si="22"/>
        <v>184</v>
      </c>
      <c r="BV35" s="207">
        <f t="shared" si="23"/>
        <v>144</v>
      </c>
      <c r="BW35" s="207">
        <f t="shared" si="24"/>
        <v>176</v>
      </c>
      <c r="BX35" s="207">
        <f t="shared" si="25"/>
        <v>168</v>
      </c>
      <c r="BY35" s="207">
        <f t="shared" si="26"/>
        <v>152</v>
      </c>
      <c r="BZ35" s="207">
        <f t="shared" si="27"/>
        <v>136</v>
      </c>
      <c r="CA35" s="207">
        <f t="shared" si="28"/>
        <v>0</v>
      </c>
      <c r="CB35" s="207">
        <f t="shared" si="29"/>
        <v>0</v>
      </c>
      <c r="CC35" s="207">
        <f t="shared" si="30"/>
        <v>0</v>
      </c>
      <c r="CD35" s="207">
        <f t="shared" si="31"/>
        <v>0</v>
      </c>
      <c r="CE35" s="207">
        <f t="shared" si="32"/>
        <v>1296</v>
      </c>
    </row>
    <row r="36" spans="1:83" ht="12" customHeight="1" x14ac:dyDescent="0.2">
      <c r="A36" s="6">
        <v>3</v>
      </c>
      <c r="B36" s="49" t="str">
        <f t="shared" si="17"/>
        <v>Garay Vilchez Mario MartinMP004</v>
      </c>
      <c r="C36" s="117" t="str">
        <f t="shared" si="33"/>
        <v>Garay Vilchez Mario Martin</v>
      </c>
      <c r="D36" s="49" t="str">
        <f>VLOOKUP(C36,Datos!$B$13:$C$83,2,0)</f>
        <v>VIGENTE</v>
      </c>
      <c r="E36" s="50" t="s">
        <v>44</v>
      </c>
      <c r="F36" s="49" t="str">
        <f>IFERROR(VLOOKUP(H36,Datos!$J$2:$L$60,3,0),"OBSERVCIONES")</f>
        <v>PROCESO</v>
      </c>
      <c r="G36" s="49"/>
      <c r="H36" s="50" t="s">
        <v>42</v>
      </c>
      <c r="I36" s="49" t="s">
        <v>304</v>
      </c>
      <c r="J36" s="49" t="s">
        <v>14</v>
      </c>
      <c r="K36" s="16">
        <v>40</v>
      </c>
      <c r="L36" s="16">
        <v>40</v>
      </c>
      <c r="M36" s="16">
        <v>40</v>
      </c>
      <c r="N36" s="16">
        <v>40</v>
      </c>
      <c r="O36" s="16">
        <v>16</v>
      </c>
      <c r="P36" s="16">
        <v>24</v>
      </c>
      <c r="Q36" s="16">
        <v>40</v>
      </c>
      <c r="R36" s="16">
        <v>40</v>
      </c>
      <c r="S36" s="16">
        <v>40</v>
      </c>
      <c r="T36" s="16">
        <v>16</v>
      </c>
      <c r="U36" s="16">
        <v>24</v>
      </c>
      <c r="V36" s="16">
        <v>40</v>
      </c>
      <c r="W36" s="16">
        <v>40</v>
      </c>
      <c r="X36" s="16">
        <v>40</v>
      </c>
      <c r="Y36" s="16">
        <v>40</v>
      </c>
      <c r="Z36" s="16">
        <v>40</v>
      </c>
      <c r="AA36" s="16">
        <v>24</v>
      </c>
      <c r="AB36" s="16">
        <v>40</v>
      </c>
      <c r="AC36" s="16">
        <v>40</v>
      </c>
      <c r="AD36" s="16">
        <v>32</v>
      </c>
      <c r="AE36" s="16">
        <v>40</v>
      </c>
      <c r="AF36" s="16">
        <v>40</v>
      </c>
      <c r="AG36" s="16">
        <v>40</v>
      </c>
      <c r="AH36" s="16">
        <v>24</v>
      </c>
      <c r="AI36" s="16">
        <v>16</v>
      </c>
      <c r="AJ36" s="16">
        <v>40</v>
      </c>
      <c r="AK36" s="16">
        <v>40</v>
      </c>
      <c r="AL36" s="16">
        <v>32</v>
      </c>
      <c r="AM36" s="16">
        <v>40</v>
      </c>
      <c r="AN36" s="16">
        <v>40</v>
      </c>
      <c r="AO36" s="16">
        <v>40</v>
      </c>
      <c r="AP36" s="16">
        <v>40</v>
      </c>
      <c r="AQ36" s="16">
        <v>32</v>
      </c>
      <c r="AR36" s="16">
        <v>0</v>
      </c>
      <c r="AS36" s="16">
        <v>8</v>
      </c>
      <c r="AT36" s="16">
        <v>32</v>
      </c>
      <c r="AU36" s="16">
        <v>40</v>
      </c>
      <c r="AV36" s="16">
        <v>40</v>
      </c>
      <c r="AW36" s="16">
        <v>40</v>
      </c>
      <c r="AX36" s="16">
        <v>24</v>
      </c>
      <c r="AY36" s="16">
        <v>8</v>
      </c>
      <c r="AZ36" s="16">
        <v>40</v>
      </c>
      <c r="BA36" s="16">
        <v>40</v>
      </c>
      <c r="BB36" s="16">
        <v>40</v>
      </c>
      <c r="BC36" s="16">
        <v>40</v>
      </c>
      <c r="BD36" s="16">
        <v>40</v>
      </c>
      <c r="BE36" s="16">
        <v>0</v>
      </c>
      <c r="BF36" s="16">
        <v>0</v>
      </c>
      <c r="BG36" s="16">
        <v>0</v>
      </c>
      <c r="BH36" s="16">
        <v>0</v>
      </c>
      <c r="BI36" s="16">
        <v>0</v>
      </c>
      <c r="BJ36" s="16">
        <v>0</v>
      </c>
      <c r="BK36" s="16">
        <v>0</v>
      </c>
      <c r="BL36" s="16">
        <v>0</v>
      </c>
      <c r="BM36" s="16">
        <v>0</v>
      </c>
      <c r="BN36" s="16">
        <v>0</v>
      </c>
      <c r="BO36" s="16">
        <v>0</v>
      </c>
      <c r="BP36" s="16">
        <v>0</v>
      </c>
      <c r="BQ36" s="16">
        <v>0</v>
      </c>
      <c r="BR36" s="16">
        <v>0</v>
      </c>
      <c r="BS36" s="207">
        <f t="shared" si="20"/>
        <v>176</v>
      </c>
      <c r="BT36" s="207">
        <f t="shared" si="21"/>
        <v>160</v>
      </c>
      <c r="BU36" s="207">
        <f t="shared" si="22"/>
        <v>184</v>
      </c>
      <c r="BV36" s="207">
        <f t="shared" si="23"/>
        <v>144</v>
      </c>
      <c r="BW36" s="207">
        <f t="shared" si="24"/>
        <v>176</v>
      </c>
      <c r="BX36" s="207">
        <f t="shared" si="25"/>
        <v>168</v>
      </c>
      <c r="BY36" s="207">
        <f t="shared" si="26"/>
        <v>160</v>
      </c>
      <c r="BZ36" s="207">
        <f t="shared" si="27"/>
        <v>176</v>
      </c>
      <c r="CA36" s="207">
        <f t="shared" si="28"/>
        <v>168</v>
      </c>
      <c r="CB36" s="207">
        <f t="shared" si="29"/>
        <v>40</v>
      </c>
      <c r="CC36" s="207">
        <f t="shared" si="30"/>
        <v>0</v>
      </c>
      <c r="CD36" s="207">
        <f t="shared" si="31"/>
        <v>0</v>
      </c>
      <c r="CE36" s="207">
        <f t="shared" si="32"/>
        <v>1552</v>
      </c>
    </row>
    <row r="37" spans="1:83" ht="12" customHeight="1" x14ac:dyDescent="0.2">
      <c r="A37" s="6">
        <v>5</v>
      </c>
      <c r="B37" s="49" t="str">
        <f t="shared" si="17"/>
        <v>Laurencio Ambrosio LuisINASISTENCIAS</v>
      </c>
      <c r="C37" s="117" t="str">
        <f>J37</f>
        <v>Laurencio Ambrosio Luis</v>
      </c>
      <c r="D37" s="49" t="str">
        <f>VLOOKUP(C37,Datos!$B$13:$C$83,2,0)</f>
        <v>VIGENTE</v>
      </c>
      <c r="E37" s="50" t="s">
        <v>208</v>
      </c>
      <c r="F37" s="49"/>
      <c r="G37" s="49" t="str">
        <f>IFERROR(VLOOKUP(H37,Datos!$J$2:$L$60,3,0),"OBSERVACIONES")</f>
        <v>OBSERVACIONES</v>
      </c>
      <c r="H37" s="50" t="s">
        <v>208</v>
      </c>
      <c r="I37" s="49" t="s">
        <v>210</v>
      </c>
      <c r="J37" s="49" t="s">
        <v>18</v>
      </c>
      <c r="K37" s="16">
        <v>0</v>
      </c>
      <c r="L37" s="16">
        <v>0</v>
      </c>
      <c r="M37" s="16">
        <v>0</v>
      </c>
      <c r="N37" s="16">
        <v>0</v>
      </c>
      <c r="O37" s="16">
        <v>0</v>
      </c>
      <c r="P37" s="16">
        <v>0</v>
      </c>
      <c r="Q37" s="16">
        <v>0</v>
      </c>
      <c r="R37" s="16">
        <v>0</v>
      </c>
      <c r="S37" s="16">
        <v>0</v>
      </c>
      <c r="T37" s="16">
        <v>0</v>
      </c>
      <c r="U37" s="16">
        <v>0</v>
      </c>
      <c r="V37" s="16">
        <v>0</v>
      </c>
      <c r="W37" s="16">
        <v>0</v>
      </c>
      <c r="X37" s="16">
        <v>0</v>
      </c>
      <c r="Y37" s="16">
        <v>0</v>
      </c>
      <c r="Z37" s="16">
        <v>0</v>
      </c>
      <c r="AA37" s="16">
        <v>8</v>
      </c>
      <c r="AB37" s="16">
        <v>0</v>
      </c>
      <c r="AC37" s="16">
        <v>0</v>
      </c>
      <c r="AD37" s="16">
        <v>0</v>
      </c>
      <c r="AE37" s="16">
        <v>0</v>
      </c>
      <c r="AF37" s="16">
        <v>0</v>
      </c>
      <c r="AG37" s="16">
        <v>0</v>
      </c>
      <c r="AH37" s="16">
        <v>0</v>
      </c>
      <c r="AI37" s="16">
        <v>0</v>
      </c>
      <c r="AJ37" s="16">
        <v>0</v>
      </c>
      <c r="AK37" s="16">
        <v>0</v>
      </c>
      <c r="AL37" s="16">
        <v>24</v>
      </c>
      <c r="AM37" s="16">
        <v>0</v>
      </c>
      <c r="AN37" s="16">
        <v>0</v>
      </c>
      <c r="AO37" s="16">
        <v>0</v>
      </c>
      <c r="AP37" s="16">
        <v>0</v>
      </c>
      <c r="AQ37" s="16">
        <v>0</v>
      </c>
      <c r="AR37" s="16">
        <v>0</v>
      </c>
      <c r="AS37" s="16">
        <v>0</v>
      </c>
      <c r="AT37" s="16">
        <v>0</v>
      </c>
      <c r="AU37" s="16">
        <v>0</v>
      </c>
      <c r="AV37" s="16">
        <v>0</v>
      </c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0</v>
      </c>
      <c r="BD37" s="16">
        <v>0</v>
      </c>
      <c r="BE37" s="16">
        <v>0</v>
      </c>
      <c r="BF37" s="16">
        <v>0</v>
      </c>
      <c r="BG37" s="16">
        <v>0</v>
      </c>
      <c r="BH37" s="16">
        <v>0</v>
      </c>
      <c r="BI37" s="16">
        <v>0</v>
      </c>
      <c r="BJ37" s="16">
        <v>0</v>
      </c>
      <c r="BK37" s="16">
        <v>0</v>
      </c>
      <c r="BL37" s="16">
        <v>0</v>
      </c>
      <c r="BM37" s="16">
        <v>0</v>
      </c>
      <c r="BN37" s="16">
        <v>0</v>
      </c>
      <c r="BO37" s="16">
        <v>0</v>
      </c>
      <c r="BP37" s="16">
        <v>0</v>
      </c>
      <c r="BQ37" s="16">
        <v>0</v>
      </c>
      <c r="BR37" s="16">
        <v>0</v>
      </c>
      <c r="BS37" s="207">
        <f t="shared" si="20"/>
        <v>0</v>
      </c>
      <c r="BT37" s="207">
        <f t="shared" si="21"/>
        <v>0</v>
      </c>
      <c r="BU37" s="207">
        <f t="shared" si="22"/>
        <v>0</v>
      </c>
      <c r="BV37" s="207">
        <f t="shared" si="23"/>
        <v>8</v>
      </c>
      <c r="BW37" s="207">
        <f t="shared" si="24"/>
        <v>0</v>
      </c>
      <c r="BX37" s="207">
        <f t="shared" si="25"/>
        <v>24</v>
      </c>
      <c r="BY37" s="207">
        <f t="shared" si="26"/>
        <v>0</v>
      </c>
      <c r="BZ37" s="207">
        <f t="shared" si="27"/>
        <v>0</v>
      </c>
      <c r="CA37" s="207">
        <f t="shared" si="28"/>
        <v>0</v>
      </c>
      <c r="CB37" s="207">
        <f t="shared" si="29"/>
        <v>0</v>
      </c>
      <c r="CC37" s="207">
        <f t="shared" si="30"/>
        <v>0</v>
      </c>
      <c r="CD37" s="207">
        <f t="shared" si="31"/>
        <v>0</v>
      </c>
      <c r="CE37" s="207">
        <f t="shared" si="32"/>
        <v>32</v>
      </c>
    </row>
    <row r="38" spans="1:83" ht="12" customHeight="1" x14ac:dyDescent="0.2">
      <c r="A38" s="6">
        <v>4</v>
      </c>
      <c r="B38" s="49" t="str">
        <f t="shared" si="17"/>
        <v>Laurencio Ambrosio LuisVACACIONES</v>
      </c>
      <c r="C38" s="117" t="str">
        <f>J38</f>
        <v>Laurencio Ambrosio Luis</v>
      </c>
      <c r="D38" s="49" t="str">
        <f>VLOOKUP(C38,Datos!$B$13:$C$83,2,0)</f>
        <v>VIGENTE</v>
      </c>
      <c r="E38" s="50" t="s">
        <v>209</v>
      </c>
      <c r="F38" s="49"/>
      <c r="G38" s="49" t="str">
        <f>IFERROR(VLOOKUP(H38,Datos!$J$2:$L$60,3,0),"OBSERVACIONES")</f>
        <v>OBSERVACIONES</v>
      </c>
      <c r="H38" s="50" t="s">
        <v>209</v>
      </c>
      <c r="I38" s="49" t="s">
        <v>243</v>
      </c>
      <c r="J38" s="49" t="s">
        <v>18</v>
      </c>
      <c r="K38" s="16">
        <v>0</v>
      </c>
      <c r="L38" s="16">
        <v>0</v>
      </c>
      <c r="M38" s="16">
        <v>0</v>
      </c>
      <c r="N38" s="16">
        <v>0</v>
      </c>
      <c r="O38" s="16">
        <v>0</v>
      </c>
      <c r="P38" s="16">
        <v>0</v>
      </c>
      <c r="Q38" s="16">
        <v>0</v>
      </c>
      <c r="R38" s="16">
        <v>0</v>
      </c>
      <c r="S38" s="16">
        <v>0</v>
      </c>
      <c r="T38" s="16">
        <v>0</v>
      </c>
      <c r="U38" s="16">
        <v>0</v>
      </c>
      <c r="V38" s="16">
        <v>0</v>
      </c>
      <c r="W38" s="16">
        <v>0</v>
      </c>
      <c r="X38" s="16">
        <v>0</v>
      </c>
      <c r="Y38" s="16">
        <v>0</v>
      </c>
      <c r="Z38" s="16">
        <v>0</v>
      </c>
      <c r="AA38" s="16">
        <v>0</v>
      </c>
      <c r="AB38" s="16">
        <v>0</v>
      </c>
      <c r="AC38" s="16">
        <v>0</v>
      </c>
      <c r="AD38" s="16">
        <v>0</v>
      </c>
      <c r="AE38" s="16">
        <v>0</v>
      </c>
      <c r="AF38" s="16">
        <v>0</v>
      </c>
      <c r="AG38" s="16">
        <v>0</v>
      </c>
      <c r="AH38" s="16">
        <v>0</v>
      </c>
      <c r="AI38" s="16">
        <v>0</v>
      </c>
      <c r="AJ38" s="16">
        <v>0</v>
      </c>
      <c r="AK38" s="16">
        <v>0</v>
      </c>
      <c r="AL38" s="16">
        <v>0</v>
      </c>
      <c r="AM38" s="16">
        <v>0</v>
      </c>
      <c r="AN38" s="16">
        <v>0</v>
      </c>
      <c r="AO38" s="16">
        <v>0</v>
      </c>
      <c r="AP38" s="16">
        <v>0</v>
      </c>
      <c r="AQ38" s="16">
        <v>0</v>
      </c>
      <c r="AR38" s="16">
        <v>0</v>
      </c>
      <c r="AS38" s="16">
        <v>0</v>
      </c>
      <c r="AT38" s="16">
        <v>0</v>
      </c>
      <c r="AU38" s="16">
        <v>0</v>
      </c>
      <c r="AV38" s="16">
        <v>0</v>
      </c>
      <c r="AW38" s="16">
        <v>0</v>
      </c>
      <c r="AX38" s="16">
        <v>0</v>
      </c>
      <c r="AY38" s="16">
        <v>0</v>
      </c>
      <c r="AZ38" s="16">
        <v>40</v>
      </c>
      <c r="BA38" s="16">
        <v>0</v>
      </c>
      <c r="BB38" s="16">
        <v>0</v>
      </c>
      <c r="BC38" s="16">
        <v>0</v>
      </c>
      <c r="BD38" s="16">
        <v>40</v>
      </c>
      <c r="BE38" s="16">
        <v>0</v>
      </c>
      <c r="BF38" s="16">
        <v>0</v>
      </c>
      <c r="BG38" s="16">
        <v>0</v>
      </c>
      <c r="BH38" s="16">
        <v>0</v>
      </c>
      <c r="BI38" s="16">
        <v>0</v>
      </c>
      <c r="BJ38" s="16">
        <v>0</v>
      </c>
      <c r="BK38" s="16">
        <v>0</v>
      </c>
      <c r="BL38" s="16">
        <v>0</v>
      </c>
      <c r="BM38" s="16">
        <v>0</v>
      </c>
      <c r="BN38" s="16">
        <v>0</v>
      </c>
      <c r="BO38" s="16">
        <v>0</v>
      </c>
      <c r="BP38" s="16">
        <v>0</v>
      </c>
      <c r="BQ38" s="16">
        <v>0</v>
      </c>
      <c r="BR38" s="16">
        <v>0</v>
      </c>
      <c r="BS38" s="207">
        <f t="shared" si="20"/>
        <v>0</v>
      </c>
      <c r="BT38" s="207">
        <f t="shared" si="21"/>
        <v>0</v>
      </c>
      <c r="BU38" s="207">
        <f t="shared" si="22"/>
        <v>0</v>
      </c>
      <c r="BV38" s="207">
        <f t="shared" si="23"/>
        <v>0</v>
      </c>
      <c r="BW38" s="207">
        <f t="shared" si="24"/>
        <v>0</v>
      </c>
      <c r="BX38" s="207">
        <f t="shared" si="25"/>
        <v>0</v>
      </c>
      <c r="BY38" s="207">
        <f t="shared" si="26"/>
        <v>0</v>
      </c>
      <c r="BZ38" s="207">
        <f t="shared" si="27"/>
        <v>0</v>
      </c>
      <c r="CA38" s="207">
        <f t="shared" si="28"/>
        <v>40</v>
      </c>
      <c r="CB38" s="207">
        <f t="shared" si="29"/>
        <v>40</v>
      </c>
      <c r="CC38" s="207">
        <f t="shared" si="30"/>
        <v>0</v>
      </c>
      <c r="CD38" s="207">
        <f t="shared" si="31"/>
        <v>0</v>
      </c>
      <c r="CE38" s="207">
        <f t="shared" si="32"/>
        <v>80</v>
      </c>
    </row>
    <row r="39" spans="1:83" ht="12" customHeight="1" x14ac:dyDescent="0.2">
      <c r="A39" s="6">
        <v>3</v>
      </c>
      <c r="B39" s="49" t="str">
        <f t="shared" si="17"/>
        <v>Laurencio Ambrosio LuisMP004</v>
      </c>
      <c r="C39" s="117" t="str">
        <f t="shared" si="33"/>
        <v>Laurencio Ambrosio Luis</v>
      </c>
      <c r="D39" s="49" t="str">
        <f>VLOOKUP(C39,Datos!$B$13:$C$83,2,0)</f>
        <v>VIGENTE</v>
      </c>
      <c r="E39" s="50" t="s">
        <v>44</v>
      </c>
      <c r="F39" s="49" t="str">
        <f>IFERROR(VLOOKUP(H39,Datos!$J$2:$L$60,3,0),"OBSERVCIONES")</f>
        <v>PROCESO</v>
      </c>
      <c r="G39" s="49"/>
      <c r="H39" s="50" t="s">
        <v>42</v>
      </c>
      <c r="I39" s="49" t="s">
        <v>304</v>
      </c>
      <c r="J39" s="49" t="s">
        <v>18</v>
      </c>
      <c r="K39" s="16">
        <v>40</v>
      </c>
      <c r="L39" s="16">
        <v>40</v>
      </c>
      <c r="M39" s="16">
        <v>40</v>
      </c>
      <c r="N39" s="16">
        <v>40</v>
      </c>
      <c r="O39" s="16">
        <v>16</v>
      </c>
      <c r="P39" s="16">
        <v>24</v>
      </c>
      <c r="Q39" s="16">
        <v>40</v>
      </c>
      <c r="R39" s="16">
        <v>40</v>
      </c>
      <c r="S39" s="16">
        <v>40</v>
      </c>
      <c r="T39" s="16">
        <v>16</v>
      </c>
      <c r="U39" s="16">
        <v>24</v>
      </c>
      <c r="V39" s="16">
        <v>40</v>
      </c>
      <c r="W39" s="16">
        <v>40</v>
      </c>
      <c r="X39" s="16">
        <v>40</v>
      </c>
      <c r="Y39" s="16">
        <v>40</v>
      </c>
      <c r="Z39" s="16">
        <v>40</v>
      </c>
      <c r="AA39" s="16">
        <v>16</v>
      </c>
      <c r="AB39" s="16">
        <v>40</v>
      </c>
      <c r="AC39" s="16">
        <v>40</v>
      </c>
      <c r="AD39" s="16">
        <v>32</v>
      </c>
      <c r="AE39" s="16">
        <v>40</v>
      </c>
      <c r="AF39" s="16">
        <v>40</v>
      </c>
      <c r="AG39" s="16">
        <v>40</v>
      </c>
      <c r="AH39" s="16">
        <v>24</v>
      </c>
      <c r="AI39" s="16">
        <v>16</v>
      </c>
      <c r="AJ39" s="16">
        <v>40</v>
      </c>
      <c r="AK39" s="16">
        <v>40</v>
      </c>
      <c r="AL39" s="16">
        <v>16</v>
      </c>
      <c r="AM39" s="16">
        <v>32</v>
      </c>
      <c r="AN39" s="16">
        <v>40</v>
      </c>
      <c r="AO39" s="16">
        <v>40</v>
      </c>
      <c r="AP39" s="16">
        <v>40</v>
      </c>
      <c r="AQ39" s="16">
        <v>32</v>
      </c>
      <c r="AR39" s="16">
        <v>0</v>
      </c>
      <c r="AS39" s="16">
        <v>8</v>
      </c>
      <c r="AT39" s="16">
        <v>32</v>
      </c>
      <c r="AU39" s="16">
        <v>40</v>
      </c>
      <c r="AV39" s="16">
        <v>40</v>
      </c>
      <c r="AW39" s="16">
        <v>40</v>
      </c>
      <c r="AX39" s="16">
        <v>24</v>
      </c>
      <c r="AY39" s="16">
        <v>8</v>
      </c>
      <c r="AZ39" s="16">
        <v>0</v>
      </c>
      <c r="BA39" s="16">
        <v>40</v>
      </c>
      <c r="BB39" s="16">
        <v>40</v>
      </c>
      <c r="BC39" s="16">
        <v>40</v>
      </c>
      <c r="BD39" s="16">
        <v>0</v>
      </c>
      <c r="BE39" s="16">
        <v>0</v>
      </c>
      <c r="BF39" s="16">
        <v>0</v>
      </c>
      <c r="BG39" s="16">
        <v>0</v>
      </c>
      <c r="BH39" s="16">
        <v>0</v>
      </c>
      <c r="BI39" s="16">
        <v>0</v>
      </c>
      <c r="BJ39" s="16">
        <v>0</v>
      </c>
      <c r="BK39" s="16">
        <v>0</v>
      </c>
      <c r="BL39" s="16">
        <v>0</v>
      </c>
      <c r="BM39" s="16">
        <v>0</v>
      </c>
      <c r="BN39" s="16">
        <v>0</v>
      </c>
      <c r="BO39" s="16">
        <v>0</v>
      </c>
      <c r="BP39" s="16">
        <v>0</v>
      </c>
      <c r="BQ39" s="16">
        <v>0</v>
      </c>
      <c r="BR39" s="16">
        <v>0</v>
      </c>
      <c r="BS39" s="207">
        <f t="shared" si="20"/>
        <v>176</v>
      </c>
      <c r="BT39" s="207">
        <f t="shared" si="21"/>
        <v>160</v>
      </c>
      <c r="BU39" s="207">
        <f t="shared" si="22"/>
        <v>184</v>
      </c>
      <c r="BV39" s="207">
        <f t="shared" si="23"/>
        <v>136</v>
      </c>
      <c r="BW39" s="207">
        <f t="shared" si="24"/>
        <v>176</v>
      </c>
      <c r="BX39" s="207">
        <f t="shared" si="25"/>
        <v>144</v>
      </c>
      <c r="BY39" s="207">
        <f t="shared" si="26"/>
        <v>160</v>
      </c>
      <c r="BZ39" s="207">
        <f t="shared" si="27"/>
        <v>176</v>
      </c>
      <c r="CA39" s="207">
        <f t="shared" si="28"/>
        <v>128</v>
      </c>
      <c r="CB39" s="207">
        <f t="shared" si="29"/>
        <v>0</v>
      </c>
      <c r="CC39" s="207">
        <f t="shared" si="30"/>
        <v>0</v>
      </c>
      <c r="CD39" s="207">
        <f t="shared" si="31"/>
        <v>0</v>
      </c>
      <c r="CE39" s="207">
        <f t="shared" si="32"/>
        <v>1440</v>
      </c>
    </row>
    <row r="40" spans="1:83" ht="12" customHeight="1" x14ac:dyDescent="0.2">
      <c r="A40" s="6">
        <v>4</v>
      </c>
      <c r="B40" s="49" t="str">
        <f t="shared" si="17"/>
        <v>Arrascue Acosta LeslyeVACACIONES</v>
      </c>
      <c r="C40" s="117" t="str">
        <f>J40</f>
        <v>Arrascue Acosta Leslye</v>
      </c>
      <c r="D40" s="49" t="str">
        <f>VLOOKUP(C40,Datos!$B$13:$C$83,2,0)</f>
        <v>VIGENTE</v>
      </c>
      <c r="E40" s="50" t="s">
        <v>209</v>
      </c>
      <c r="F40" s="49"/>
      <c r="G40" s="49" t="str">
        <f>IFERROR(VLOOKUP(H40,Datos!$J$2:$L$60,3,0),"OBSERVACIONES")</f>
        <v>OBSERVACIONES</v>
      </c>
      <c r="H40" s="50" t="s">
        <v>209</v>
      </c>
      <c r="I40" s="49" t="s">
        <v>243</v>
      </c>
      <c r="J40" s="49" t="s">
        <v>2</v>
      </c>
      <c r="K40" s="16">
        <v>40</v>
      </c>
      <c r="L40" s="16">
        <v>0</v>
      </c>
      <c r="M40" s="16">
        <v>0</v>
      </c>
      <c r="N40" s="16">
        <v>0</v>
      </c>
      <c r="O40" s="16">
        <v>0</v>
      </c>
      <c r="P40" s="16">
        <v>0</v>
      </c>
      <c r="Q40" s="16">
        <v>0</v>
      </c>
      <c r="R40" s="16">
        <v>0</v>
      </c>
      <c r="S40" s="16">
        <v>0</v>
      </c>
      <c r="T40" s="16">
        <v>0</v>
      </c>
      <c r="U40" s="16">
        <v>0</v>
      </c>
      <c r="V40" s="16">
        <v>0</v>
      </c>
      <c r="W40" s="16">
        <v>0</v>
      </c>
      <c r="X40" s="16">
        <v>0</v>
      </c>
      <c r="Y40" s="16">
        <v>0</v>
      </c>
      <c r="Z40" s="16">
        <v>0</v>
      </c>
      <c r="AA40" s="16">
        <v>0</v>
      </c>
      <c r="AB40" s="16">
        <v>0</v>
      </c>
      <c r="AC40" s="16">
        <v>0</v>
      </c>
      <c r="AD40" s="16">
        <v>0</v>
      </c>
      <c r="AE40" s="16">
        <v>0</v>
      </c>
      <c r="AF40" s="16">
        <v>0</v>
      </c>
      <c r="AG40" s="16">
        <v>8</v>
      </c>
      <c r="AH40" s="16">
        <v>0</v>
      </c>
      <c r="AI40" s="16">
        <v>0</v>
      </c>
      <c r="AJ40" s="16">
        <v>0</v>
      </c>
      <c r="AK40" s="16">
        <v>8</v>
      </c>
      <c r="AL40" s="16">
        <v>0</v>
      </c>
      <c r="AM40" s="16">
        <v>0</v>
      </c>
      <c r="AN40" s="16">
        <v>0</v>
      </c>
      <c r="AO40" s="16">
        <v>0</v>
      </c>
      <c r="AP40" s="16">
        <v>0</v>
      </c>
      <c r="AQ40" s="16">
        <v>0</v>
      </c>
      <c r="AR40" s="16">
        <v>0</v>
      </c>
      <c r="AS40" s="16">
        <v>0</v>
      </c>
      <c r="AT40" s="16">
        <v>0</v>
      </c>
      <c r="AU40" s="16">
        <v>0</v>
      </c>
      <c r="AV40" s="16">
        <v>0</v>
      </c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0</v>
      </c>
      <c r="BD40" s="16">
        <v>0</v>
      </c>
      <c r="BE40" s="16">
        <v>0</v>
      </c>
      <c r="BF40" s="16">
        <v>0</v>
      </c>
      <c r="BG40" s="16">
        <v>0</v>
      </c>
      <c r="BH40" s="16">
        <v>0</v>
      </c>
      <c r="BI40" s="16">
        <v>0</v>
      </c>
      <c r="BJ40" s="16">
        <v>0</v>
      </c>
      <c r="BK40" s="16">
        <v>0</v>
      </c>
      <c r="BL40" s="16">
        <v>0</v>
      </c>
      <c r="BM40" s="16">
        <v>0</v>
      </c>
      <c r="BN40" s="16">
        <v>0</v>
      </c>
      <c r="BO40" s="16">
        <v>0</v>
      </c>
      <c r="BP40" s="16">
        <v>0</v>
      </c>
      <c r="BQ40" s="16">
        <v>0</v>
      </c>
      <c r="BR40" s="16">
        <v>0</v>
      </c>
      <c r="BS40" s="207">
        <f t="shared" si="20"/>
        <v>40</v>
      </c>
      <c r="BT40" s="207">
        <f t="shared" si="21"/>
        <v>0</v>
      </c>
      <c r="BU40" s="207">
        <f t="shared" ref="BU40:BU99" si="34">SUM(U40:Y40)</f>
        <v>0</v>
      </c>
      <c r="BV40" s="207">
        <f t="shared" si="23"/>
        <v>0</v>
      </c>
      <c r="BW40" s="207">
        <f t="shared" si="24"/>
        <v>8</v>
      </c>
      <c r="BX40" s="207">
        <f t="shared" si="25"/>
        <v>8</v>
      </c>
      <c r="BY40" s="207">
        <f t="shared" si="26"/>
        <v>0</v>
      </c>
      <c r="BZ40" s="207">
        <f t="shared" si="27"/>
        <v>0</v>
      </c>
      <c r="CA40" s="207">
        <f t="shared" si="28"/>
        <v>0</v>
      </c>
      <c r="CB40" s="207">
        <f t="shared" si="29"/>
        <v>0</v>
      </c>
      <c r="CC40" s="207">
        <f t="shared" si="30"/>
        <v>0</v>
      </c>
      <c r="CD40" s="207">
        <f t="shared" si="31"/>
        <v>0</v>
      </c>
      <c r="CE40" s="207">
        <f t="shared" ref="CE40:CE99" si="35">SUM(BS40:CD40)</f>
        <v>56</v>
      </c>
    </row>
    <row r="41" spans="1:83" ht="12" customHeight="1" x14ac:dyDescent="0.2">
      <c r="A41" s="6">
        <v>5</v>
      </c>
      <c r="B41" s="49" t="str">
        <f t="shared" si="17"/>
        <v>Arrascue Acosta LeslyeINASISTENCIAS</v>
      </c>
      <c r="C41" s="117" t="str">
        <f>J41</f>
        <v>Arrascue Acosta Leslye</v>
      </c>
      <c r="D41" s="49" t="str">
        <f>VLOOKUP(C41,Datos!$B$13:$C$83,2,0)</f>
        <v>VIGENTE</v>
      </c>
      <c r="E41" s="50" t="s">
        <v>208</v>
      </c>
      <c r="F41" s="49"/>
      <c r="G41" s="49" t="str">
        <f>IFERROR(VLOOKUP(H41,Datos!$J$2:$L$60,3,0),"OBSERVACIONES")</f>
        <v>OBSERVACIONES</v>
      </c>
      <c r="H41" s="50" t="s">
        <v>208</v>
      </c>
      <c r="I41" s="49" t="s">
        <v>210</v>
      </c>
      <c r="J41" s="49" t="s">
        <v>2</v>
      </c>
      <c r="K41" s="16">
        <v>0</v>
      </c>
      <c r="L41" s="16">
        <v>0</v>
      </c>
      <c r="M41" s="16">
        <v>8</v>
      </c>
      <c r="N41" s="16">
        <v>24</v>
      </c>
      <c r="O41" s="16">
        <v>0</v>
      </c>
      <c r="P41" s="16">
        <v>0</v>
      </c>
      <c r="Q41" s="16">
        <v>0</v>
      </c>
      <c r="R41" s="16">
        <v>0</v>
      </c>
      <c r="S41" s="16">
        <v>0</v>
      </c>
      <c r="T41" s="16">
        <v>0</v>
      </c>
      <c r="U41" s="16">
        <v>0</v>
      </c>
      <c r="V41" s="16">
        <v>0</v>
      </c>
      <c r="W41" s="16">
        <v>0</v>
      </c>
      <c r="X41" s="16">
        <v>16</v>
      </c>
      <c r="Y41" s="16">
        <v>0</v>
      </c>
      <c r="Z41" s="16">
        <v>0</v>
      </c>
      <c r="AA41" s="16">
        <v>0</v>
      </c>
      <c r="AB41" s="16">
        <v>16</v>
      </c>
      <c r="AC41" s="16">
        <v>0</v>
      </c>
      <c r="AD41" s="16">
        <v>0</v>
      </c>
      <c r="AE41" s="16">
        <v>0</v>
      </c>
      <c r="AF41" s="16">
        <v>0</v>
      </c>
      <c r="AG41" s="16">
        <v>0</v>
      </c>
      <c r="AH41" s="16">
        <v>0</v>
      </c>
      <c r="AI41" s="16">
        <v>0</v>
      </c>
      <c r="AJ41" s="16">
        <v>0</v>
      </c>
      <c r="AK41" s="16">
        <v>0</v>
      </c>
      <c r="AL41" s="16">
        <v>0</v>
      </c>
      <c r="AM41" s="16">
        <v>0</v>
      </c>
      <c r="AN41" s="16">
        <v>0</v>
      </c>
      <c r="AO41" s="16">
        <v>0</v>
      </c>
      <c r="AP41" s="16">
        <v>0</v>
      </c>
      <c r="AQ41" s="16">
        <v>0</v>
      </c>
      <c r="AR41" s="16">
        <v>0</v>
      </c>
      <c r="AS41" s="16">
        <v>0</v>
      </c>
      <c r="AT41" s="16">
        <v>8</v>
      </c>
      <c r="AU41" s="16">
        <v>0</v>
      </c>
      <c r="AV41" s="16">
        <v>0</v>
      </c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0</v>
      </c>
      <c r="BD41" s="16">
        <v>0</v>
      </c>
      <c r="BE41" s="16">
        <v>0</v>
      </c>
      <c r="BF41" s="16">
        <v>0</v>
      </c>
      <c r="BG41" s="16">
        <v>0</v>
      </c>
      <c r="BH41" s="16">
        <v>0</v>
      </c>
      <c r="BI41" s="16">
        <v>0</v>
      </c>
      <c r="BJ41" s="16">
        <v>0</v>
      </c>
      <c r="BK41" s="16">
        <v>0</v>
      </c>
      <c r="BL41" s="16">
        <v>0</v>
      </c>
      <c r="BM41" s="16">
        <v>0</v>
      </c>
      <c r="BN41" s="16">
        <v>0</v>
      </c>
      <c r="BO41" s="16">
        <v>0</v>
      </c>
      <c r="BP41" s="16">
        <v>0</v>
      </c>
      <c r="BQ41" s="16">
        <v>0</v>
      </c>
      <c r="BR41" s="16">
        <v>0</v>
      </c>
      <c r="BS41" s="207">
        <f t="shared" si="20"/>
        <v>32</v>
      </c>
      <c r="BT41" s="207">
        <f t="shared" si="21"/>
        <v>0</v>
      </c>
      <c r="BU41" s="207">
        <f t="shared" si="34"/>
        <v>16</v>
      </c>
      <c r="BV41" s="207">
        <f t="shared" si="23"/>
        <v>16</v>
      </c>
      <c r="BW41" s="207">
        <f t="shared" si="24"/>
        <v>0</v>
      </c>
      <c r="BX41" s="207">
        <f t="shared" si="25"/>
        <v>0</v>
      </c>
      <c r="BY41" s="207">
        <f t="shared" si="26"/>
        <v>0</v>
      </c>
      <c r="BZ41" s="207">
        <f t="shared" si="27"/>
        <v>8</v>
      </c>
      <c r="CA41" s="207">
        <f t="shared" si="28"/>
        <v>0</v>
      </c>
      <c r="CB41" s="207">
        <f t="shared" si="29"/>
        <v>0</v>
      </c>
      <c r="CC41" s="207">
        <f t="shared" si="30"/>
        <v>0</v>
      </c>
      <c r="CD41" s="207">
        <f t="shared" si="31"/>
        <v>0</v>
      </c>
      <c r="CE41" s="207">
        <f t="shared" si="35"/>
        <v>72</v>
      </c>
    </row>
    <row r="42" spans="1:83" ht="12" customHeight="1" x14ac:dyDescent="0.2">
      <c r="A42" s="6">
        <v>3</v>
      </c>
      <c r="B42" s="49" t="str">
        <f t="shared" si="17"/>
        <v>Arrascue Acosta LeslyeMP004</v>
      </c>
      <c r="C42" s="117" t="str">
        <f t="shared" si="33"/>
        <v>Arrascue Acosta Leslye</v>
      </c>
      <c r="D42" s="49" t="str">
        <f>VLOOKUP(C42,Datos!$B$13:$C$83,2,0)</f>
        <v>VIGENTE</v>
      </c>
      <c r="E42" s="50" t="s">
        <v>44</v>
      </c>
      <c r="F42" s="49" t="str">
        <f>IFERROR(VLOOKUP(H42,Datos!$J$2:$L$60,3,0),"OBSERVCIONES")</f>
        <v>PROCESO</v>
      </c>
      <c r="G42" s="49"/>
      <c r="H42" s="50" t="s">
        <v>42</v>
      </c>
      <c r="I42" s="49" t="s">
        <v>304</v>
      </c>
      <c r="J42" s="49" t="s">
        <v>2</v>
      </c>
      <c r="K42" s="16">
        <v>0</v>
      </c>
      <c r="L42" s="16">
        <v>40</v>
      </c>
      <c r="M42" s="16">
        <v>32</v>
      </c>
      <c r="N42" s="16">
        <v>16</v>
      </c>
      <c r="O42" s="16">
        <v>16</v>
      </c>
      <c r="P42" s="16">
        <v>24</v>
      </c>
      <c r="Q42" s="16">
        <v>40</v>
      </c>
      <c r="R42" s="16">
        <v>40</v>
      </c>
      <c r="S42" s="16">
        <v>40</v>
      </c>
      <c r="T42" s="16">
        <v>16</v>
      </c>
      <c r="U42" s="16">
        <v>24</v>
      </c>
      <c r="V42" s="16">
        <v>40</v>
      </c>
      <c r="W42" s="16">
        <v>40</v>
      </c>
      <c r="X42" s="16">
        <v>24</v>
      </c>
      <c r="Y42" s="16">
        <v>40</v>
      </c>
      <c r="Z42" s="16">
        <v>40</v>
      </c>
      <c r="AA42" s="16">
        <v>24</v>
      </c>
      <c r="AB42" s="16">
        <v>24</v>
      </c>
      <c r="AC42" s="16">
        <v>40</v>
      </c>
      <c r="AD42" s="16">
        <v>32</v>
      </c>
      <c r="AE42" s="16">
        <v>40</v>
      </c>
      <c r="AF42" s="16">
        <v>40</v>
      </c>
      <c r="AG42" s="16">
        <v>32</v>
      </c>
      <c r="AH42" s="16">
        <v>24</v>
      </c>
      <c r="AI42" s="16">
        <v>16</v>
      </c>
      <c r="AJ42" s="16">
        <v>40</v>
      </c>
      <c r="AK42" s="16">
        <v>32</v>
      </c>
      <c r="AL42" s="16">
        <v>40</v>
      </c>
      <c r="AM42" s="16">
        <v>32</v>
      </c>
      <c r="AN42" s="16">
        <v>40</v>
      </c>
      <c r="AO42" s="16">
        <v>40</v>
      </c>
      <c r="AP42" s="16">
        <v>40</v>
      </c>
      <c r="AQ42" s="16">
        <v>32</v>
      </c>
      <c r="AR42" s="16">
        <v>0</v>
      </c>
      <c r="AS42" s="16">
        <v>8</v>
      </c>
      <c r="AT42" s="16">
        <v>24</v>
      </c>
      <c r="AU42" s="16">
        <v>40</v>
      </c>
      <c r="AV42" s="16">
        <v>40</v>
      </c>
      <c r="AW42" s="16">
        <v>40</v>
      </c>
      <c r="AX42" s="16">
        <v>24</v>
      </c>
      <c r="AY42" s="16">
        <v>8</v>
      </c>
      <c r="AZ42" s="16">
        <v>40</v>
      </c>
      <c r="BA42" s="16">
        <v>40</v>
      </c>
      <c r="BB42" s="16">
        <v>40</v>
      </c>
      <c r="BC42" s="16">
        <v>40</v>
      </c>
      <c r="BD42" s="16">
        <v>40</v>
      </c>
      <c r="BE42" s="16">
        <v>0</v>
      </c>
      <c r="BF42" s="16">
        <v>0</v>
      </c>
      <c r="BG42" s="16">
        <v>0</v>
      </c>
      <c r="BH42" s="16">
        <v>0</v>
      </c>
      <c r="BI42" s="16">
        <v>0</v>
      </c>
      <c r="BJ42" s="16">
        <v>0</v>
      </c>
      <c r="BK42" s="16">
        <v>0</v>
      </c>
      <c r="BL42" s="16">
        <v>0</v>
      </c>
      <c r="BM42" s="16">
        <v>0</v>
      </c>
      <c r="BN42" s="16">
        <v>0</v>
      </c>
      <c r="BO42" s="16">
        <v>0</v>
      </c>
      <c r="BP42" s="16">
        <v>0</v>
      </c>
      <c r="BQ42" s="16">
        <v>0</v>
      </c>
      <c r="BR42" s="16">
        <v>0</v>
      </c>
      <c r="BS42" s="207">
        <f t="shared" ref="BS42:BS99" si="36">SUM(K42:O42)</f>
        <v>104</v>
      </c>
      <c r="BT42" s="207">
        <f t="shared" ref="BT42:BT99" si="37">SUM(P42:T42)</f>
        <v>160</v>
      </c>
      <c r="BU42" s="207">
        <f t="shared" si="34"/>
        <v>168</v>
      </c>
      <c r="BV42" s="207">
        <f t="shared" si="23"/>
        <v>128</v>
      </c>
      <c r="BW42" s="207">
        <f t="shared" ref="BW42:BW99" si="38">SUM(AD42:AH42)</f>
        <v>168</v>
      </c>
      <c r="BX42" s="207">
        <f t="shared" ref="BX42:BX99" si="39">SUM(AI42:AM42)</f>
        <v>160</v>
      </c>
      <c r="BY42" s="207">
        <f t="shared" ref="BY42:BY99" si="40">SUM(AN42:AS42)</f>
        <v>160</v>
      </c>
      <c r="BZ42" s="207">
        <f t="shared" ref="BZ42:BZ99" si="41">SUM(AT42:AX42)</f>
        <v>168</v>
      </c>
      <c r="CA42" s="207">
        <f t="shared" ref="CA42:CA99" si="42">SUM(AY42:BC42)</f>
        <v>168</v>
      </c>
      <c r="CB42" s="207">
        <f t="shared" ref="CB42:CB99" si="43">SUM(BD42:BH42)</f>
        <v>40</v>
      </c>
      <c r="CC42" s="207">
        <f t="shared" ref="CC42:CC99" si="44">SUM(BI42:BM42)</f>
        <v>0</v>
      </c>
      <c r="CD42" s="207">
        <f t="shared" ref="CD42:CD99" si="45">SUM(BN42:BR42)</f>
        <v>0</v>
      </c>
      <c r="CE42" s="207">
        <f t="shared" si="35"/>
        <v>1424</v>
      </c>
    </row>
    <row r="43" spans="1:83" ht="12" customHeight="1" x14ac:dyDescent="0.2">
      <c r="A43" s="6">
        <v>3</v>
      </c>
      <c r="B43" s="49" t="str">
        <f t="shared" si="17"/>
        <v>Ayala chira Juan CarlosMP004</v>
      </c>
      <c r="C43" s="117" t="str">
        <f t="shared" si="33"/>
        <v>Ayala chira Juan Carlos</v>
      </c>
      <c r="D43" s="49" t="str">
        <f>VLOOKUP(C43,Datos!$B$13:$C$83,2,0)</f>
        <v>VIGENTE</v>
      </c>
      <c r="E43" s="50" t="s">
        <v>44</v>
      </c>
      <c r="F43" s="49" t="str">
        <f>IFERROR(VLOOKUP(H43,Datos!$J$2:$L$60,3,0),"OBSERVCIONES")</f>
        <v>PROCESO</v>
      </c>
      <c r="G43" s="49"/>
      <c r="H43" s="50" t="s">
        <v>42</v>
      </c>
      <c r="I43" s="49" t="s">
        <v>304</v>
      </c>
      <c r="J43" s="49" t="s">
        <v>4</v>
      </c>
      <c r="K43" s="16">
        <v>0</v>
      </c>
      <c r="L43" s="16">
        <v>0</v>
      </c>
      <c r="M43" s="16">
        <v>0</v>
      </c>
      <c r="N43" s="16">
        <v>0</v>
      </c>
      <c r="O43" s="16">
        <v>0</v>
      </c>
      <c r="P43" s="16">
        <v>24</v>
      </c>
      <c r="Q43" s="16">
        <v>40</v>
      </c>
      <c r="R43" s="16">
        <v>40</v>
      </c>
      <c r="S43" s="16">
        <v>40</v>
      </c>
      <c r="T43" s="16">
        <v>16</v>
      </c>
      <c r="U43" s="16">
        <v>24</v>
      </c>
      <c r="V43" s="16">
        <v>40</v>
      </c>
      <c r="W43" s="16">
        <v>40</v>
      </c>
      <c r="X43" s="16">
        <v>40</v>
      </c>
      <c r="Y43" s="16">
        <v>40</v>
      </c>
      <c r="Z43" s="16">
        <v>40</v>
      </c>
      <c r="AA43" s="16">
        <v>24</v>
      </c>
      <c r="AB43" s="16">
        <v>40</v>
      </c>
      <c r="AC43" s="16">
        <v>40</v>
      </c>
      <c r="AD43" s="16">
        <v>32</v>
      </c>
      <c r="AE43" s="16">
        <v>40</v>
      </c>
      <c r="AF43" s="16">
        <v>40</v>
      </c>
      <c r="AG43" s="16">
        <v>40</v>
      </c>
      <c r="AH43" s="16">
        <v>24</v>
      </c>
      <c r="AI43" s="16">
        <v>16</v>
      </c>
      <c r="AJ43" s="16">
        <v>40</v>
      </c>
      <c r="AK43" s="16">
        <v>40</v>
      </c>
      <c r="AL43" s="16">
        <v>40</v>
      </c>
      <c r="AM43" s="16">
        <v>32</v>
      </c>
      <c r="AN43" s="16">
        <v>40</v>
      </c>
      <c r="AO43" s="16">
        <v>40</v>
      </c>
      <c r="AP43" s="16">
        <v>40</v>
      </c>
      <c r="AQ43" s="16">
        <v>32</v>
      </c>
      <c r="AR43" s="16">
        <v>0</v>
      </c>
      <c r="AS43" s="16">
        <v>8</v>
      </c>
      <c r="AT43" s="16">
        <v>32</v>
      </c>
      <c r="AU43" s="16">
        <v>40</v>
      </c>
      <c r="AV43" s="16">
        <v>40</v>
      </c>
      <c r="AW43" s="16">
        <v>40</v>
      </c>
      <c r="AX43" s="16">
        <v>24</v>
      </c>
      <c r="AY43" s="16">
        <v>8</v>
      </c>
      <c r="AZ43" s="16">
        <v>40</v>
      </c>
      <c r="BA43" s="16">
        <v>40</v>
      </c>
      <c r="BB43" s="16">
        <v>40</v>
      </c>
      <c r="BC43" s="16">
        <v>40</v>
      </c>
      <c r="BD43" s="16">
        <v>40</v>
      </c>
      <c r="BE43" s="16">
        <v>0</v>
      </c>
      <c r="BF43" s="16">
        <v>0</v>
      </c>
      <c r="BG43" s="16">
        <v>0</v>
      </c>
      <c r="BH43" s="16">
        <v>0</v>
      </c>
      <c r="BI43" s="16">
        <v>0</v>
      </c>
      <c r="BJ43" s="16">
        <v>0</v>
      </c>
      <c r="BK43" s="16">
        <v>0</v>
      </c>
      <c r="BL43" s="16">
        <v>0</v>
      </c>
      <c r="BM43" s="16">
        <v>0</v>
      </c>
      <c r="BN43" s="16">
        <v>0</v>
      </c>
      <c r="BO43" s="16">
        <v>0</v>
      </c>
      <c r="BP43" s="16">
        <v>0</v>
      </c>
      <c r="BQ43" s="16">
        <v>0</v>
      </c>
      <c r="BR43" s="16">
        <v>0</v>
      </c>
      <c r="BS43" s="207">
        <f t="shared" si="36"/>
        <v>0</v>
      </c>
      <c r="BT43" s="207">
        <f t="shared" si="37"/>
        <v>160</v>
      </c>
      <c r="BU43" s="207">
        <f t="shared" si="34"/>
        <v>184</v>
      </c>
      <c r="BV43" s="207">
        <f t="shared" si="23"/>
        <v>144</v>
      </c>
      <c r="BW43" s="207">
        <f t="shared" si="38"/>
        <v>176</v>
      </c>
      <c r="BX43" s="207">
        <f t="shared" si="39"/>
        <v>168</v>
      </c>
      <c r="BY43" s="207">
        <f t="shared" si="40"/>
        <v>160</v>
      </c>
      <c r="BZ43" s="207">
        <f t="shared" si="41"/>
        <v>176</v>
      </c>
      <c r="CA43" s="207">
        <f t="shared" si="42"/>
        <v>168</v>
      </c>
      <c r="CB43" s="207">
        <f t="shared" si="43"/>
        <v>40</v>
      </c>
      <c r="CC43" s="207">
        <f t="shared" si="44"/>
        <v>0</v>
      </c>
      <c r="CD43" s="207">
        <f t="shared" si="45"/>
        <v>0</v>
      </c>
      <c r="CE43" s="207">
        <f t="shared" si="35"/>
        <v>1376</v>
      </c>
    </row>
    <row r="44" spans="1:83" ht="12" customHeight="1" x14ac:dyDescent="0.2">
      <c r="A44" s="6">
        <v>5</v>
      </c>
      <c r="B44" s="49" t="str">
        <f t="shared" si="17"/>
        <v>Guzman Arteaga JosephINASISTENCIAS</v>
      </c>
      <c r="C44" s="117" t="str">
        <f>J44</f>
        <v>Guzman Arteaga Joseph</v>
      </c>
      <c r="D44" s="49" t="str">
        <f>VLOOKUP(C44,Datos!$B$13:$C$83,2,0)</f>
        <v>VIGENTE</v>
      </c>
      <c r="E44" s="50" t="s">
        <v>208</v>
      </c>
      <c r="F44" s="49"/>
      <c r="G44" s="49" t="str">
        <f>IFERROR(VLOOKUP(H44,Datos!$J$2:$L$60,3,0),"OBSERVACIONES")</f>
        <v>OBSERVACIONES</v>
      </c>
      <c r="H44" s="50" t="s">
        <v>208</v>
      </c>
      <c r="I44" s="49" t="s">
        <v>210</v>
      </c>
      <c r="J44" s="49" t="s">
        <v>16</v>
      </c>
      <c r="K44" s="16">
        <v>0</v>
      </c>
      <c r="L44" s="16">
        <v>0</v>
      </c>
      <c r="M44" s="16">
        <v>0</v>
      </c>
      <c r="N44" s="16">
        <v>0</v>
      </c>
      <c r="O44" s="16">
        <v>0</v>
      </c>
      <c r="P44" s="16">
        <v>0</v>
      </c>
      <c r="Q44" s="16">
        <v>0</v>
      </c>
      <c r="R44" s="16">
        <v>0</v>
      </c>
      <c r="S44" s="16">
        <v>0</v>
      </c>
      <c r="T44" s="16">
        <v>0</v>
      </c>
      <c r="U44" s="16">
        <v>16</v>
      </c>
      <c r="V44" s="16">
        <v>0</v>
      </c>
      <c r="W44" s="16">
        <v>0</v>
      </c>
      <c r="X44" s="16">
        <v>0</v>
      </c>
      <c r="Y44" s="16">
        <v>0</v>
      </c>
      <c r="Z44" s="16">
        <v>0</v>
      </c>
      <c r="AA44" s="16">
        <v>0</v>
      </c>
      <c r="AB44" s="16">
        <v>0</v>
      </c>
      <c r="AC44" s="16">
        <v>0</v>
      </c>
      <c r="AD44" s="16">
        <v>0</v>
      </c>
      <c r="AE44" s="16">
        <v>0</v>
      </c>
      <c r="AF44" s="16">
        <v>0</v>
      </c>
      <c r="AG44" s="16">
        <v>8</v>
      </c>
      <c r="AH44" s="16">
        <v>0</v>
      </c>
      <c r="AI44" s="16">
        <v>0</v>
      </c>
      <c r="AJ44" s="16">
        <v>0</v>
      </c>
      <c r="AK44" s="16">
        <v>0</v>
      </c>
      <c r="AL44" s="16">
        <v>8</v>
      </c>
      <c r="AM44" s="16">
        <v>0</v>
      </c>
      <c r="AN44" s="16">
        <v>0</v>
      </c>
      <c r="AO44" s="16">
        <v>8</v>
      </c>
      <c r="AP44" s="16">
        <v>0</v>
      </c>
      <c r="AQ44" s="16">
        <v>0</v>
      </c>
      <c r="AR44" s="16">
        <v>0</v>
      </c>
      <c r="AS44" s="16">
        <v>0</v>
      </c>
      <c r="AT44" s="16">
        <v>0</v>
      </c>
      <c r="AU44" s="16">
        <v>0</v>
      </c>
      <c r="AV44" s="16">
        <v>0</v>
      </c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0</v>
      </c>
      <c r="BD44" s="16">
        <v>0</v>
      </c>
      <c r="BE44" s="16">
        <v>0</v>
      </c>
      <c r="BF44" s="16">
        <v>0</v>
      </c>
      <c r="BG44" s="16">
        <v>0</v>
      </c>
      <c r="BH44" s="16">
        <v>0</v>
      </c>
      <c r="BI44" s="16">
        <v>0</v>
      </c>
      <c r="BJ44" s="16">
        <v>0</v>
      </c>
      <c r="BK44" s="16">
        <v>0</v>
      </c>
      <c r="BL44" s="16">
        <v>0</v>
      </c>
      <c r="BM44" s="16">
        <v>0</v>
      </c>
      <c r="BN44" s="16">
        <v>0</v>
      </c>
      <c r="BO44" s="16">
        <v>0</v>
      </c>
      <c r="BP44" s="16">
        <v>0</v>
      </c>
      <c r="BQ44" s="16">
        <v>0</v>
      </c>
      <c r="BR44" s="16">
        <v>0</v>
      </c>
      <c r="BS44" s="207">
        <f t="shared" si="36"/>
        <v>0</v>
      </c>
      <c r="BT44" s="207">
        <f t="shared" si="37"/>
        <v>0</v>
      </c>
      <c r="BU44" s="207">
        <f t="shared" si="34"/>
        <v>16</v>
      </c>
      <c r="BV44" s="207">
        <f t="shared" si="23"/>
        <v>0</v>
      </c>
      <c r="BW44" s="207">
        <f t="shared" si="38"/>
        <v>8</v>
      </c>
      <c r="BX44" s="207">
        <f t="shared" si="39"/>
        <v>8</v>
      </c>
      <c r="BY44" s="207">
        <f t="shared" si="40"/>
        <v>8</v>
      </c>
      <c r="BZ44" s="207">
        <f t="shared" si="41"/>
        <v>0</v>
      </c>
      <c r="CA44" s="207">
        <f t="shared" si="42"/>
        <v>0</v>
      </c>
      <c r="CB44" s="207">
        <f t="shared" si="43"/>
        <v>0</v>
      </c>
      <c r="CC44" s="207">
        <f t="shared" si="44"/>
        <v>0</v>
      </c>
      <c r="CD44" s="207">
        <f t="shared" si="45"/>
        <v>0</v>
      </c>
      <c r="CE44" s="207">
        <f t="shared" si="35"/>
        <v>40</v>
      </c>
    </row>
    <row r="45" spans="1:83" ht="12" customHeight="1" x14ac:dyDescent="0.2">
      <c r="A45" s="6">
        <v>4</v>
      </c>
      <c r="B45" s="49" t="str">
        <f t="shared" si="17"/>
        <v>Guzman Arteaga JosephVACACIONES</v>
      </c>
      <c r="C45" s="117" t="str">
        <f>J45</f>
        <v>Guzman Arteaga Joseph</v>
      </c>
      <c r="D45" s="49" t="str">
        <f>VLOOKUP(C45,Datos!$B$13:$C$83,2,0)</f>
        <v>VIGENTE</v>
      </c>
      <c r="E45" s="50" t="s">
        <v>209</v>
      </c>
      <c r="F45" s="49"/>
      <c r="G45" s="49" t="str">
        <f>IFERROR(VLOOKUP(H45,Datos!$J$2:$L$60,3,0),"OBSERVACIONES")</f>
        <v>OBSERVACIONES</v>
      </c>
      <c r="H45" s="50" t="s">
        <v>209</v>
      </c>
      <c r="I45" s="49" t="s">
        <v>243</v>
      </c>
      <c r="J45" s="49" t="s">
        <v>16</v>
      </c>
      <c r="K45" s="16">
        <v>8</v>
      </c>
      <c r="L45" s="16">
        <v>8</v>
      </c>
      <c r="M45" s="16">
        <v>40</v>
      </c>
      <c r="N45" s="16">
        <v>40</v>
      </c>
      <c r="O45" s="16">
        <v>16</v>
      </c>
      <c r="P45" s="16">
        <v>16</v>
      </c>
      <c r="Q45" s="16">
        <v>0</v>
      </c>
      <c r="R45" s="16">
        <v>0</v>
      </c>
      <c r="S45" s="16">
        <v>8</v>
      </c>
      <c r="T45" s="16">
        <v>16</v>
      </c>
      <c r="U45" s="16">
        <v>0</v>
      </c>
      <c r="V45" s="16">
        <v>0</v>
      </c>
      <c r="W45" s="16">
        <v>0</v>
      </c>
      <c r="X45" s="16">
        <v>0</v>
      </c>
      <c r="Y45" s="16">
        <v>0</v>
      </c>
      <c r="Z45" s="16">
        <v>0</v>
      </c>
      <c r="AA45" s="16">
        <v>0</v>
      </c>
      <c r="AB45" s="16">
        <v>0</v>
      </c>
      <c r="AC45" s="16">
        <v>0</v>
      </c>
      <c r="AD45" s="16">
        <v>0</v>
      </c>
      <c r="AE45" s="16">
        <v>0</v>
      </c>
      <c r="AF45" s="16">
        <v>0</v>
      </c>
      <c r="AG45" s="16">
        <v>0</v>
      </c>
      <c r="AH45" s="16">
        <v>0</v>
      </c>
      <c r="AI45" s="16">
        <v>0</v>
      </c>
      <c r="AJ45" s="16">
        <v>0</v>
      </c>
      <c r="AK45" s="16">
        <v>0</v>
      </c>
      <c r="AL45" s="16">
        <v>0</v>
      </c>
      <c r="AM45" s="16">
        <v>0</v>
      </c>
      <c r="AN45" s="16">
        <v>0</v>
      </c>
      <c r="AO45" s="16">
        <v>0</v>
      </c>
      <c r="AP45" s="16">
        <v>0</v>
      </c>
      <c r="AQ45" s="16">
        <v>0</v>
      </c>
      <c r="AR45" s="16">
        <v>0</v>
      </c>
      <c r="AS45" s="16">
        <v>0</v>
      </c>
      <c r="AT45" s="16">
        <v>0</v>
      </c>
      <c r="AU45" s="16">
        <v>0</v>
      </c>
      <c r="AV45" s="16">
        <v>0</v>
      </c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0</v>
      </c>
      <c r="BD45" s="16">
        <v>0</v>
      </c>
      <c r="BE45" s="16">
        <v>0</v>
      </c>
      <c r="BF45" s="16">
        <v>0</v>
      </c>
      <c r="BG45" s="16">
        <v>0</v>
      </c>
      <c r="BH45" s="16">
        <v>0</v>
      </c>
      <c r="BI45" s="16">
        <v>0</v>
      </c>
      <c r="BJ45" s="16">
        <v>0</v>
      </c>
      <c r="BK45" s="16">
        <v>0</v>
      </c>
      <c r="BL45" s="16">
        <v>0</v>
      </c>
      <c r="BM45" s="16">
        <v>0</v>
      </c>
      <c r="BN45" s="16">
        <v>0</v>
      </c>
      <c r="BO45" s="16">
        <v>0</v>
      </c>
      <c r="BP45" s="16">
        <v>0</v>
      </c>
      <c r="BQ45" s="16">
        <v>0</v>
      </c>
      <c r="BR45" s="16">
        <v>0</v>
      </c>
      <c r="BS45" s="207">
        <f t="shared" si="36"/>
        <v>112</v>
      </c>
      <c r="BT45" s="207">
        <f t="shared" si="37"/>
        <v>40</v>
      </c>
      <c r="BU45" s="207">
        <f t="shared" si="34"/>
        <v>0</v>
      </c>
      <c r="BV45" s="207">
        <f t="shared" si="23"/>
        <v>0</v>
      </c>
      <c r="BW45" s="207">
        <f t="shared" si="38"/>
        <v>0</v>
      </c>
      <c r="BX45" s="207">
        <f t="shared" si="39"/>
        <v>0</v>
      </c>
      <c r="BY45" s="207">
        <f t="shared" si="40"/>
        <v>0</v>
      </c>
      <c r="BZ45" s="207">
        <f t="shared" si="41"/>
        <v>0</v>
      </c>
      <c r="CA45" s="207">
        <f t="shared" si="42"/>
        <v>0</v>
      </c>
      <c r="CB45" s="207">
        <f t="shared" si="43"/>
        <v>0</v>
      </c>
      <c r="CC45" s="207">
        <f t="shared" si="44"/>
        <v>0</v>
      </c>
      <c r="CD45" s="207">
        <f t="shared" si="45"/>
        <v>0</v>
      </c>
      <c r="CE45" s="207">
        <f t="shared" si="35"/>
        <v>152</v>
      </c>
    </row>
    <row r="46" spans="1:83" ht="12" customHeight="1" x14ac:dyDescent="0.2">
      <c r="A46" s="6">
        <v>3</v>
      </c>
      <c r="B46" s="49" t="str">
        <f t="shared" si="17"/>
        <v>Guzman Arteaga JosephMP004</v>
      </c>
      <c r="C46" s="117" t="str">
        <f t="shared" si="33"/>
        <v>Guzman Arteaga Joseph</v>
      </c>
      <c r="D46" s="49" t="str">
        <f>VLOOKUP(C46,Datos!$B$13:$C$83,2,0)</f>
        <v>VIGENTE</v>
      </c>
      <c r="E46" s="50" t="s">
        <v>44</v>
      </c>
      <c r="F46" s="49" t="str">
        <f>IFERROR(VLOOKUP(H46,Datos!$J$2:$L$60,3,0),"OBSERVCIONES")</f>
        <v>PROCESO</v>
      </c>
      <c r="G46" s="49"/>
      <c r="H46" s="50" t="s">
        <v>42</v>
      </c>
      <c r="I46" s="49" t="s">
        <v>304</v>
      </c>
      <c r="J46" s="49" t="s">
        <v>16</v>
      </c>
      <c r="K46" s="16">
        <v>32</v>
      </c>
      <c r="L46" s="16">
        <v>32</v>
      </c>
      <c r="M46" s="16">
        <v>0</v>
      </c>
      <c r="N46" s="16">
        <v>0</v>
      </c>
      <c r="O46" s="16">
        <v>0</v>
      </c>
      <c r="P46" s="16">
        <v>8</v>
      </c>
      <c r="Q46" s="16">
        <v>40</v>
      </c>
      <c r="R46" s="16">
        <v>40</v>
      </c>
      <c r="S46" s="16">
        <v>32</v>
      </c>
      <c r="T46" s="16">
        <v>0</v>
      </c>
      <c r="U46" s="16">
        <v>8</v>
      </c>
      <c r="V46" s="16">
        <v>40</v>
      </c>
      <c r="W46" s="16">
        <v>40</v>
      </c>
      <c r="X46" s="16">
        <v>40</v>
      </c>
      <c r="Y46" s="16">
        <v>40</v>
      </c>
      <c r="Z46" s="16">
        <v>40</v>
      </c>
      <c r="AA46" s="16">
        <v>24</v>
      </c>
      <c r="AB46" s="16">
        <v>40</v>
      </c>
      <c r="AC46" s="16">
        <v>40</v>
      </c>
      <c r="AD46" s="16">
        <v>32</v>
      </c>
      <c r="AE46" s="16">
        <v>40</v>
      </c>
      <c r="AF46" s="16">
        <v>40</v>
      </c>
      <c r="AG46" s="16">
        <v>32</v>
      </c>
      <c r="AH46" s="16">
        <v>24</v>
      </c>
      <c r="AI46" s="16">
        <v>16</v>
      </c>
      <c r="AJ46" s="16">
        <v>40</v>
      </c>
      <c r="AK46" s="16">
        <v>40</v>
      </c>
      <c r="AL46" s="16">
        <v>32</v>
      </c>
      <c r="AM46" s="16">
        <v>32</v>
      </c>
      <c r="AN46" s="16">
        <v>40</v>
      </c>
      <c r="AO46" s="16">
        <v>32</v>
      </c>
      <c r="AP46" s="16">
        <v>40</v>
      </c>
      <c r="AQ46" s="16">
        <v>32</v>
      </c>
      <c r="AR46" s="16">
        <v>0</v>
      </c>
      <c r="AS46" s="16">
        <v>8</v>
      </c>
      <c r="AT46" s="16">
        <v>32</v>
      </c>
      <c r="AU46" s="16">
        <v>40</v>
      </c>
      <c r="AV46" s="16">
        <v>40</v>
      </c>
      <c r="AW46" s="16">
        <v>40</v>
      </c>
      <c r="AX46" s="16">
        <v>24</v>
      </c>
      <c r="AY46" s="16">
        <v>8</v>
      </c>
      <c r="AZ46" s="16">
        <v>40</v>
      </c>
      <c r="BA46" s="16">
        <v>40</v>
      </c>
      <c r="BB46" s="16">
        <v>40</v>
      </c>
      <c r="BC46" s="16">
        <v>40</v>
      </c>
      <c r="BD46" s="16">
        <v>40</v>
      </c>
      <c r="BE46" s="16">
        <v>0</v>
      </c>
      <c r="BF46" s="16">
        <v>0</v>
      </c>
      <c r="BG46" s="16">
        <v>0</v>
      </c>
      <c r="BH46" s="16">
        <v>0</v>
      </c>
      <c r="BI46" s="16">
        <v>0</v>
      </c>
      <c r="BJ46" s="16">
        <v>0</v>
      </c>
      <c r="BK46" s="16">
        <v>0</v>
      </c>
      <c r="BL46" s="16">
        <v>0</v>
      </c>
      <c r="BM46" s="16">
        <v>0</v>
      </c>
      <c r="BN46" s="16">
        <v>0</v>
      </c>
      <c r="BO46" s="16">
        <v>0</v>
      </c>
      <c r="BP46" s="16">
        <v>0</v>
      </c>
      <c r="BQ46" s="16">
        <v>0</v>
      </c>
      <c r="BR46" s="16">
        <v>0</v>
      </c>
      <c r="BS46" s="207">
        <f t="shared" si="36"/>
        <v>64</v>
      </c>
      <c r="BT46" s="207">
        <f t="shared" si="37"/>
        <v>120</v>
      </c>
      <c r="BU46" s="207">
        <f t="shared" si="34"/>
        <v>168</v>
      </c>
      <c r="BV46" s="207">
        <f t="shared" si="23"/>
        <v>144</v>
      </c>
      <c r="BW46" s="207">
        <f t="shared" si="38"/>
        <v>168</v>
      </c>
      <c r="BX46" s="207">
        <f t="shared" si="39"/>
        <v>160</v>
      </c>
      <c r="BY46" s="207">
        <f t="shared" si="40"/>
        <v>152</v>
      </c>
      <c r="BZ46" s="207">
        <f t="shared" si="41"/>
        <v>176</v>
      </c>
      <c r="CA46" s="207">
        <f t="shared" si="42"/>
        <v>168</v>
      </c>
      <c r="CB46" s="207">
        <f t="shared" si="43"/>
        <v>40</v>
      </c>
      <c r="CC46" s="207">
        <f t="shared" si="44"/>
        <v>0</v>
      </c>
      <c r="CD46" s="207">
        <f t="shared" si="45"/>
        <v>0</v>
      </c>
      <c r="CE46" s="207">
        <f t="shared" si="35"/>
        <v>1360</v>
      </c>
    </row>
    <row r="47" spans="1:83" ht="12" customHeight="1" x14ac:dyDescent="0.2">
      <c r="A47" s="6">
        <v>4</v>
      </c>
      <c r="B47" s="49" t="str">
        <f t="shared" si="17"/>
        <v>Chura Ingalla Percy WilliamVACACIONES</v>
      </c>
      <c r="C47" s="117" t="str">
        <f t="shared" si="33"/>
        <v>Chura Ingalla Percy William</v>
      </c>
      <c r="D47" s="49" t="str">
        <f>VLOOKUP(C47,Datos!$B$13:$C$83,2,0)</f>
        <v>VIGENTE</v>
      </c>
      <c r="E47" s="50" t="s">
        <v>209</v>
      </c>
      <c r="F47" s="49"/>
      <c r="G47" s="49" t="str">
        <f>IFERROR(VLOOKUP(H47,Datos!$J$2:$L$60,3,0),"OBSERVACIONES")</f>
        <v>OBSERVACIONES</v>
      </c>
      <c r="H47" s="50" t="s">
        <v>209</v>
      </c>
      <c r="I47" s="49" t="s">
        <v>243</v>
      </c>
      <c r="J47" s="49" t="s">
        <v>8</v>
      </c>
      <c r="K47" s="16">
        <v>0</v>
      </c>
      <c r="L47" s="16">
        <v>0</v>
      </c>
      <c r="M47" s="16">
        <v>40</v>
      </c>
      <c r="N47" s="16">
        <v>0</v>
      </c>
      <c r="O47" s="16">
        <v>0</v>
      </c>
      <c r="P47" s="16">
        <v>0</v>
      </c>
      <c r="Q47" s="16">
        <v>0</v>
      </c>
      <c r="R47" s="16">
        <v>0</v>
      </c>
      <c r="S47" s="16">
        <v>0</v>
      </c>
      <c r="T47" s="16">
        <v>0</v>
      </c>
      <c r="U47" s="16">
        <v>0</v>
      </c>
      <c r="V47" s="16">
        <v>0</v>
      </c>
      <c r="W47" s="16">
        <v>0</v>
      </c>
      <c r="X47" s="16">
        <v>0</v>
      </c>
      <c r="Y47" s="16">
        <v>0</v>
      </c>
      <c r="Z47" s="16">
        <v>0</v>
      </c>
      <c r="AA47" s="16">
        <v>0</v>
      </c>
      <c r="AB47" s="16">
        <v>0</v>
      </c>
      <c r="AC47" s="16">
        <v>0</v>
      </c>
      <c r="AD47" s="16">
        <v>0</v>
      </c>
      <c r="AE47" s="16">
        <v>0</v>
      </c>
      <c r="AF47" s="16">
        <v>0</v>
      </c>
      <c r="AG47" s="16">
        <v>0</v>
      </c>
      <c r="AH47" s="16">
        <v>0</v>
      </c>
      <c r="AI47" s="16">
        <v>0</v>
      </c>
      <c r="AJ47" s="16">
        <v>0</v>
      </c>
      <c r="AK47" s="16">
        <v>0</v>
      </c>
      <c r="AL47" s="16">
        <v>0</v>
      </c>
      <c r="AM47" s="16">
        <v>0</v>
      </c>
      <c r="AN47" s="16">
        <v>0</v>
      </c>
      <c r="AO47" s="16">
        <v>0</v>
      </c>
      <c r="AP47" s="16">
        <v>0</v>
      </c>
      <c r="AQ47" s="16">
        <v>0</v>
      </c>
      <c r="AR47" s="16">
        <v>0</v>
      </c>
      <c r="AS47" s="16">
        <v>0</v>
      </c>
      <c r="AT47" s="16">
        <v>0</v>
      </c>
      <c r="AU47" s="16">
        <v>0</v>
      </c>
      <c r="AV47" s="16">
        <v>0</v>
      </c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0</v>
      </c>
      <c r="BD47" s="16">
        <v>0</v>
      </c>
      <c r="BE47" s="16">
        <v>0</v>
      </c>
      <c r="BF47" s="16">
        <v>0</v>
      </c>
      <c r="BG47" s="16">
        <v>0</v>
      </c>
      <c r="BH47" s="16">
        <v>0</v>
      </c>
      <c r="BI47" s="16">
        <v>0</v>
      </c>
      <c r="BJ47" s="16">
        <v>0</v>
      </c>
      <c r="BK47" s="16">
        <v>0</v>
      </c>
      <c r="BL47" s="16">
        <v>0</v>
      </c>
      <c r="BM47" s="16">
        <v>0</v>
      </c>
      <c r="BN47" s="16">
        <v>0</v>
      </c>
      <c r="BO47" s="16">
        <v>0</v>
      </c>
      <c r="BP47" s="16">
        <v>0</v>
      </c>
      <c r="BQ47" s="16">
        <v>0</v>
      </c>
      <c r="BR47" s="16">
        <v>0</v>
      </c>
      <c r="BS47" s="207">
        <f t="shared" si="36"/>
        <v>40</v>
      </c>
      <c r="BT47" s="207">
        <f t="shared" si="37"/>
        <v>0</v>
      </c>
      <c r="BU47" s="207">
        <f t="shared" si="34"/>
        <v>0</v>
      </c>
      <c r="BV47" s="207">
        <f t="shared" si="23"/>
        <v>0</v>
      </c>
      <c r="BW47" s="207">
        <f t="shared" si="38"/>
        <v>0</v>
      </c>
      <c r="BX47" s="207">
        <f t="shared" si="39"/>
        <v>0</v>
      </c>
      <c r="BY47" s="207">
        <f t="shared" si="40"/>
        <v>0</v>
      </c>
      <c r="BZ47" s="207">
        <f t="shared" si="41"/>
        <v>0</v>
      </c>
      <c r="CA47" s="207">
        <f t="shared" si="42"/>
        <v>0</v>
      </c>
      <c r="CB47" s="207">
        <f t="shared" si="43"/>
        <v>0</v>
      </c>
      <c r="CC47" s="207">
        <f t="shared" si="44"/>
        <v>0</v>
      </c>
      <c r="CD47" s="207">
        <f t="shared" si="45"/>
        <v>0</v>
      </c>
      <c r="CE47" s="207">
        <f t="shared" si="35"/>
        <v>40</v>
      </c>
    </row>
    <row r="48" spans="1:83" ht="12" customHeight="1" x14ac:dyDescent="0.2">
      <c r="A48" s="6">
        <v>5</v>
      </c>
      <c r="B48" s="49" t="str">
        <f t="shared" si="17"/>
        <v>Chura Ingalla Percy WilliamINASISTENCIAS</v>
      </c>
      <c r="C48" s="117" t="str">
        <f t="shared" ref="C48:C89" si="46">J48</f>
        <v>Chura Ingalla Percy William</v>
      </c>
      <c r="D48" s="49" t="str">
        <f>VLOOKUP(C48,Datos!$B$13:$C$83,2,0)</f>
        <v>VIGENTE</v>
      </c>
      <c r="E48" s="50" t="s">
        <v>208</v>
      </c>
      <c r="F48" s="49"/>
      <c r="G48" s="49" t="str">
        <f>IFERROR(VLOOKUP(H48,Datos!$J$2:$L$60,3,0),"OBSERVACIONES")</f>
        <v>OBSERVACIONES</v>
      </c>
      <c r="H48" s="50" t="s">
        <v>208</v>
      </c>
      <c r="I48" s="49" t="s">
        <v>210</v>
      </c>
      <c r="J48" s="49" t="s">
        <v>8</v>
      </c>
      <c r="K48" s="16">
        <v>0</v>
      </c>
      <c r="L48" s="16">
        <v>0</v>
      </c>
      <c r="M48" s="16">
        <v>0</v>
      </c>
      <c r="N48" s="16">
        <v>0</v>
      </c>
      <c r="O48" s="16">
        <v>0</v>
      </c>
      <c r="P48" s="16">
        <v>0</v>
      </c>
      <c r="Q48" s="16">
        <v>0</v>
      </c>
      <c r="R48" s="16">
        <v>0</v>
      </c>
      <c r="S48" s="16">
        <v>0</v>
      </c>
      <c r="T48" s="16">
        <v>0</v>
      </c>
      <c r="U48" s="16">
        <v>0</v>
      </c>
      <c r="V48" s="16">
        <v>8</v>
      </c>
      <c r="W48" s="16">
        <v>0</v>
      </c>
      <c r="X48" s="16">
        <v>0</v>
      </c>
      <c r="Y48" s="16">
        <v>0</v>
      </c>
      <c r="Z48" s="16">
        <v>0</v>
      </c>
      <c r="AA48" s="16">
        <v>0</v>
      </c>
      <c r="AB48" s="16">
        <v>0</v>
      </c>
      <c r="AC48" s="16">
        <v>0</v>
      </c>
      <c r="AD48" s="16">
        <v>0</v>
      </c>
      <c r="AE48" s="16">
        <v>0</v>
      </c>
      <c r="AF48" s="16">
        <v>0</v>
      </c>
      <c r="AG48" s="16">
        <v>0</v>
      </c>
      <c r="AH48" s="16">
        <v>0</v>
      </c>
      <c r="AI48" s="16">
        <v>0</v>
      </c>
      <c r="AJ48" s="16">
        <v>0</v>
      </c>
      <c r="AK48" s="16">
        <v>0</v>
      </c>
      <c r="AL48" s="16">
        <v>0</v>
      </c>
      <c r="AM48" s="16">
        <v>0</v>
      </c>
      <c r="AN48" s="16">
        <v>0</v>
      </c>
      <c r="AO48" s="16">
        <v>0</v>
      </c>
      <c r="AP48" s="16">
        <v>0</v>
      </c>
      <c r="AQ48" s="16">
        <v>0</v>
      </c>
      <c r="AR48" s="16">
        <v>0</v>
      </c>
      <c r="AS48" s="16">
        <v>0</v>
      </c>
      <c r="AT48" s="16">
        <v>0</v>
      </c>
      <c r="AU48" s="16">
        <v>0</v>
      </c>
      <c r="AV48" s="16">
        <v>0</v>
      </c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0</v>
      </c>
      <c r="BD48" s="16">
        <v>0</v>
      </c>
      <c r="BE48" s="16">
        <v>0</v>
      </c>
      <c r="BF48" s="16">
        <v>0</v>
      </c>
      <c r="BG48" s="16">
        <v>0</v>
      </c>
      <c r="BH48" s="16">
        <v>0</v>
      </c>
      <c r="BI48" s="16">
        <v>0</v>
      </c>
      <c r="BJ48" s="16">
        <v>0</v>
      </c>
      <c r="BK48" s="16">
        <v>0</v>
      </c>
      <c r="BL48" s="16">
        <v>0</v>
      </c>
      <c r="BM48" s="16">
        <v>0</v>
      </c>
      <c r="BN48" s="16">
        <v>0</v>
      </c>
      <c r="BO48" s="16">
        <v>0</v>
      </c>
      <c r="BP48" s="16">
        <v>0</v>
      </c>
      <c r="BQ48" s="16">
        <v>0</v>
      </c>
      <c r="BR48" s="16">
        <v>0</v>
      </c>
      <c r="BS48" s="207">
        <f t="shared" si="36"/>
        <v>0</v>
      </c>
      <c r="BT48" s="207">
        <f t="shared" si="37"/>
        <v>0</v>
      </c>
      <c r="BU48" s="207">
        <f t="shared" si="34"/>
        <v>8</v>
      </c>
      <c r="BV48" s="207">
        <f t="shared" si="23"/>
        <v>0</v>
      </c>
      <c r="BW48" s="207">
        <f t="shared" si="38"/>
        <v>0</v>
      </c>
      <c r="BX48" s="207">
        <f t="shared" si="39"/>
        <v>0</v>
      </c>
      <c r="BY48" s="207">
        <f t="shared" si="40"/>
        <v>0</v>
      </c>
      <c r="BZ48" s="207">
        <f t="shared" si="41"/>
        <v>0</v>
      </c>
      <c r="CA48" s="207">
        <f t="shared" si="42"/>
        <v>0</v>
      </c>
      <c r="CB48" s="207">
        <f t="shared" si="43"/>
        <v>0</v>
      </c>
      <c r="CC48" s="207">
        <f t="shared" si="44"/>
        <v>0</v>
      </c>
      <c r="CD48" s="207">
        <f t="shared" si="45"/>
        <v>0</v>
      </c>
      <c r="CE48" s="207">
        <f t="shared" si="35"/>
        <v>8</v>
      </c>
    </row>
    <row r="49" spans="1:83" ht="12" customHeight="1" x14ac:dyDescent="0.2">
      <c r="A49" s="6">
        <v>3</v>
      </c>
      <c r="B49" s="49" t="str">
        <f t="shared" si="17"/>
        <v>Chuquisana Mendoza Jhonatan AlexanderMP004</v>
      </c>
      <c r="C49" s="117" t="str">
        <f t="shared" si="46"/>
        <v>Chuquisana Mendoza Jhonatan Alexander</v>
      </c>
      <c r="D49" s="49" t="str">
        <f>VLOOKUP(C49,Datos!$B$13:$C$83,2,0)</f>
        <v>VIGENTE</v>
      </c>
      <c r="E49" s="50" t="s">
        <v>44</v>
      </c>
      <c r="F49" s="49" t="str">
        <f>IFERROR(VLOOKUP(H49,Datos!$J$2:$L$60,3,0),"OBSERVCIONES")</f>
        <v>PROCESO</v>
      </c>
      <c r="G49" s="49"/>
      <c r="H49" s="50" t="s">
        <v>42</v>
      </c>
      <c r="I49" s="49" t="s">
        <v>304</v>
      </c>
      <c r="J49" s="49" t="s">
        <v>7</v>
      </c>
      <c r="K49" s="16">
        <v>16</v>
      </c>
      <c r="L49" s="16">
        <v>40</v>
      </c>
      <c r="M49" s="16">
        <v>40</v>
      </c>
      <c r="N49" s="16">
        <v>40</v>
      </c>
      <c r="O49" s="16">
        <v>16</v>
      </c>
      <c r="P49" s="16">
        <v>24</v>
      </c>
      <c r="Q49" s="16">
        <v>40</v>
      </c>
      <c r="R49" s="16">
        <v>40</v>
      </c>
      <c r="S49" s="16">
        <v>40</v>
      </c>
      <c r="T49" s="16">
        <v>16</v>
      </c>
      <c r="U49" s="16">
        <v>24</v>
      </c>
      <c r="V49" s="16">
        <v>40</v>
      </c>
      <c r="W49" s="16">
        <v>40</v>
      </c>
      <c r="X49" s="16">
        <v>40</v>
      </c>
      <c r="Y49" s="16">
        <v>40</v>
      </c>
      <c r="Z49" s="16">
        <v>40</v>
      </c>
      <c r="AA49" s="16">
        <v>24</v>
      </c>
      <c r="AB49" s="16">
        <v>40</v>
      </c>
      <c r="AC49" s="16">
        <v>40</v>
      </c>
      <c r="AD49" s="16">
        <v>32</v>
      </c>
      <c r="AE49" s="16">
        <v>40</v>
      </c>
      <c r="AF49" s="16">
        <v>40</v>
      </c>
      <c r="AG49" s="16">
        <v>40</v>
      </c>
      <c r="AH49" s="16">
        <v>24</v>
      </c>
      <c r="AI49" s="16">
        <v>16</v>
      </c>
      <c r="AJ49" s="16">
        <v>40</v>
      </c>
      <c r="AK49" s="16">
        <v>40</v>
      </c>
      <c r="AL49" s="16">
        <v>40</v>
      </c>
      <c r="AM49" s="16">
        <v>32</v>
      </c>
      <c r="AN49" s="16">
        <v>40</v>
      </c>
      <c r="AO49" s="16">
        <v>40</v>
      </c>
      <c r="AP49" s="16">
        <v>40</v>
      </c>
      <c r="AQ49" s="16">
        <v>32</v>
      </c>
      <c r="AR49" s="16">
        <v>0</v>
      </c>
      <c r="AS49" s="16">
        <v>8</v>
      </c>
      <c r="AT49" s="16">
        <v>32</v>
      </c>
      <c r="AU49" s="16">
        <v>40</v>
      </c>
      <c r="AV49" s="16">
        <v>40</v>
      </c>
      <c r="AW49" s="16">
        <v>40</v>
      </c>
      <c r="AX49" s="16">
        <v>24</v>
      </c>
      <c r="AY49" s="16">
        <v>8</v>
      </c>
      <c r="AZ49" s="16">
        <v>40</v>
      </c>
      <c r="BA49" s="16">
        <v>40</v>
      </c>
      <c r="BB49" s="16">
        <v>40</v>
      </c>
      <c r="BC49" s="16">
        <v>40</v>
      </c>
      <c r="BD49" s="16">
        <v>40</v>
      </c>
      <c r="BE49" s="16">
        <v>0</v>
      </c>
      <c r="BF49" s="16">
        <v>0</v>
      </c>
      <c r="BG49" s="16">
        <v>0</v>
      </c>
      <c r="BH49" s="16">
        <v>0</v>
      </c>
      <c r="BI49" s="16">
        <v>0</v>
      </c>
      <c r="BJ49" s="16">
        <v>0</v>
      </c>
      <c r="BK49" s="16">
        <v>0</v>
      </c>
      <c r="BL49" s="16">
        <v>0</v>
      </c>
      <c r="BM49" s="16">
        <v>0</v>
      </c>
      <c r="BN49" s="16">
        <v>0</v>
      </c>
      <c r="BO49" s="16">
        <v>0</v>
      </c>
      <c r="BP49" s="16">
        <v>0</v>
      </c>
      <c r="BQ49" s="16">
        <v>0</v>
      </c>
      <c r="BR49" s="16">
        <v>0</v>
      </c>
      <c r="BS49" s="207">
        <f t="shared" si="36"/>
        <v>152</v>
      </c>
      <c r="BT49" s="207">
        <f t="shared" si="37"/>
        <v>160</v>
      </c>
      <c r="BU49" s="207">
        <f t="shared" si="34"/>
        <v>184</v>
      </c>
      <c r="BV49" s="207">
        <f t="shared" si="23"/>
        <v>144</v>
      </c>
      <c r="BW49" s="207">
        <f t="shared" si="38"/>
        <v>176</v>
      </c>
      <c r="BX49" s="207">
        <f t="shared" si="39"/>
        <v>168</v>
      </c>
      <c r="BY49" s="207">
        <f t="shared" si="40"/>
        <v>160</v>
      </c>
      <c r="BZ49" s="207">
        <f t="shared" si="41"/>
        <v>176</v>
      </c>
      <c r="CA49" s="207">
        <f t="shared" si="42"/>
        <v>168</v>
      </c>
      <c r="CB49" s="207">
        <f t="shared" si="43"/>
        <v>40</v>
      </c>
      <c r="CC49" s="207">
        <f t="shared" si="44"/>
        <v>0</v>
      </c>
      <c r="CD49" s="207">
        <f t="shared" si="45"/>
        <v>0</v>
      </c>
      <c r="CE49" s="207">
        <f t="shared" si="35"/>
        <v>1528</v>
      </c>
    </row>
    <row r="50" spans="1:83" ht="12" customHeight="1" x14ac:dyDescent="0.2">
      <c r="A50" s="6">
        <v>5</v>
      </c>
      <c r="B50" s="49" t="str">
        <f t="shared" si="17"/>
        <v>Meneses Sanchez Jesus DanielINASISTENCIAS</v>
      </c>
      <c r="C50" s="117" t="str">
        <f t="shared" si="46"/>
        <v>Meneses Sanchez Jesus Daniel</v>
      </c>
      <c r="D50" s="49" t="str">
        <f>VLOOKUP(C50,Datos!$B$13:$C$83,2,0)</f>
        <v>VIGENTE</v>
      </c>
      <c r="E50" s="50" t="s">
        <v>208</v>
      </c>
      <c r="F50" s="49"/>
      <c r="G50" s="49" t="str">
        <f>IFERROR(VLOOKUP(H50,Datos!$J$2:$L$60,3,0),"OBSERVACIONES")</f>
        <v>OBSERVACIONES</v>
      </c>
      <c r="H50" s="50" t="s">
        <v>208</v>
      </c>
      <c r="I50" s="49" t="s">
        <v>210</v>
      </c>
      <c r="J50" s="49" t="s">
        <v>21</v>
      </c>
      <c r="K50" s="16">
        <v>0</v>
      </c>
      <c r="L50" s="16">
        <v>0</v>
      </c>
      <c r="M50" s="16">
        <v>0</v>
      </c>
      <c r="N50" s="16">
        <v>0</v>
      </c>
      <c r="O50" s="16">
        <v>0</v>
      </c>
      <c r="P50" s="16">
        <v>0</v>
      </c>
      <c r="Q50" s="16">
        <v>0</v>
      </c>
      <c r="R50" s="16">
        <v>0</v>
      </c>
      <c r="S50" s="16">
        <v>0</v>
      </c>
      <c r="T50" s="16">
        <v>0</v>
      </c>
      <c r="U50" s="16">
        <v>0</v>
      </c>
      <c r="V50" s="16">
        <v>0</v>
      </c>
      <c r="W50" s="16">
        <v>0</v>
      </c>
      <c r="X50" s="16">
        <v>0</v>
      </c>
      <c r="Y50" s="16">
        <v>0</v>
      </c>
      <c r="Z50" s="16">
        <v>24</v>
      </c>
      <c r="AA50" s="16">
        <v>0</v>
      </c>
      <c r="AB50" s="16">
        <v>0</v>
      </c>
      <c r="AC50" s="16">
        <v>0</v>
      </c>
      <c r="AD50" s="16">
        <v>0</v>
      </c>
      <c r="AE50" s="16">
        <v>0</v>
      </c>
      <c r="AF50" s="16">
        <v>0</v>
      </c>
      <c r="AG50" s="16">
        <v>0</v>
      </c>
      <c r="AH50" s="16">
        <v>0</v>
      </c>
      <c r="AI50" s="16">
        <v>0</v>
      </c>
      <c r="AJ50" s="16">
        <v>0</v>
      </c>
      <c r="AK50" s="16">
        <v>0</v>
      </c>
      <c r="AL50" s="16">
        <v>0</v>
      </c>
      <c r="AM50" s="16">
        <v>0</v>
      </c>
      <c r="AN50" s="16">
        <v>0</v>
      </c>
      <c r="AO50" s="16">
        <v>0</v>
      </c>
      <c r="AP50" s="16">
        <v>0</v>
      </c>
      <c r="AQ50" s="16">
        <v>0</v>
      </c>
      <c r="AR50" s="16">
        <v>0</v>
      </c>
      <c r="AS50" s="16">
        <v>0</v>
      </c>
      <c r="AT50" s="16">
        <v>0</v>
      </c>
      <c r="AU50" s="16">
        <v>0</v>
      </c>
      <c r="AV50" s="16">
        <v>0</v>
      </c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0</v>
      </c>
      <c r="BD50" s="16">
        <v>0</v>
      </c>
      <c r="BE50" s="16">
        <v>0</v>
      </c>
      <c r="BF50" s="16">
        <v>0</v>
      </c>
      <c r="BG50" s="16">
        <v>0</v>
      </c>
      <c r="BH50" s="16">
        <v>0</v>
      </c>
      <c r="BI50" s="16">
        <v>0</v>
      </c>
      <c r="BJ50" s="16">
        <v>0</v>
      </c>
      <c r="BK50" s="16">
        <v>0</v>
      </c>
      <c r="BL50" s="16">
        <v>0</v>
      </c>
      <c r="BM50" s="16">
        <v>0</v>
      </c>
      <c r="BN50" s="16">
        <v>0</v>
      </c>
      <c r="BO50" s="16">
        <v>0</v>
      </c>
      <c r="BP50" s="16">
        <v>0</v>
      </c>
      <c r="BQ50" s="16">
        <v>0</v>
      </c>
      <c r="BR50" s="16">
        <v>0</v>
      </c>
      <c r="BS50" s="207">
        <f t="shared" si="36"/>
        <v>0</v>
      </c>
      <c r="BT50" s="207">
        <f t="shared" si="37"/>
        <v>0</v>
      </c>
      <c r="BU50" s="207">
        <f t="shared" si="34"/>
        <v>0</v>
      </c>
      <c r="BV50" s="207">
        <f t="shared" si="23"/>
        <v>24</v>
      </c>
      <c r="BW50" s="207">
        <f t="shared" si="38"/>
        <v>0</v>
      </c>
      <c r="BX50" s="207">
        <f t="shared" si="39"/>
        <v>0</v>
      </c>
      <c r="BY50" s="207">
        <f t="shared" si="40"/>
        <v>0</v>
      </c>
      <c r="BZ50" s="207">
        <f t="shared" si="41"/>
        <v>0</v>
      </c>
      <c r="CA50" s="207">
        <f t="shared" si="42"/>
        <v>0</v>
      </c>
      <c r="CB50" s="207">
        <f t="shared" si="43"/>
        <v>0</v>
      </c>
      <c r="CC50" s="207">
        <f t="shared" si="44"/>
        <v>0</v>
      </c>
      <c r="CD50" s="207">
        <f t="shared" si="45"/>
        <v>0</v>
      </c>
      <c r="CE50" s="207">
        <f t="shared" si="35"/>
        <v>24</v>
      </c>
    </row>
    <row r="51" spans="1:83" ht="12" customHeight="1" x14ac:dyDescent="0.2">
      <c r="A51" s="6">
        <v>4</v>
      </c>
      <c r="B51" s="49" t="str">
        <f>C51&amp;H51</f>
        <v>Meneses Sanchez Jesus DanielVACACIONES</v>
      </c>
      <c r="C51" s="117" t="str">
        <f>J51</f>
        <v>Meneses Sanchez Jesus Daniel</v>
      </c>
      <c r="D51" s="49" t="str">
        <f>VLOOKUP(C51,Datos!$B$13:$C$83,2,0)</f>
        <v>VIGENTE</v>
      </c>
      <c r="E51" s="50" t="s">
        <v>209</v>
      </c>
      <c r="F51" s="49"/>
      <c r="G51" s="49" t="str">
        <f>IFERROR(VLOOKUP(H51,Datos!$J$2:$L$60,3,0),"OBSERVACIONES")</f>
        <v>OBSERVACIONES</v>
      </c>
      <c r="H51" s="50" t="s">
        <v>209</v>
      </c>
      <c r="I51" s="49" t="s">
        <v>243</v>
      </c>
      <c r="J51" s="49" t="s">
        <v>21</v>
      </c>
      <c r="K51" s="16">
        <v>0</v>
      </c>
      <c r="L51" s="16">
        <v>0</v>
      </c>
      <c r="M51" s="16">
        <v>0</v>
      </c>
      <c r="N51" s="16">
        <v>0</v>
      </c>
      <c r="O51" s="16">
        <v>0</v>
      </c>
      <c r="P51" s="16">
        <v>0</v>
      </c>
      <c r="Q51" s="16">
        <v>0</v>
      </c>
      <c r="R51" s="16">
        <v>0</v>
      </c>
      <c r="S51" s="16">
        <v>0</v>
      </c>
      <c r="T51" s="16">
        <v>0</v>
      </c>
      <c r="U51" s="16">
        <v>0</v>
      </c>
      <c r="V51" s="16">
        <v>0</v>
      </c>
      <c r="W51" s="16">
        <v>0</v>
      </c>
      <c r="X51" s="16">
        <v>0</v>
      </c>
      <c r="Y51" s="16">
        <v>0</v>
      </c>
      <c r="Z51" s="16">
        <v>0</v>
      </c>
      <c r="AA51" s="16">
        <v>0</v>
      </c>
      <c r="AB51" s="16">
        <v>0</v>
      </c>
      <c r="AC51" s="16">
        <v>0</v>
      </c>
      <c r="AD51" s="16">
        <v>0</v>
      </c>
      <c r="AE51" s="16">
        <v>0</v>
      </c>
      <c r="AF51" s="16">
        <v>0</v>
      </c>
      <c r="AG51" s="16">
        <v>0</v>
      </c>
      <c r="AH51" s="16">
        <v>0</v>
      </c>
      <c r="AI51" s="16">
        <v>0</v>
      </c>
      <c r="AJ51" s="16">
        <v>0</v>
      </c>
      <c r="AK51" s="16">
        <v>0</v>
      </c>
      <c r="AL51" s="16">
        <v>0</v>
      </c>
      <c r="AM51" s="16">
        <v>0</v>
      </c>
      <c r="AN51" s="16">
        <v>0</v>
      </c>
      <c r="AO51" s="16">
        <v>0</v>
      </c>
      <c r="AP51" s="16">
        <v>0</v>
      </c>
      <c r="AQ51" s="16">
        <v>0</v>
      </c>
      <c r="AR51" s="16">
        <v>0</v>
      </c>
      <c r="AS51" s="16">
        <v>0</v>
      </c>
      <c r="AT51" s="16">
        <v>0</v>
      </c>
      <c r="AU51" s="16">
        <v>0</v>
      </c>
      <c r="AV51" s="16">
        <v>0</v>
      </c>
      <c r="AW51" s="16">
        <v>0</v>
      </c>
      <c r="AX51" s="16">
        <v>0</v>
      </c>
      <c r="AY51" s="16">
        <v>0</v>
      </c>
      <c r="AZ51" s="16">
        <v>8</v>
      </c>
      <c r="BA51" s="16">
        <v>40</v>
      </c>
      <c r="BB51" s="16">
        <v>8</v>
      </c>
      <c r="BC51" s="16">
        <v>0</v>
      </c>
      <c r="BD51" s="16">
        <v>0</v>
      </c>
      <c r="BE51" s="16">
        <v>0</v>
      </c>
      <c r="BF51" s="16">
        <v>0</v>
      </c>
      <c r="BG51" s="16">
        <v>0</v>
      </c>
      <c r="BH51" s="16">
        <v>0</v>
      </c>
      <c r="BI51" s="16">
        <v>0</v>
      </c>
      <c r="BJ51" s="16">
        <v>0</v>
      </c>
      <c r="BK51" s="16">
        <v>0</v>
      </c>
      <c r="BL51" s="16">
        <v>0</v>
      </c>
      <c r="BM51" s="16">
        <v>0</v>
      </c>
      <c r="BN51" s="16">
        <v>0</v>
      </c>
      <c r="BO51" s="16">
        <v>0</v>
      </c>
      <c r="BP51" s="16">
        <v>0</v>
      </c>
      <c r="BQ51" s="16">
        <v>0</v>
      </c>
      <c r="BR51" s="16">
        <v>0</v>
      </c>
      <c r="BS51" s="207">
        <f t="shared" si="36"/>
        <v>0</v>
      </c>
      <c r="BT51" s="207">
        <f t="shared" si="37"/>
        <v>0</v>
      </c>
      <c r="BU51" s="207">
        <f t="shared" si="34"/>
        <v>0</v>
      </c>
      <c r="BV51" s="207">
        <f t="shared" si="23"/>
        <v>0</v>
      </c>
      <c r="BW51" s="207">
        <f t="shared" si="38"/>
        <v>0</v>
      </c>
      <c r="BX51" s="207">
        <f t="shared" si="39"/>
        <v>0</v>
      </c>
      <c r="BY51" s="207">
        <f t="shared" si="40"/>
        <v>0</v>
      </c>
      <c r="BZ51" s="207">
        <f t="shared" si="41"/>
        <v>0</v>
      </c>
      <c r="CA51" s="207">
        <f t="shared" si="42"/>
        <v>56</v>
      </c>
      <c r="CB51" s="207">
        <f t="shared" si="43"/>
        <v>0</v>
      </c>
      <c r="CC51" s="207">
        <f t="shared" si="44"/>
        <v>0</v>
      </c>
      <c r="CD51" s="207">
        <f t="shared" si="45"/>
        <v>0</v>
      </c>
      <c r="CE51" s="207">
        <f t="shared" si="35"/>
        <v>56</v>
      </c>
    </row>
    <row r="52" spans="1:83" ht="12" customHeight="1" x14ac:dyDescent="0.2">
      <c r="A52" s="6">
        <v>3</v>
      </c>
      <c r="B52" s="49" t="str">
        <f t="shared" si="17"/>
        <v>Meneses Sanchez Jesus DanielMP004</v>
      </c>
      <c r="C52" s="117" t="str">
        <f t="shared" si="46"/>
        <v>Meneses Sanchez Jesus Daniel</v>
      </c>
      <c r="D52" s="49" t="str">
        <f>VLOOKUP(C52,Datos!$B$13:$C$83,2,0)</f>
        <v>VIGENTE</v>
      </c>
      <c r="E52" s="50" t="s">
        <v>44</v>
      </c>
      <c r="F52" s="49" t="str">
        <f>IFERROR(VLOOKUP(H52,Datos!$J$2:$L$60,3,0),"OBSERVCIONES")</f>
        <v>PROCESO</v>
      </c>
      <c r="G52" s="49"/>
      <c r="H52" s="50" t="s">
        <v>42</v>
      </c>
      <c r="I52" s="49" t="s">
        <v>304</v>
      </c>
      <c r="J52" s="49" t="s">
        <v>21</v>
      </c>
      <c r="K52" s="16">
        <v>40</v>
      </c>
      <c r="L52" s="16">
        <v>40</v>
      </c>
      <c r="M52" s="16">
        <v>40</v>
      </c>
      <c r="N52" s="16">
        <v>40</v>
      </c>
      <c r="O52" s="16">
        <v>16</v>
      </c>
      <c r="P52" s="16">
        <v>24</v>
      </c>
      <c r="Q52" s="16">
        <v>40</v>
      </c>
      <c r="R52" s="16">
        <v>40</v>
      </c>
      <c r="S52" s="16">
        <v>40</v>
      </c>
      <c r="T52" s="16">
        <v>16</v>
      </c>
      <c r="U52" s="16">
        <v>24</v>
      </c>
      <c r="V52" s="16">
        <v>40</v>
      </c>
      <c r="W52" s="16">
        <v>40</v>
      </c>
      <c r="X52" s="16">
        <v>40</v>
      </c>
      <c r="Y52" s="16">
        <v>40</v>
      </c>
      <c r="Z52" s="16">
        <v>16</v>
      </c>
      <c r="AA52" s="16">
        <v>24</v>
      </c>
      <c r="AB52" s="16">
        <v>40</v>
      </c>
      <c r="AC52" s="16">
        <v>40</v>
      </c>
      <c r="AD52" s="16">
        <v>32</v>
      </c>
      <c r="AE52" s="16">
        <v>40</v>
      </c>
      <c r="AF52" s="16">
        <v>40</v>
      </c>
      <c r="AG52" s="16">
        <v>40</v>
      </c>
      <c r="AH52" s="16">
        <v>24</v>
      </c>
      <c r="AI52" s="16">
        <v>16</v>
      </c>
      <c r="AJ52" s="16">
        <v>40</v>
      </c>
      <c r="AK52" s="16">
        <v>40</v>
      </c>
      <c r="AL52" s="16">
        <v>40</v>
      </c>
      <c r="AM52" s="16">
        <v>32</v>
      </c>
      <c r="AN52" s="16">
        <v>40</v>
      </c>
      <c r="AO52" s="16">
        <v>40</v>
      </c>
      <c r="AP52" s="16">
        <v>40</v>
      </c>
      <c r="AQ52" s="16">
        <v>32</v>
      </c>
      <c r="AR52" s="16">
        <v>0</v>
      </c>
      <c r="AS52" s="16">
        <v>8</v>
      </c>
      <c r="AT52" s="16">
        <v>32</v>
      </c>
      <c r="AU52" s="16">
        <v>40</v>
      </c>
      <c r="AV52" s="16">
        <v>40</v>
      </c>
      <c r="AW52" s="16">
        <v>40</v>
      </c>
      <c r="AX52" s="16">
        <v>24</v>
      </c>
      <c r="AY52" s="16">
        <v>8</v>
      </c>
      <c r="AZ52" s="16">
        <v>32</v>
      </c>
      <c r="BA52" s="16">
        <v>0</v>
      </c>
      <c r="BB52" s="16">
        <v>32</v>
      </c>
      <c r="BC52" s="16">
        <v>40</v>
      </c>
      <c r="BD52" s="16">
        <v>40</v>
      </c>
      <c r="BE52" s="16">
        <v>0</v>
      </c>
      <c r="BF52" s="16">
        <v>0</v>
      </c>
      <c r="BG52" s="16">
        <v>0</v>
      </c>
      <c r="BH52" s="16">
        <v>0</v>
      </c>
      <c r="BI52" s="16">
        <v>0</v>
      </c>
      <c r="BJ52" s="16">
        <v>0</v>
      </c>
      <c r="BK52" s="16">
        <v>0</v>
      </c>
      <c r="BL52" s="16">
        <v>0</v>
      </c>
      <c r="BM52" s="16">
        <v>0</v>
      </c>
      <c r="BN52" s="16">
        <v>0</v>
      </c>
      <c r="BO52" s="16">
        <v>0</v>
      </c>
      <c r="BP52" s="16">
        <v>0</v>
      </c>
      <c r="BQ52" s="16">
        <v>0</v>
      </c>
      <c r="BR52" s="16">
        <v>0</v>
      </c>
      <c r="BS52" s="207">
        <f t="shared" si="36"/>
        <v>176</v>
      </c>
      <c r="BT52" s="207">
        <f t="shared" si="37"/>
        <v>160</v>
      </c>
      <c r="BU52" s="207">
        <f t="shared" si="34"/>
        <v>184</v>
      </c>
      <c r="BV52" s="207">
        <f t="shared" si="23"/>
        <v>120</v>
      </c>
      <c r="BW52" s="207">
        <f t="shared" si="38"/>
        <v>176</v>
      </c>
      <c r="BX52" s="207">
        <f t="shared" si="39"/>
        <v>168</v>
      </c>
      <c r="BY52" s="207">
        <f t="shared" si="40"/>
        <v>160</v>
      </c>
      <c r="BZ52" s="207">
        <f t="shared" si="41"/>
        <v>176</v>
      </c>
      <c r="CA52" s="207">
        <f t="shared" si="42"/>
        <v>112</v>
      </c>
      <c r="CB52" s="207">
        <f t="shared" si="43"/>
        <v>40</v>
      </c>
      <c r="CC52" s="207">
        <f t="shared" si="44"/>
        <v>0</v>
      </c>
      <c r="CD52" s="207">
        <f t="shared" si="45"/>
        <v>0</v>
      </c>
      <c r="CE52" s="207">
        <f t="shared" si="35"/>
        <v>1472</v>
      </c>
    </row>
    <row r="53" spans="1:83" ht="12" customHeight="1" x14ac:dyDescent="0.2">
      <c r="A53" s="6">
        <v>1</v>
      </c>
      <c r="B53" s="49" t="str">
        <f t="shared" si="17"/>
        <v>Olarte Leon JeffNO FACT.</v>
      </c>
      <c r="C53" s="117" t="str">
        <f t="shared" si="46"/>
        <v>Olarte Leon Jeff</v>
      </c>
      <c r="D53" s="49" t="str">
        <f>VLOOKUP(C53,Datos!$B$13:$C$83,2,0)</f>
        <v>CESADO</v>
      </c>
      <c r="E53" s="50" t="s">
        <v>75</v>
      </c>
      <c r="F53" s="49"/>
      <c r="G53" s="49" t="str">
        <f>IFERROR(VLOOKUP(H53,Datos!$J$2:$L$60,3,0),"OBSERVACIONES")</f>
        <v>OBSERVACIONES</v>
      </c>
      <c r="H53" s="50" t="s">
        <v>75</v>
      </c>
      <c r="I53" s="49" t="s">
        <v>131</v>
      </c>
      <c r="J53" s="49" t="s">
        <v>272</v>
      </c>
      <c r="K53" s="16">
        <v>0</v>
      </c>
      <c r="L53" s="16">
        <v>0</v>
      </c>
      <c r="M53" s="16">
        <v>0</v>
      </c>
      <c r="N53" s="16">
        <v>0</v>
      </c>
      <c r="O53" s="16">
        <v>0</v>
      </c>
      <c r="P53" s="16">
        <v>0</v>
      </c>
      <c r="Q53" s="16">
        <v>0</v>
      </c>
      <c r="R53" s="16">
        <v>0</v>
      </c>
      <c r="S53" s="16">
        <v>0</v>
      </c>
      <c r="T53" s="16">
        <v>0</v>
      </c>
      <c r="U53" s="16">
        <v>0</v>
      </c>
      <c r="V53" s="16">
        <v>0</v>
      </c>
      <c r="W53" s="16">
        <v>0</v>
      </c>
      <c r="X53" s="16">
        <v>0</v>
      </c>
      <c r="Y53" s="16">
        <v>0</v>
      </c>
      <c r="Z53" s="16">
        <v>0</v>
      </c>
      <c r="AA53" s="16">
        <v>0</v>
      </c>
      <c r="AB53" s="16">
        <v>0</v>
      </c>
      <c r="AC53" s="16">
        <v>0</v>
      </c>
      <c r="AD53" s="16">
        <v>0</v>
      </c>
      <c r="AE53" s="16">
        <v>0</v>
      </c>
      <c r="AF53" s="16">
        <v>0</v>
      </c>
      <c r="AG53" s="16">
        <v>0</v>
      </c>
      <c r="AH53" s="16">
        <v>0</v>
      </c>
      <c r="AI53" s="16">
        <v>0</v>
      </c>
      <c r="AJ53" s="16">
        <v>0</v>
      </c>
      <c r="AK53" s="16">
        <v>8</v>
      </c>
      <c r="AL53" s="16">
        <v>0</v>
      </c>
      <c r="AM53" s="16">
        <v>0</v>
      </c>
      <c r="AN53" s="16">
        <v>0</v>
      </c>
      <c r="AO53" s="16">
        <v>0</v>
      </c>
      <c r="AP53" s="16">
        <v>0</v>
      </c>
      <c r="AQ53" s="16">
        <v>0</v>
      </c>
      <c r="AR53" s="16">
        <v>0</v>
      </c>
      <c r="AS53" s="16">
        <v>0</v>
      </c>
      <c r="AT53" s="16">
        <v>0</v>
      </c>
      <c r="AU53" s="16">
        <v>0</v>
      </c>
      <c r="AV53" s="16">
        <v>0</v>
      </c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0</v>
      </c>
      <c r="BD53" s="16">
        <v>0</v>
      </c>
      <c r="BE53" s="16">
        <v>0</v>
      </c>
      <c r="BF53" s="16">
        <v>0</v>
      </c>
      <c r="BG53" s="16">
        <v>0</v>
      </c>
      <c r="BH53" s="16">
        <v>0</v>
      </c>
      <c r="BI53" s="16">
        <v>0</v>
      </c>
      <c r="BJ53" s="16">
        <v>0</v>
      </c>
      <c r="BK53" s="16">
        <v>0</v>
      </c>
      <c r="BL53" s="16">
        <v>0</v>
      </c>
      <c r="BM53" s="16">
        <v>0</v>
      </c>
      <c r="BN53" s="16">
        <v>0</v>
      </c>
      <c r="BO53" s="16">
        <v>0</v>
      </c>
      <c r="BP53" s="16">
        <v>0</v>
      </c>
      <c r="BQ53" s="16">
        <v>0</v>
      </c>
      <c r="BR53" s="16">
        <v>0</v>
      </c>
      <c r="BS53" s="207">
        <f t="shared" si="36"/>
        <v>0</v>
      </c>
      <c r="BT53" s="207">
        <f t="shared" si="37"/>
        <v>0</v>
      </c>
      <c r="BU53" s="207">
        <f t="shared" si="34"/>
        <v>0</v>
      </c>
      <c r="BV53" s="207">
        <f t="shared" si="23"/>
        <v>0</v>
      </c>
      <c r="BW53" s="207">
        <f t="shared" si="38"/>
        <v>0</v>
      </c>
      <c r="BX53" s="207">
        <f t="shared" si="39"/>
        <v>8</v>
      </c>
      <c r="BY53" s="207">
        <f t="shared" si="40"/>
        <v>0</v>
      </c>
      <c r="BZ53" s="207">
        <f t="shared" si="41"/>
        <v>0</v>
      </c>
      <c r="CA53" s="207">
        <f t="shared" si="42"/>
        <v>0</v>
      </c>
      <c r="CB53" s="207">
        <f t="shared" si="43"/>
        <v>0</v>
      </c>
      <c r="CC53" s="207">
        <f t="shared" si="44"/>
        <v>0</v>
      </c>
      <c r="CD53" s="207">
        <f t="shared" si="45"/>
        <v>0</v>
      </c>
      <c r="CE53" s="207">
        <f t="shared" si="35"/>
        <v>8</v>
      </c>
    </row>
    <row r="54" spans="1:83" ht="12" customHeight="1" x14ac:dyDescent="0.2">
      <c r="A54" s="6">
        <v>3</v>
      </c>
      <c r="B54" s="49" t="str">
        <f t="shared" si="17"/>
        <v>Olarte Leon JeffMP004</v>
      </c>
      <c r="C54" s="117" t="str">
        <f t="shared" si="46"/>
        <v>Olarte Leon Jeff</v>
      </c>
      <c r="D54" s="49" t="str">
        <f>VLOOKUP(C54,Datos!$B$13:$C$83,2,0)</f>
        <v>CESADO</v>
      </c>
      <c r="E54" s="50" t="s">
        <v>44</v>
      </c>
      <c r="F54" s="49" t="str">
        <f>IFERROR(VLOOKUP(H54,Datos!$J$2:$L$60,3,0),"OBSERVCIONES")</f>
        <v>PROCESO</v>
      </c>
      <c r="G54" s="49"/>
      <c r="H54" s="50" t="s">
        <v>42</v>
      </c>
      <c r="I54" s="49" t="s">
        <v>304</v>
      </c>
      <c r="J54" s="49" t="s">
        <v>272</v>
      </c>
      <c r="K54" s="16">
        <v>0</v>
      </c>
      <c r="L54" s="16">
        <v>0</v>
      </c>
      <c r="M54" s="16">
        <v>0</v>
      </c>
      <c r="N54" s="16">
        <v>0</v>
      </c>
      <c r="O54" s="16">
        <v>0</v>
      </c>
      <c r="P54" s="16">
        <v>0</v>
      </c>
      <c r="Q54" s="16">
        <v>0</v>
      </c>
      <c r="R54" s="16">
        <v>0</v>
      </c>
      <c r="S54" s="16">
        <v>40</v>
      </c>
      <c r="T54" s="16">
        <v>16</v>
      </c>
      <c r="U54" s="16">
        <v>24</v>
      </c>
      <c r="V54" s="16">
        <v>40</v>
      </c>
      <c r="W54" s="16">
        <v>40</v>
      </c>
      <c r="X54" s="16">
        <v>40</v>
      </c>
      <c r="Y54" s="16">
        <v>40</v>
      </c>
      <c r="Z54" s="16">
        <v>40</v>
      </c>
      <c r="AA54" s="16">
        <v>24</v>
      </c>
      <c r="AB54" s="16">
        <v>40</v>
      </c>
      <c r="AC54" s="16">
        <v>40</v>
      </c>
      <c r="AD54" s="16">
        <v>32</v>
      </c>
      <c r="AE54" s="16">
        <v>40</v>
      </c>
      <c r="AF54" s="16">
        <v>40</v>
      </c>
      <c r="AG54" s="16">
        <v>40</v>
      </c>
      <c r="AH54" s="16">
        <v>24</v>
      </c>
      <c r="AI54" s="16">
        <v>16</v>
      </c>
      <c r="AJ54" s="16">
        <v>40</v>
      </c>
      <c r="AK54" s="16">
        <v>32</v>
      </c>
      <c r="AL54" s="16">
        <v>24</v>
      </c>
      <c r="AM54" s="16">
        <v>24</v>
      </c>
      <c r="AN54" s="16">
        <v>0</v>
      </c>
      <c r="AO54" s="16">
        <v>0</v>
      </c>
      <c r="AP54" s="16">
        <v>0</v>
      </c>
      <c r="AQ54" s="16">
        <v>0</v>
      </c>
      <c r="AR54" s="16">
        <v>0</v>
      </c>
      <c r="AS54" s="16">
        <v>0</v>
      </c>
      <c r="AT54" s="16">
        <v>0</v>
      </c>
      <c r="AU54" s="16">
        <v>0</v>
      </c>
      <c r="AV54" s="16">
        <v>0</v>
      </c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0</v>
      </c>
      <c r="BD54" s="16">
        <v>0</v>
      </c>
      <c r="BE54" s="16">
        <v>0</v>
      </c>
      <c r="BF54" s="16">
        <v>0</v>
      </c>
      <c r="BG54" s="16">
        <v>0</v>
      </c>
      <c r="BH54" s="16">
        <v>0</v>
      </c>
      <c r="BI54" s="16">
        <v>0</v>
      </c>
      <c r="BJ54" s="16">
        <v>0</v>
      </c>
      <c r="BK54" s="16">
        <v>0</v>
      </c>
      <c r="BL54" s="16">
        <v>0</v>
      </c>
      <c r="BM54" s="16">
        <v>0</v>
      </c>
      <c r="BN54" s="16">
        <v>0</v>
      </c>
      <c r="BO54" s="16">
        <v>0</v>
      </c>
      <c r="BP54" s="16">
        <v>0</v>
      </c>
      <c r="BQ54" s="16">
        <v>0</v>
      </c>
      <c r="BR54" s="16">
        <v>0</v>
      </c>
      <c r="BS54" s="207">
        <f t="shared" si="36"/>
        <v>0</v>
      </c>
      <c r="BT54" s="207">
        <f t="shared" si="37"/>
        <v>56</v>
      </c>
      <c r="BU54" s="207">
        <f t="shared" si="34"/>
        <v>184</v>
      </c>
      <c r="BV54" s="207">
        <f t="shared" si="23"/>
        <v>144</v>
      </c>
      <c r="BW54" s="207">
        <f t="shared" si="38"/>
        <v>176</v>
      </c>
      <c r="BX54" s="207">
        <f t="shared" si="39"/>
        <v>136</v>
      </c>
      <c r="BY54" s="207">
        <f t="shared" si="40"/>
        <v>0</v>
      </c>
      <c r="BZ54" s="207">
        <f t="shared" si="41"/>
        <v>0</v>
      </c>
      <c r="CA54" s="207">
        <f t="shared" si="42"/>
        <v>0</v>
      </c>
      <c r="CB54" s="207">
        <f t="shared" si="43"/>
        <v>0</v>
      </c>
      <c r="CC54" s="207">
        <f t="shared" si="44"/>
        <v>0</v>
      </c>
      <c r="CD54" s="207">
        <f t="shared" si="45"/>
        <v>0</v>
      </c>
      <c r="CE54" s="207">
        <f t="shared" si="35"/>
        <v>696</v>
      </c>
    </row>
    <row r="55" spans="1:83" ht="12" customHeight="1" x14ac:dyDescent="0.2">
      <c r="A55" s="6">
        <v>3</v>
      </c>
      <c r="B55" s="49" t="str">
        <f t="shared" si="17"/>
        <v>Rivera Carrasco Giovanni MP004</v>
      </c>
      <c r="C55" s="117" t="str">
        <f t="shared" si="46"/>
        <v xml:space="preserve">Rivera Carrasco Giovanni </v>
      </c>
      <c r="D55" s="49" t="str">
        <f>VLOOKUP(C55,Datos!$B$13:$C$83,2,0)</f>
        <v>CESADO</v>
      </c>
      <c r="E55" s="50" t="s">
        <v>44</v>
      </c>
      <c r="F55" s="49" t="str">
        <f>IFERROR(VLOOKUP(H55,Datos!$J$2:$L$60,3,0),"OBSERVCIONES")</f>
        <v>PROCESO</v>
      </c>
      <c r="G55" s="49"/>
      <c r="H55" s="50" t="s">
        <v>42</v>
      </c>
      <c r="I55" s="49" t="s">
        <v>304</v>
      </c>
      <c r="J55" s="49" t="s">
        <v>424</v>
      </c>
      <c r="K55" s="16">
        <v>32</v>
      </c>
      <c r="L55" s="16">
        <v>40</v>
      </c>
      <c r="M55" s="16">
        <v>40</v>
      </c>
      <c r="N55" s="16">
        <v>40</v>
      </c>
      <c r="O55" s="16">
        <v>16</v>
      </c>
      <c r="P55" s="16">
        <v>24</v>
      </c>
      <c r="Q55" s="16">
        <v>40</v>
      </c>
      <c r="R55" s="16">
        <v>40</v>
      </c>
      <c r="S55" s="16">
        <v>40</v>
      </c>
      <c r="T55" s="16">
        <v>16</v>
      </c>
      <c r="U55" s="16">
        <v>24</v>
      </c>
      <c r="V55" s="16">
        <v>40</v>
      </c>
      <c r="W55" s="16">
        <v>40</v>
      </c>
      <c r="X55" s="16">
        <v>40</v>
      </c>
      <c r="Y55" s="16">
        <v>40</v>
      </c>
      <c r="Z55" s="16">
        <v>40</v>
      </c>
      <c r="AA55" s="16">
        <v>24</v>
      </c>
      <c r="AB55" s="16">
        <v>40</v>
      </c>
      <c r="AC55" s="16">
        <v>40</v>
      </c>
      <c r="AD55" s="16">
        <v>0</v>
      </c>
      <c r="AE55" s="16">
        <v>0</v>
      </c>
      <c r="AF55" s="16">
        <v>0</v>
      </c>
      <c r="AG55" s="16">
        <v>0</v>
      </c>
      <c r="AH55" s="16">
        <v>0</v>
      </c>
      <c r="AI55" s="16">
        <v>0</v>
      </c>
      <c r="AJ55" s="16">
        <v>0</v>
      </c>
      <c r="AK55" s="16">
        <v>0</v>
      </c>
      <c r="AL55" s="16">
        <v>0</v>
      </c>
      <c r="AM55" s="16">
        <v>0</v>
      </c>
      <c r="AN55" s="16">
        <v>0</v>
      </c>
      <c r="AO55" s="16">
        <v>0</v>
      </c>
      <c r="AP55" s="16">
        <v>0</v>
      </c>
      <c r="AQ55" s="16">
        <v>0</v>
      </c>
      <c r="AR55" s="16">
        <v>0</v>
      </c>
      <c r="AS55" s="16">
        <v>0</v>
      </c>
      <c r="AT55" s="16">
        <v>0</v>
      </c>
      <c r="AU55" s="16">
        <v>0</v>
      </c>
      <c r="AV55" s="16">
        <v>0</v>
      </c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0</v>
      </c>
      <c r="BD55" s="16">
        <v>0</v>
      </c>
      <c r="BE55" s="16">
        <v>0</v>
      </c>
      <c r="BF55" s="16">
        <v>0</v>
      </c>
      <c r="BG55" s="16">
        <v>0</v>
      </c>
      <c r="BH55" s="16">
        <v>0</v>
      </c>
      <c r="BI55" s="16">
        <v>0</v>
      </c>
      <c r="BJ55" s="16">
        <v>0</v>
      </c>
      <c r="BK55" s="16">
        <v>0</v>
      </c>
      <c r="BL55" s="16">
        <v>0</v>
      </c>
      <c r="BM55" s="16">
        <v>0</v>
      </c>
      <c r="BN55" s="16">
        <v>0</v>
      </c>
      <c r="BO55" s="16">
        <v>0</v>
      </c>
      <c r="BP55" s="16">
        <v>0</v>
      </c>
      <c r="BQ55" s="16">
        <v>0</v>
      </c>
      <c r="BR55" s="16">
        <v>0</v>
      </c>
      <c r="BS55" s="207">
        <f t="shared" si="36"/>
        <v>168</v>
      </c>
      <c r="BT55" s="207">
        <f t="shared" si="37"/>
        <v>160</v>
      </c>
      <c r="BU55" s="207">
        <f t="shared" si="34"/>
        <v>184</v>
      </c>
      <c r="BV55" s="207">
        <f t="shared" si="23"/>
        <v>144</v>
      </c>
      <c r="BW55" s="207">
        <f t="shared" si="38"/>
        <v>0</v>
      </c>
      <c r="BX55" s="207">
        <f t="shared" si="39"/>
        <v>0</v>
      </c>
      <c r="BY55" s="207">
        <f t="shared" si="40"/>
        <v>0</v>
      </c>
      <c r="BZ55" s="207">
        <f t="shared" si="41"/>
        <v>0</v>
      </c>
      <c r="CA55" s="207">
        <f t="shared" si="42"/>
        <v>0</v>
      </c>
      <c r="CB55" s="207">
        <f t="shared" si="43"/>
        <v>0</v>
      </c>
      <c r="CC55" s="207">
        <f t="shared" si="44"/>
        <v>0</v>
      </c>
      <c r="CD55" s="207">
        <f t="shared" si="45"/>
        <v>0</v>
      </c>
      <c r="CE55" s="207">
        <f t="shared" si="35"/>
        <v>656</v>
      </c>
    </row>
    <row r="56" spans="1:83" ht="12" customHeight="1" x14ac:dyDescent="0.2">
      <c r="A56" s="6">
        <v>3</v>
      </c>
      <c r="B56" s="49" t="str">
        <f t="shared" si="17"/>
        <v>Peralta Boza Julio FreddyMP004</v>
      </c>
      <c r="C56" s="117" t="str">
        <f t="shared" si="46"/>
        <v>Peralta Boza Julio Freddy</v>
      </c>
      <c r="D56" s="49" t="str">
        <f>VLOOKUP(C56,Datos!$B$13:$C$83,2,0)</f>
        <v>CESADO</v>
      </c>
      <c r="E56" s="50" t="s">
        <v>44</v>
      </c>
      <c r="F56" s="49" t="str">
        <f>IFERROR(VLOOKUP(H56,Datos!$J$2:$L$60,3,0),"OBSERVCIONES")</f>
        <v>PROCESO</v>
      </c>
      <c r="G56" s="49"/>
      <c r="H56" s="50" t="s">
        <v>42</v>
      </c>
      <c r="I56" s="49" t="s">
        <v>304</v>
      </c>
      <c r="J56" s="49" t="s">
        <v>23</v>
      </c>
      <c r="K56" s="16">
        <v>40</v>
      </c>
      <c r="L56" s="16">
        <v>40</v>
      </c>
      <c r="M56" s="16">
        <v>40</v>
      </c>
      <c r="N56" s="16">
        <v>40</v>
      </c>
      <c r="O56" s="16">
        <v>16</v>
      </c>
      <c r="P56" s="16">
        <v>24</v>
      </c>
      <c r="Q56" s="16">
        <v>40</v>
      </c>
      <c r="R56" s="16">
        <v>40</v>
      </c>
      <c r="S56" s="16">
        <v>40</v>
      </c>
      <c r="T56" s="16">
        <v>16</v>
      </c>
      <c r="U56" s="16">
        <v>24</v>
      </c>
      <c r="V56" s="16">
        <v>40</v>
      </c>
      <c r="W56" s="16">
        <v>40</v>
      </c>
      <c r="X56" s="16">
        <v>40</v>
      </c>
      <c r="Y56" s="16">
        <v>40</v>
      </c>
      <c r="Z56" s="16">
        <v>40</v>
      </c>
      <c r="AA56" s="16">
        <v>24</v>
      </c>
      <c r="AB56" s="16">
        <v>40</v>
      </c>
      <c r="AC56" s="16">
        <v>40</v>
      </c>
      <c r="AD56" s="16">
        <v>32</v>
      </c>
      <c r="AE56" s="16">
        <v>40</v>
      </c>
      <c r="AF56" s="16">
        <v>40</v>
      </c>
      <c r="AG56" s="16">
        <v>40</v>
      </c>
      <c r="AH56" s="16">
        <v>24</v>
      </c>
      <c r="AI56" s="16">
        <v>16</v>
      </c>
      <c r="AJ56" s="16">
        <v>40</v>
      </c>
      <c r="AK56" s="16">
        <v>40</v>
      </c>
      <c r="AL56" s="16">
        <v>40</v>
      </c>
      <c r="AM56" s="16">
        <v>32</v>
      </c>
      <c r="AN56" s="16">
        <v>40</v>
      </c>
      <c r="AO56" s="16">
        <v>40</v>
      </c>
      <c r="AP56" s="16">
        <v>0</v>
      </c>
      <c r="AQ56" s="16">
        <v>0</v>
      </c>
      <c r="AR56" s="16">
        <v>0</v>
      </c>
      <c r="AS56" s="16">
        <v>0</v>
      </c>
      <c r="AT56" s="16">
        <v>0</v>
      </c>
      <c r="AU56" s="16">
        <v>0</v>
      </c>
      <c r="AV56" s="16">
        <v>0</v>
      </c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0</v>
      </c>
      <c r="BD56" s="16">
        <v>0</v>
      </c>
      <c r="BE56" s="16">
        <v>0</v>
      </c>
      <c r="BF56" s="16">
        <v>0</v>
      </c>
      <c r="BG56" s="16">
        <v>0</v>
      </c>
      <c r="BH56" s="16">
        <v>0</v>
      </c>
      <c r="BI56" s="16">
        <v>0</v>
      </c>
      <c r="BJ56" s="16">
        <v>0</v>
      </c>
      <c r="BK56" s="16">
        <v>0</v>
      </c>
      <c r="BL56" s="16">
        <v>0</v>
      </c>
      <c r="BM56" s="16">
        <v>0</v>
      </c>
      <c r="BN56" s="16">
        <v>0</v>
      </c>
      <c r="BO56" s="16">
        <v>0</v>
      </c>
      <c r="BP56" s="16">
        <v>0</v>
      </c>
      <c r="BQ56" s="16">
        <v>0</v>
      </c>
      <c r="BR56" s="16">
        <v>0</v>
      </c>
      <c r="BS56" s="207">
        <f t="shared" si="36"/>
        <v>176</v>
      </c>
      <c r="BT56" s="207">
        <f t="shared" si="37"/>
        <v>160</v>
      </c>
      <c r="BU56" s="207">
        <f t="shared" si="34"/>
        <v>184</v>
      </c>
      <c r="BV56" s="207">
        <f t="shared" si="23"/>
        <v>144</v>
      </c>
      <c r="BW56" s="207">
        <f t="shared" si="38"/>
        <v>176</v>
      </c>
      <c r="BX56" s="207">
        <f t="shared" si="39"/>
        <v>168</v>
      </c>
      <c r="BY56" s="207">
        <f t="shared" si="40"/>
        <v>80</v>
      </c>
      <c r="BZ56" s="207">
        <f t="shared" si="41"/>
        <v>0</v>
      </c>
      <c r="CA56" s="207">
        <f t="shared" si="42"/>
        <v>0</v>
      </c>
      <c r="CB56" s="207">
        <f t="shared" si="43"/>
        <v>0</v>
      </c>
      <c r="CC56" s="207">
        <f t="shared" si="44"/>
        <v>0</v>
      </c>
      <c r="CD56" s="207">
        <f t="shared" si="45"/>
        <v>0</v>
      </c>
      <c r="CE56" s="207">
        <f t="shared" si="35"/>
        <v>1088</v>
      </c>
    </row>
    <row r="57" spans="1:83" ht="12" customHeight="1" x14ac:dyDescent="0.2">
      <c r="A57" s="6">
        <v>3</v>
      </c>
      <c r="B57" s="49" t="str">
        <f t="shared" si="17"/>
        <v>Palomino Lanchipa Everth RomanMP004</v>
      </c>
      <c r="C57" s="117" t="str">
        <f t="shared" si="46"/>
        <v>Palomino Lanchipa Everth Roman</v>
      </c>
      <c r="D57" s="49" t="str">
        <f>VLOOKUP(C57,Datos!$B$13:$C$83,2,0)</f>
        <v>VIGENTE</v>
      </c>
      <c r="E57" s="50" t="s">
        <v>44</v>
      </c>
      <c r="F57" s="49" t="str">
        <f>IFERROR(VLOOKUP(H57,Datos!$J$2:$L$60,3,0),"OBSERVCIONES")</f>
        <v>PROCESO</v>
      </c>
      <c r="G57" s="49"/>
      <c r="H57" s="50" t="s">
        <v>42</v>
      </c>
      <c r="I57" s="49" t="s">
        <v>304</v>
      </c>
      <c r="J57" s="49" t="s">
        <v>430</v>
      </c>
      <c r="K57" s="16">
        <v>0</v>
      </c>
      <c r="L57" s="16">
        <v>0</v>
      </c>
      <c r="M57" s="16">
        <v>0</v>
      </c>
      <c r="N57" s="16">
        <v>0</v>
      </c>
      <c r="O57" s="16">
        <v>0</v>
      </c>
      <c r="P57" s="16">
        <v>0</v>
      </c>
      <c r="Q57" s="16">
        <v>0</v>
      </c>
      <c r="R57" s="16">
        <v>0</v>
      </c>
      <c r="S57" s="16">
        <v>0</v>
      </c>
      <c r="T57" s="16">
        <v>0</v>
      </c>
      <c r="U57" s="16">
        <v>0</v>
      </c>
      <c r="V57" s="16">
        <v>0</v>
      </c>
      <c r="W57" s="16">
        <v>0</v>
      </c>
      <c r="X57" s="16">
        <v>0</v>
      </c>
      <c r="Y57" s="16">
        <v>0</v>
      </c>
      <c r="Z57" s="16">
        <v>0</v>
      </c>
      <c r="AA57" s="16">
        <v>0</v>
      </c>
      <c r="AB57" s="16">
        <v>0</v>
      </c>
      <c r="AC57" s="16">
        <v>0</v>
      </c>
      <c r="AD57" s="16">
        <v>0</v>
      </c>
      <c r="AE57" s="16">
        <v>0</v>
      </c>
      <c r="AF57" s="16">
        <v>0</v>
      </c>
      <c r="AG57" s="16">
        <v>0</v>
      </c>
      <c r="AH57" s="16">
        <v>0</v>
      </c>
      <c r="AI57" s="16">
        <v>0</v>
      </c>
      <c r="AJ57" s="16">
        <v>0</v>
      </c>
      <c r="AK57" s="16">
        <v>0</v>
      </c>
      <c r="AL57" s="16">
        <v>0</v>
      </c>
      <c r="AM57" s="16">
        <v>0</v>
      </c>
      <c r="AN57" s="16">
        <v>40</v>
      </c>
      <c r="AO57" s="16">
        <v>40</v>
      </c>
      <c r="AP57" s="16">
        <v>40</v>
      </c>
      <c r="AQ57" s="16">
        <v>32</v>
      </c>
      <c r="AR57" s="16">
        <v>0</v>
      </c>
      <c r="AS57" s="16">
        <v>8</v>
      </c>
      <c r="AT57" s="16">
        <v>32</v>
      </c>
      <c r="AU57" s="16">
        <v>40</v>
      </c>
      <c r="AV57" s="16">
        <v>40</v>
      </c>
      <c r="AW57" s="16">
        <v>40</v>
      </c>
      <c r="AX57" s="16">
        <v>24</v>
      </c>
      <c r="AY57" s="16">
        <v>8</v>
      </c>
      <c r="AZ57" s="16">
        <v>40</v>
      </c>
      <c r="BA57" s="16">
        <v>40</v>
      </c>
      <c r="BB57" s="16">
        <v>40</v>
      </c>
      <c r="BC57" s="16">
        <v>40</v>
      </c>
      <c r="BD57" s="16">
        <v>40</v>
      </c>
      <c r="BE57" s="16">
        <v>0</v>
      </c>
      <c r="BF57" s="16">
        <v>0</v>
      </c>
      <c r="BG57" s="16">
        <v>0</v>
      </c>
      <c r="BH57" s="16">
        <v>0</v>
      </c>
      <c r="BI57" s="16">
        <v>0</v>
      </c>
      <c r="BJ57" s="16">
        <v>0</v>
      </c>
      <c r="BK57" s="16">
        <v>0</v>
      </c>
      <c r="BL57" s="16">
        <v>0</v>
      </c>
      <c r="BM57" s="16">
        <v>0</v>
      </c>
      <c r="BN57" s="16">
        <v>0</v>
      </c>
      <c r="BO57" s="16">
        <v>0</v>
      </c>
      <c r="BP57" s="16">
        <v>0</v>
      </c>
      <c r="BQ57" s="16">
        <v>0</v>
      </c>
      <c r="BR57" s="16">
        <v>0</v>
      </c>
      <c r="BS57" s="207">
        <f t="shared" si="36"/>
        <v>0</v>
      </c>
      <c r="BT57" s="207">
        <f t="shared" si="37"/>
        <v>0</v>
      </c>
      <c r="BU57" s="207">
        <f t="shared" si="34"/>
        <v>0</v>
      </c>
      <c r="BV57" s="207">
        <f t="shared" si="23"/>
        <v>0</v>
      </c>
      <c r="BW57" s="207">
        <f t="shared" si="38"/>
        <v>0</v>
      </c>
      <c r="BX57" s="207">
        <f t="shared" si="39"/>
        <v>0</v>
      </c>
      <c r="BY57" s="207">
        <f t="shared" si="40"/>
        <v>160</v>
      </c>
      <c r="BZ57" s="207">
        <f t="shared" si="41"/>
        <v>176</v>
      </c>
      <c r="CA57" s="207">
        <f t="shared" si="42"/>
        <v>168</v>
      </c>
      <c r="CB57" s="207">
        <f t="shared" si="43"/>
        <v>40</v>
      </c>
      <c r="CC57" s="207">
        <f t="shared" si="44"/>
        <v>0</v>
      </c>
      <c r="CD57" s="207">
        <f t="shared" si="45"/>
        <v>0</v>
      </c>
      <c r="CE57" s="207">
        <f t="shared" si="35"/>
        <v>544</v>
      </c>
    </row>
    <row r="58" spans="1:83" ht="12" customHeight="1" x14ac:dyDescent="0.2">
      <c r="A58" s="6">
        <v>4</v>
      </c>
      <c r="B58" s="49" t="str">
        <f t="shared" si="17"/>
        <v>Mendoza Ballona Erick WilfredoVACACIONES</v>
      </c>
      <c r="C58" s="117" t="str">
        <f t="shared" si="46"/>
        <v>Mendoza Ballona Erick Wilfredo</v>
      </c>
      <c r="D58" s="49" t="str">
        <f>VLOOKUP(C58,Datos!$B$13:$C$83,2,0)</f>
        <v>VIGENTE</v>
      </c>
      <c r="E58" s="50" t="s">
        <v>209</v>
      </c>
      <c r="F58" s="49"/>
      <c r="G58" s="49" t="str">
        <f>IFERROR(VLOOKUP(H58,Datos!$J$2:$L$60,3,0),"OBSERVACIONES")</f>
        <v>OBSERVACIONES</v>
      </c>
      <c r="H58" s="50" t="s">
        <v>209</v>
      </c>
      <c r="I58" s="49" t="s">
        <v>243</v>
      </c>
      <c r="J58" s="49" t="s">
        <v>20</v>
      </c>
      <c r="K58" s="16">
        <v>0</v>
      </c>
      <c r="L58" s="16">
        <v>0</v>
      </c>
      <c r="M58" s="16">
        <v>0</v>
      </c>
      <c r="N58" s="16">
        <v>0</v>
      </c>
      <c r="O58" s="16">
        <v>0</v>
      </c>
      <c r="P58" s="16">
        <v>0</v>
      </c>
      <c r="Q58" s="16">
        <v>0</v>
      </c>
      <c r="R58" s="16">
        <v>0</v>
      </c>
      <c r="S58" s="16">
        <v>0</v>
      </c>
      <c r="T58" s="16">
        <v>0</v>
      </c>
      <c r="U58" s="16">
        <v>0</v>
      </c>
      <c r="V58" s="16">
        <v>0</v>
      </c>
      <c r="W58" s="16">
        <v>0</v>
      </c>
      <c r="X58" s="16">
        <v>0</v>
      </c>
      <c r="Y58" s="16">
        <v>0</v>
      </c>
      <c r="Z58" s="16">
        <v>0</v>
      </c>
      <c r="AA58" s="16">
        <v>0</v>
      </c>
      <c r="AB58" s="16">
        <v>40</v>
      </c>
      <c r="AC58" s="16">
        <v>0</v>
      </c>
      <c r="AD58" s="16">
        <v>0</v>
      </c>
      <c r="AE58" s="16">
        <v>0</v>
      </c>
      <c r="AF58" s="16">
        <v>0</v>
      </c>
      <c r="AG58" s="16">
        <v>0</v>
      </c>
      <c r="AH58" s="16">
        <v>0</v>
      </c>
      <c r="AI58" s="16">
        <v>0</v>
      </c>
      <c r="AJ58" s="16">
        <v>0</v>
      </c>
      <c r="AK58" s="16">
        <v>0</v>
      </c>
      <c r="AL58" s="16">
        <v>0</v>
      </c>
      <c r="AM58" s="16">
        <v>4</v>
      </c>
      <c r="AN58" s="16">
        <v>0</v>
      </c>
      <c r="AO58" s="16">
        <v>0</v>
      </c>
      <c r="AP58" s="16">
        <v>0</v>
      </c>
      <c r="AQ58" s="16">
        <v>0</v>
      </c>
      <c r="AR58" s="16">
        <v>0</v>
      </c>
      <c r="AS58" s="16">
        <v>0</v>
      </c>
      <c r="AT58" s="16">
        <v>0</v>
      </c>
      <c r="AU58" s="16">
        <v>0</v>
      </c>
      <c r="AV58" s="16">
        <v>0</v>
      </c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0</v>
      </c>
      <c r="BD58" s="16">
        <v>0</v>
      </c>
      <c r="BE58" s="16">
        <v>0</v>
      </c>
      <c r="BF58" s="16">
        <v>0</v>
      </c>
      <c r="BG58" s="16">
        <v>0</v>
      </c>
      <c r="BH58" s="16">
        <v>0</v>
      </c>
      <c r="BI58" s="16">
        <v>0</v>
      </c>
      <c r="BJ58" s="16">
        <v>0</v>
      </c>
      <c r="BK58" s="16">
        <v>0</v>
      </c>
      <c r="BL58" s="16">
        <v>0</v>
      </c>
      <c r="BM58" s="16">
        <v>0</v>
      </c>
      <c r="BN58" s="16">
        <v>0</v>
      </c>
      <c r="BO58" s="16">
        <v>0</v>
      </c>
      <c r="BP58" s="16">
        <v>0</v>
      </c>
      <c r="BQ58" s="16">
        <v>0</v>
      </c>
      <c r="BR58" s="16">
        <v>0</v>
      </c>
      <c r="BS58" s="207">
        <f t="shared" si="36"/>
        <v>0</v>
      </c>
      <c r="BT58" s="207">
        <f t="shared" si="37"/>
        <v>0</v>
      </c>
      <c r="BU58" s="207">
        <f t="shared" si="34"/>
        <v>0</v>
      </c>
      <c r="BV58" s="207">
        <f t="shared" si="23"/>
        <v>40</v>
      </c>
      <c r="BW58" s="207">
        <f t="shared" si="38"/>
        <v>0</v>
      </c>
      <c r="BX58" s="207">
        <f t="shared" si="39"/>
        <v>4</v>
      </c>
      <c r="BY58" s="207">
        <f t="shared" si="40"/>
        <v>0</v>
      </c>
      <c r="BZ58" s="207">
        <f t="shared" si="41"/>
        <v>0</v>
      </c>
      <c r="CA58" s="207">
        <f t="shared" si="42"/>
        <v>0</v>
      </c>
      <c r="CB58" s="207">
        <f t="shared" si="43"/>
        <v>0</v>
      </c>
      <c r="CC58" s="207">
        <f t="shared" si="44"/>
        <v>0</v>
      </c>
      <c r="CD58" s="207">
        <f t="shared" si="45"/>
        <v>0</v>
      </c>
      <c r="CE58" s="207">
        <f t="shared" si="35"/>
        <v>44</v>
      </c>
    </row>
    <row r="59" spans="1:83" ht="12" customHeight="1" x14ac:dyDescent="0.2">
      <c r="A59" s="6">
        <v>5</v>
      </c>
      <c r="B59" s="49" t="str">
        <f t="shared" si="17"/>
        <v>Mendoza Ballona Erick WilfredoINASISTENCIAS</v>
      </c>
      <c r="C59" s="117" t="str">
        <f t="shared" si="46"/>
        <v>Mendoza Ballona Erick Wilfredo</v>
      </c>
      <c r="D59" s="49" t="str">
        <f>VLOOKUP(C59,Datos!$B$13:$C$83,2,0)</f>
        <v>VIGENTE</v>
      </c>
      <c r="E59" s="50" t="s">
        <v>208</v>
      </c>
      <c r="F59" s="49"/>
      <c r="G59" s="49" t="str">
        <f>IFERROR(VLOOKUP(H59,Datos!$J$2:$L$60,3,0),"OBSERVACIONES")</f>
        <v>OBSERVACIONES</v>
      </c>
      <c r="H59" s="50" t="s">
        <v>208</v>
      </c>
      <c r="I59" s="49" t="s">
        <v>210</v>
      </c>
      <c r="J59" s="49" t="s">
        <v>20</v>
      </c>
      <c r="K59" s="16">
        <v>0</v>
      </c>
      <c r="L59" s="16">
        <v>0</v>
      </c>
      <c r="M59" s="16">
        <v>8</v>
      </c>
      <c r="N59" s="16">
        <v>0</v>
      </c>
      <c r="O59" s="16">
        <v>0</v>
      </c>
      <c r="P59" s="16">
        <v>0</v>
      </c>
      <c r="Q59" s="16">
        <v>0</v>
      </c>
      <c r="R59" s="16">
        <v>0</v>
      </c>
      <c r="S59" s="16">
        <v>0</v>
      </c>
      <c r="T59" s="16">
        <v>0</v>
      </c>
      <c r="U59" s="16">
        <v>0</v>
      </c>
      <c r="V59" s="16">
        <v>0</v>
      </c>
      <c r="W59" s="16">
        <v>0</v>
      </c>
      <c r="X59" s="16">
        <v>0</v>
      </c>
      <c r="Y59" s="16">
        <v>0</v>
      </c>
      <c r="Z59" s="16">
        <v>0</v>
      </c>
      <c r="AA59" s="16">
        <v>0</v>
      </c>
      <c r="AB59" s="16">
        <v>0</v>
      </c>
      <c r="AC59" s="16">
        <v>0</v>
      </c>
      <c r="AD59" s="16">
        <v>0</v>
      </c>
      <c r="AE59" s="16">
        <v>0</v>
      </c>
      <c r="AF59" s="16">
        <v>0</v>
      </c>
      <c r="AG59" s="16">
        <v>16</v>
      </c>
      <c r="AH59" s="16">
        <v>0</v>
      </c>
      <c r="AI59" s="16">
        <v>0</v>
      </c>
      <c r="AJ59" s="16">
        <v>0</v>
      </c>
      <c r="AK59" s="16">
        <v>0</v>
      </c>
      <c r="AL59" s="16">
        <v>0</v>
      </c>
      <c r="AM59" s="16">
        <v>0</v>
      </c>
      <c r="AN59" s="16">
        <v>0</v>
      </c>
      <c r="AO59" s="16">
        <v>0</v>
      </c>
      <c r="AP59" s="16">
        <v>0</v>
      </c>
      <c r="AQ59" s="16">
        <v>0</v>
      </c>
      <c r="AR59" s="16">
        <v>0</v>
      </c>
      <c r="AS59" s="16">
        <v>0</v>
      </c>
      <c r="AT59" s="16">
        <v>0</v>
      </c>
      <c r="AU59" s="16">
        <v>0</v>
      </c>
      <c r="AV59" s="16">
        <v>0</v>
      </c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0</v>
      </c>
      <c r="BD59" s="16">
        <v>0</v>
      </c>
      <c r="BE59" s="16">
        <v>0</v>
      </c>
      <c r="BF59" s="16">
        <v>0</v>
      </c>
      <c r="BG59" s="16">
        <v>0</v>
      </c>
      <c r="BH59" s="16">
        <v>0</v>
      </c>
      <c r="BI59" s="16">
        <v>0</v>
      </c>
      <c r="BJ59" s="16">
        <v>0</v>
      </c>
      <c r="BK59" s="16">
        <v>0</v>
      </c>
      <c r="BL59" s="16">
        <v>0</v>
      </c>
      <c r="BM59" s="16">
        <v>0</v>
      </c>
      <c r="BN59" s="16">
        <v>0</v>
      </c>
      <c r="BO59" s="16">
        <v>0</v>
      </c>
      <c r="BP59" s="16">
        <v>0</v>
      </c>
      <c r="BQ59" s="16">
        <v>0</v>
      </c>
      <c r="BR59" s="16">
        <v>0</v>
      </c>
      <c r="BS59" s="207">
        <f t="shared" si="36"/>
        <v>8</v>
      </c>
      <c r="BT59" s="207">
        <f t="shared" si="37"/>
        <v>0</v>
      </c>
      <c r="BU59" s="207">
        <f t="shared" si="34"/>
        <v>0</v>
      </c>
      <c r="BV59" s="207">
        <f t="shared" si="23"/>
        <v>0</v>
      </c>
      <c r="BW59" s="207">
        <f t="shared" si="38"/>
        <v>16</v>
      </c>
      <c r="BX59" s="207">
        <f t="shared" si="39"/>
        <v>0</v>
      </c>
      <c r="BY59" s="207">
        <f t="shared" si="40"/>
        <v>0</v>
      </c>
      <c r="BZ59" s="207">
        <f t="shared" si="41"/>
        <v>0</v>
      </c>
      <c r="CA59" s="207">
        <f t="shared" si="42"/>
        <v>0</v>
      </c>
      <c r="CB59" s="207">
        <f t="shared" si="43"/>
        <v>0</v>
      </c>
      <c r="CC59" s="207">
        <f t="shared" si="44"/>
        <v>0</v>
      </c>
      <c r="CD59" s="207">
        <f t="shared" si="45"/>
        <v>0</v>
      </c>
      <c r="CE59" s="207">
        <f t="shared" si="35"/>
        <v>24</v>
      </c>
    </row>
    <row r="60" spans="1:83" ht="12" customHeight="1" x14ac:dyDescent="0.2">
      <c r="A60" s="6">
        <v>3</v>
      </c>
      <c r="B60" s="49" t="str">
        <f t="shared" si="17"/>
        <v>Mendoza Ballona Erick WilfredoMP004</v>
      </c>
      <c r="C60" s="117" t="str">
        <f t="shared" si="46"/>
        <v>Mendoza Ballona Erick Wilfredo</v>
      </c>
      <c r="D60" s="49" t="str">
        <f>VLOOKUP(C60,Datos!$B$13:$C$83,2,0)</f>
        <v>VIGENTE</v>
      </c>
      <c r="E60" s="50" t="s">
        <v>44</v>
      </c>
      <c r="F60" s="49" t="str">
        <f>IFERROR(VLOOKUP(H60,Datos!$J$2:$L$60,3,0),"OBSERVCIONES")</f>
        <v>PROCESO</v>
      </c>
      <c r="G60" s="49"/>
      <c r="H60" s="50" t="s">
        <v>42</v>
      </c>
      <c r="I60" s="49" t="s">
        <v>304</v>
      </c>
      <c r="J60" s="49" t="s">
        <v>20</v>
      </c>
      <c r="K60" s="16">
        <v>40</v>
      </c>
      <c r="L60" s="16">
        <v>40</v>
      </c>
      <c r="M60" s="16">
        <v>32</v>
      </c>
      <c r="N60" s="16">
        <v>40</v>
      </c>
      <c r="O60" s="16">
        <v>16</v>
      </c>
      <c r="P60" s="16">
        <v>24</v>
      </c>
      <c r="Q60" s="16">
        <v>40</v>
      </c>
      <c r="R60" s="16">
        <v>40</v>
      </c>
      <c r="S60" s="16">
        <v>40</v>
      </c>
      <c r="T60" s="16">
        <v>16</v>
      </c>
      <c r="U60" s="16">
        <v>24</v>
      </c>
      <c r="V60" s="16">
        <v>40</v>
      </c>
      <c r="W60" s="16">
        <v>40</v>
      </c>
      <c r="X60" s="16">
        <v>40</v>
      </c>
      <c r="Y60" s="16">
        <v>40</v>
      </c>
      <c r="Z60" s="16">
        <v>40</v>
      </c>
      <c r="AA60" s="16">
        <v>24</v>
      </c>
      <c r="AB60" s="16">
        <v>0</v>
      </c>
      <c r="AC60" s="16">
        <v>40</v>
      </c>
      <c r="AD60" s="16">
        <v>32</v>
      </c>
      <c r="AE60" s="16">
        <v>40</v>
      </c>
      <c r="AF60" s="16">
        <v>40</v>
      </c>
      <c r="AG60" s="16">
        <v>24</v>
      </c>
      <c r="AH60" s="16">
        <v>24</v>
      </c>
      <c r="AI60" s="16">
        <v>16</v>
      </c>
      <c r="AJ60" s="16">
        <v>40</v>
      </c>
      <c r="AK60" s="16">
        <v>40</v>
      </c>
      <c r="AL60" s="16">
        <v>40</v>
      </c>
      <c r="AM60" s="16">
        <v>28</v>
      </c>
      <c r="AN60" s="16">
        <v>40</v>
      </c>
      <c r="AO60" s="16">
        <v>40</v>
      </c>
      <c r="AP60" s="16">
        <v>40</v>
      </c>
      <c r="AQ60" s="16">
        <v>32</v>
      </c>
      <c r="AR60" s="16">
        <v>0</v>
      </c>
      <c r="AS60" s="16">
        <v>8</v>
      </c>
      <c r="AT60" s="16">
        <v>32</v>
      </c>
      <c r="AU60" s="16">
        <v>40</v>
      </c>
      <c r="AV60" s="16">
        <v>40</v>
      </c>
      <c r="AW60" s="16">
        <v>40</v>
      </c>
      <c r="AX60" s="16">
        <v>24</v>
      </c>
      <c r="AY60" s="16">
        <v>8</v>
      </c>
      <c r="AZ60" s="16">
        <v>40</v>
      </c>
      <c r="BA60" s="16">
        <v>40</v>
      </c>
      <c r="BB60" s="16">
        <v>40</v>
      </c>
      <c r="BC60" s="16">
        <v>40</v>
      </c>
      <c r="BD60" s="16">
        <v>40</v>
      </c>
      <c r="BE60" s="16">
        <v>0</v>
      </c>
      <c r="BF60" s="16">
        <v>0</v>
      </c>
      <c r="BG60" s="16">
        <v>0</v>
      </c>
      <c r="BH60" s="16">
        <v>0</v>
      </c>
      <c r="BI60" s="16">
        <v>0</v>
      </c>
      <c r="BJ60" s="16">
        <v>0</v>
      </c>
      <c r="BK60" s="16">
        <v>0</v>
      </c>
      <c r="BL60" s="16">
        <v>0</v>
      </c>
      <c r="BM60" s="16">
        <v>0</v>
      </c>
      <c r="BN60" s="16">
        <v>0</v>
      </c>
      <c r="BO60" s="16">
        <v>0</v>
      </c>
      <c r="BP60" s="16">
        <v>0</v>
      </c>
      <c r="BQ60" s="16">
        <v>0</v>
      </c>
      <c r="BR60" s="16">
        <v>0</v>
      </c>
      <c r="BS60" s="207">
        <f t="shared" si="36"/>
        <v>168</v>
      </c>
      <c r="BT60" s="207">
        <f t="shared" si="37"/>
        <v>160</v>
      </c>
      <c r="BU60" s="207">
        <f t="shared" si="34"/>
        <v>184</v>
      </c>
      <c r="BV60" s="207">
        <f t="shared" si="23"/>
        <v>104</v>
      </c>
      <c r="BW60" s="207">
        <f t="shared" si="38"/>
        <v>160</v>
      </c>
      <c r="BX60" s="207">
        <f t="shared" si="39"/>
        <v>164</v>
      </c>
      <c r="BY60" s="207">
        <f t="shared" si="40"/>
        <v>160</v>
      </c>
      <c r="BZ60" s="207">
        <f t="shared" si="41"/>
        <v>176</v>
      </c>
      <c r="CA60" s="207">
        <f t="shared" si="42"/>
        <v>168</v>
      </c>
      <c r="CB60" s="207">
        <f t="shared" si="43"/>
        <v>40</v>
      </c>
      <c r="CC60" s="207">
        <f t="shared" si="44"/>
        <v>0</v>
      </c>
      <c r="CD60" s="207">
        <f t="shared" si="45"/>
        <v>0</v>
      </c>
      <c r="CE60" s="207">
        <f t="shared" si="35"/>
        <v>1484</v>
      </c>
    </row>
    <row r="61" spans="1:83" ht="12" customHeight="1" x14ac:dyDescent="0.2">
      <c r="A61" s="6">
        <v>4</v>
      </c>
      <c r="B61" s="49" t="str">
        <f t="shared" si="17"/>
        <v>Atanacio Gonzales Demetrio JesusVACACIONES</v>
      </c>
      <c r="C61" s="117" t="str">
        <f t="shared" si="46"/>
        <v>Atanacio Gonzales Demetrio Jesus</v>
      </c>
      <c r="D61" s="49" t="str">
        <f>VLOOKUP(C61,Datos!$B$13:$C$83,2,0)</f>
        <v>VIGENTE</v>
      </c>
      <c r="E61" s="50" t="s">
        <v>209</v>
      </c>
      <c r="F61" s="49"/>
      <c r="G61" s="49" t="str">
        <f>IFERROR(VLOOKUP(H61,Datos!$J$2:$L$60,3,0),"OBSERVACIONES")</f>
        <v>OBSERVACIONES</v>
      </c>
      <c r="H61" s="50" t="s">
        <v>209</v>
      </c>
      <c r="I61" s="49" t="s">
        <v>243</v>
      </c>
      <c r="J61" s="49" t="s">
        <v>3</v>
      </c>
      <c r="K61" s="16">
        <v>0</v>
      </c>
      <c r="L61" s="16">
        <v>0</v>
      </c>
      <c r="M61" s="16">
        <v>0</v>
      </c>
      <c r="N61" s="16">
        <v>0</v>
      </c>
      <c r="O61" s="16">
        <v>0</v>
      </c>
      <c r="P61" s="16">
        <v>0</v>
      </c>
      <c r="Q61" s="16">
        <v>0</v>
      </c>
      <c r="R61" s="16">
        <v>0</v>
      </c>
      <c r="S61" s="16">
        <v>0</v>
      </c>
      <c r="T61" s="16">
        <v>0</v>
      </c>
      <c r="U61" s="16">
        <v>0</v>
      </c>
      <c r="V61" s="16">
        <v>0</v>
      </c>
      <c r="W61" s="16">
        <v>0</v>
      </c>
      <c r="X61" s="16">
        <v>0</v>
      </c>
      <c r="Y61" s="16">
        <v>0</v>
      </c>
      <c r="Z61" s="16">
        <v>0</v>
      </c>
      <c r="AA61" s="16">
        <v>0</v>
      </c>
      <c r="AB61" s="16">
        <v>0</v>
      </c>
      <c r="AC61" s="16">
        <v>0</v>
      </c>
      <c r="AD61" s="16">
        <v>0</v>
      </c>
      <c r="AE61" s="16">
        <v>0</v>
      </c>
      <c r="AF61" s="16">
        <v>0</v>
      </c>
      <c r="AG61" s="16">
        <v>0</v>
      </c>
      <c r="AH61" s="16">
        <v>0</v>
      </c>
      <c r="AI61" s="16">
        <v>0</v>
      </c>
      <c r="AJ61" s="16">
        <v>0</v>
      </c>
      <c r="AK61" s="16">
        <v>0</v>
      </c>
      <c r="AL61" s="16">
        <v>0</v>
      </c>
      <c r="AM61" s="16">
        <v>0</v>
      </c>
      <c r="AN61" s="16">
        <v>0</v>
      </c>
      <c r="AO61" s="16">
        <v>0</v>
      </c>
      <c r="AP61" s="16">
        <v>0</v>
      </c>
      <c r="AQ61" s="16">
        <v>0</v>
      </c>
      <c r="AR61" s="16">
        <v>0</v>
      </c>
      <c r="AS61" s="16">
        <v>8</v>
      </c>
      <c r="AT61" s="16">
        <v>32</v>
      </c>
      <c r="AU61" s="16">
        <v>0</v>
      </c>
      <c r="AV61" s="16">
        <v>0</v>
      </c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0</v>
      </c>
      <c r="BD61" s="16">
        <v>0</v>
      </c>
      <c r="BE61" s="16">
        <v>0</v>
      </c>
      <c r="BF61" s="16">
        <v>0</v>
      </c>
      <c r="BG61" s="16">
        <v>0</v>
      </c>
      <c r="BH61" s="16">
        <v>0</v>
      </c>
      <c r="BI61" s="16">
        <v>0</v>
      </c>
      <c r="BJ61" s="16">
        <v>0</v>
      </c>
      <c r="BK61" s="16">
        <v>0</v>
      </c>
      <c r="BL61" s="16">
        <v>0</v>
      </c>
      <c r="BM61" s="16">
        <v>0</v>
      </c>
      <c r="BN61" s="16">
        <v>0</v>
      </c>
      <c r="BO61" s="16">
        <v>0</v>
      </c>
      <c r="BP61" s="16">
        <v>0</v>
      </c>
      <c r="BQ61" s="16">
        <v>0</v>
      </c>
      <c r="BR61" s="16">
        <v>0</v>
      </c>
      <c r="BS61" s="207">
        <f t="shared" si="36"/>
        <v>0</v>
      </c>
      <c r="BT61" s="207">
        <f t="shared" si="37"/>
        <v>0</v>
      </c>
      <c r="BU61" s="207">
        <f t="shared" si="34"/>
        <v>0</v>
      </c>
      <c r="BV61" s="207">
        <f t="shared" si="23"/>
        <v>0</v>
      </c>
      <c r="BW61" s="207">
        <f t="shared" si="38"/>
        <v>0</v>
      </c>
      <c r="BX61" s="207">
        <f t="shared" si="39"/>
        <v>0</v>
      </c>
      <c r="BY61" s="207">
        <f t="shared" si="40"/>
        <v>8</v>
      </c>
      <c r="BZ61" s="207">
        <f t="shared" si="41"/>
        <v>32</v>
      </c>
      <c r="CA61" s="207">
        <f t="shared" si="42"/>
        <v>0</v>
      </c>
      <c r="CB61" s="207">
        <f t="shared" si="43"/>
        <v>0</v>
      </c>
      <c r="CC61" s="207">
        <f t="shared" si="44"/>
        <v>0</v>
      </c>
      <c r="CD61" s="207">
        <f t="shared" si="45"/>
        <v>0</v>
      </c>
      <c r="CE61" s="207">
        <f t="shared" si="35"/>
        <v>40</v>
      </c>
    </row>
    <row r="62" spans="1:83" ht="12" customHeight="1" x14ac:dyDescent="0.2">
      <c r="A62" s="6">
        <v>3</v>
      </c>
      <c r="B62" s="49" t="str">
        <f t="shared" si="17"/>
        <v>Atanacio Gonzales Demetrio JesusMP004</v>
      </c>
      <c r="C62" s="117" t="str">
        <f t="shared" si="46"/>
        <v>Atanacio Gonzales Demetrio Jesus</v>
      </c>
      <c r="D62" s="49" t="str">
        <f>VLOOKUP(C62,Datos!$B$13:$C$83,2,0)</f>
        <v>VIGENTE</v>
      </c>
      <c r="E62" s="50" t="s">
        <v>44</v>
      </c>
      <c r="F62" s="49" t="str">
        <f>IFERROR(VLOOKUP(H62,Datos!$J$2:$L$60,3,0),"OBSERVCIONES")</f>
        <v>PROCESO</v>
      </c>
      <c r="G62" s="49"/>
      <c r="H62" s="50" t="s">
        <v>42</v>
      </c>
      <c r="I62" s="49" t="s">
        <v>304</v>
      </c>
      <c r="J62" s="49" t="s">
        <v>3</v>
      </c>
      <c r="K62" s="16">
        <v>40</v>
      </c>
      <c r="L62" s="16">
        <v>40</v>
      </c>
      <c r="M62" s="16">
        <v>40</v>
      </c>
      <c r="N62" s="16">
        <v>40</v>
      </c>
      <c r="O62" s="16">
        <v>10</v>
      </c>
      <c r="P62" s="16">
        <v>24</v>
      </c>
      <c r="Q62" s="16">
        <v>40</v>
      </c>
      <c r="R62" s="16">
        <v>40</v>
      </c>
      <c r="S62" s="16">
        <v>32</v>
      </c>
      <c r="T62" s="16">
        <v>16</v>
      </c>
      <c r="U62" s="16">
        <v>24</v>
      </c>
      <c r="V62" s="16">
        <v>40</v>
      </c>
      <c r="W62" s="16">
        <v>40</v>
      </c>
      <c r="X62" s="16">
        <v>40</v>
      </c>
      <c r="Y62" s="16">
        <v>40</v>
      </c>
      <c r="Z62" s="16">
        <v>40</v>
      </c>
      <c r="AA62" s="16">
        <v>16</v>
      </c>
      <c r="AB62" s="16">
        <v>24</v>
      </c>
      <c r="AC62" s="16">
        <v>40</v>
      </c>
      <c r="AD62" s="16">
        <v>32</v>
      </c>
      <c r="AE62" s="16">
        <v>40</v>
      </c>
      <c r="AF62" s="16">
        <v>40</v>
      </c>
      <c r="AG62" s="16">
        <v>40</v>
      </c>
      <c r="AH62" s="16">
        <v>24</v>
      </c>
      <c r="AI62" s="16">
        <v>16</v>
      </c>
      <c r="AJ62" s="16">
        <v>40</v>
      </c>
      <c r="AK62" s="16">
        <v>40</v>
      </c>
      <c r="AL62" s="16">
        <v>40</v>
      </c>
      <c r="AM62" s="16">
        <v>32</v>
      </c>
      <c r="AN62" s="16">
        <v>40</v>
      </c>
      <c r="AO62" s="16">
        <v>40</v>
      </c>
      <c r="AP62" s="16">
        <v>40</v>
      </c>
      <c r="AQ62" s="16">
        <v>32</v>
      </c>
      <c r="AR62" s="16">
        <v>0</v>
      </c>
      <c r="AS62" s="16">
        <v>0</v>
      </c>
      <c r="AT62" s="16">
        <v>0</v>
      </c>
      <c r="AU62" s="16">
        <v>40</v>
      </c>
      <c r="AV62" s="16">
        <v>40</v>
      </c>
      <c r="AW62" s="16">
        <v>32</v>
      </c>
      <c r="AX62" s="16">
        <v>24</v>
      </c>
      <c r="AY62" s="16">
        <v>8</v>
      </c>
      <c r="AZ62" s="16">
        <v>40</v>
      </c>
      <c r="BA62" s="16">
        <v>40</v>
      </c>
      <c r="BB62" s="16">
        <v>32</v>
      </c>
      <c r="BC62" s="16">
        <v>40</v>
      </c>
      <c r="BD62" s="16">
        <v>32</v>
      </c>
      <c r="BE62" s="16">
        <v>0</v>
      </c>
      <c r="BF62" s="16">
        <v>0</v>
      </c>
      <c r="BG62" s="16">
        <v>0</v>
      </c>
      <c r="BH62" s="16">
        <v>0</v>
      </c>
      <c r="BI62" s="16">
        <v>0</v>
      </c>
      <c r="BJ62" s="16">
        <v>0</v>
      </c>
      <c r="BK62" s="16">
        <v>0</v>
      </c>
      <c r="BL62" s="16">
        <v>0</v>
      </c>
      <c r="BM62" s="16">
        <v>0</v>
      </c>
      <c r="BN62" s="16">
        <v>0</v>
      </c>
      <c r="BO62" s="16">
        <v>0</v>
      </c>
      <c r="BP62" s="16">
        <v>0</v>
      </c>
      <c r="BQ62" s="16">
        <v>0</v>
      </c>
      <c r="BR62" s="16">
        <v>0</v>
      </c>
      <c r="BS62" s="207">
        <f t="shared" si="36"/>
        <v>170</v>
      </c>
      <c r="BT62" s="207">
        <f t="shared" si="37"/>
        <v>152</v>
      </c>
      <c r="BU62" s="207">
        <f t="shared" si="34"/>
        <v>184</v>
      </c>
      <c r="BV62" s="207">
        <f t="shared" si="23"/>
        <v>120</v>
      </c>
      <c r="BW62" s="207">
        <f t="shared" si="38"/>
        <v>176</v>
      </c>
      <c r="BX62" s="207">
        <f t="shared" si="39"/>
        <v>168</v>
      </c>
      <c r="BY62" s="207">
        <f t="shared" si="40"/>
        <v>152</v>
      </c>
      <c r="BZ62" s="207">
        <f t="shared" si="41"/>
        <v>136</v>
      </c>
      <c r="CA62" s="207">
        <f t="shared" si="42"/>
        <v>160</v>
      </c>
      <c r="CB62" s="207">
        <f t="shared" si="43"/>
        <v>32</v>
      </c>
      <c r="CC62" s="207">
        <f t="shared" si="44"/>
        <v>0</v>
      </c>
      <c r="CD62" s="207">
        <f t="shared" si="45"/>
        <v>0</v>
      </c>
      <c r="CE62" s="207">
        <f t="shared" si="35"/>
        <v>1450</v>
      </c>
    </row>
    <row r="63" spans="1:83" ht="12" customHeight="1" x14ac:dyDescent="0.2">
      <c r="A63" s="6">
        <v>1</v>
      </c>
      <c r="B63" s="49" t="str">
        <f t="shared" si="17"/>
        <v>De la Cruz Hurtado DanyNO FACT.</v>
      </c>
      <c r="C63" s="117" t="str">
        <f t="shared" si="46"/>
        <v>De la Cruz Hurtado Dany</v>
      </c>
      <c r="D63" s="49" t="str">
        <f>VLOOKUP(C63,Datos!$B$13:$C$83,2,0)</f>
        <v>VIGENTE</v>
      </c>
      <c r="E63" s="50" t="s">
        <v>75</v>
      </c>
      <c r="F63" s="49"/>
      <c r="G63" s="49" t="str">
        <f>IFERROR(VLOOKUP(H63,Datos!$J$2:$L$60,3,0),"OBSERVACIONES")</f>
        <v>OBSERVACIONES</v>
      </c>
      <c r="H63" s="50" t="s">
        <v>75</v>
      </c>
      <c r="I63" s="49" t="s">
        <v>131</v>
      </c>
      <c r="J63" s="49" t="s">
        <v>10</v>
      </c>
      <c r="K63" s="16">
        <v>0</v>
      </c>
      <c r="L63" s="16">
        <v>0</v>
      </c>
      <c r="M63" s="16">
        <v>0</v>
      </c>
      <c r="N63" s="16">
        <v>0</v>
      </c>
      <c r="O63" s="16">
        <v>0</v>
      </c>
      <c r="P63" s="16">
        <v>0</v>
      </c>
      <c r="Q63" s="16">
        <v>0</v>
      </c>
      <c r="R63" s="16">
        <v>0</v>
      </c>
      <c r="S63" s="16">
        <v>0</v>
      </c>
      <c r="T63" s="16">
        <v>0</v>
      </c>
      <c r="U63" s="16">
        <v>0</v>
      </c>
      <c r="V63" s="16">
        <v>0</v>
      </c>
      <c r="W63" s="16">
        <v>0</v>
      </c>
      <c r="X63" s="16">
        <v>0</v>
      </c>
      <c r="Y63" s="16">
        <v>0</v>
      </c>
      <c r="Z63" s="16">
        <v>0</v>
      </c>
      <c r="AA63" s="16">
        <v>0</v>
      </c>
      <c r="AB63" s="16">
        <v>0</v>
      </c>
      <c r="AC63" s="16">
        <v>0</v>
      </c>
      <c r="AD63" s="16">
        <v>0</v>
      </c>
      <c r="AE63" s="16">
        <v>0</v>
      </c>
      <c r="AF63" s="16">
        <v>0</v>
      </c>
      <c r="AG63" s="16">
        <v>0</v>
      </c>
      <c r="AH63" s="16">
        <v>0</v>
      </c>
      <c r="AI63" s="16">
        <v>8</v>
      </c>
      <c r="AJ63" s="16">
        <v>0</v>
      </c>
      <c r="AK63" s="16">
        <v>0</v>
      </c>
      <c r="AL63" s="16">
        <v>0</v>
      </c>
      <c r="AM63" s="16">
        <v>0</v>
      </c>
      <c r="AN63" s="16">
        <v>0</v>
      </c>
      <c r="AO63" s="16">
        <v>0</v>
      </c>
      <c r="AP63" s="16">
        <v>0</v>
      </c>
      <c r="AQ63" s="16">
        <v>0</v>
      </c>
      <c r="AR63" s="16">
        <v>0</v>
      </c>
      <c r="AS63" s="16">
        <v>0</v>
      </c>
      <c r="AT63" s="16">
        <v>3</v>
      </c>
      <c r="AU63" s="16">
        <v>2</v>
      </c>
      <c r="AV63" s="16">
        <v>0</v>
      </c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2</v>
      </c>
      <c r="BD63" s="16">
        <v>0</v>
      </c>
      <c r="BE63" s="16">
        <v>0</v>
      </c>
      <c r="BF63" s="16">
        <v>0</v>
      </c>
      <c r="BG63" s="16">
        <v>0</v>
      </c>
      <c r="BH63" s="16">
        <v>0</v>
      </c>
      <c r="BI63" s="16">
        <v>0</v>
      </c>
      <c r="BJ63" s="16">
        <v>0</v>
      </c>
      <c r="BK63" s="16">
        <v>0</v>
      </c>
      <c r="BL63" s="16">
        <v>0</v>
      </c>
      <c r="BM63" s="16">
        <v>0</v>
      </c>
      <c r="BN63" s="16">
        <v>0</v>
      </c>
      <c r="BO63" s="16">
        <v>0</v>
      </c>
      <c r="BP63" s="16">
        <v>0</v>
      </c>
      <c r="BQ63" s="16">
        <v>0</v>
      </c>
      <c r="BR63" s="16">
        <v>0</v>
      </c>
      <c r="BS63" s="207">
        <f t="shared" si="36"/>
        <v>0</v>
      </c>
      <c r="BT63" s="207">
        <f t="shared" si="37"/>
        <v>0</v>
      </c>
      <c r="BU63" s="207">
        <f t="shared" si="34"/>
        <v>0</v>
      </c>
      <c r="BV63" s="207">
        <f t="shared" si="23"/>
        <v>0</v>
      </c>
      <c r="BW63" s="207">
        <f t="shared" si="38"/>
        <v>0</v>
      </c>
      <c r="BX63" s="207">
        <f t="shared" si="39"/>
        <v>8</v>
      </c>
      <c r="BY63" s="207">
        <f t="shared" si="40"/>
        <v>0</v>
      </c>
      <c r="BZ63" s="207">
        <f t="shared" si="41"/>
        <v>5</v>
      </c>
      <c r="CA63" s="207">
        <f t="shared" si="42"/>
        <v>2</v>
      </c>
      <c r="CB63" s="207">
        <f t="shared" si="43"/>
        <v>0</v>
      </c>
      <c r="CC63" s="207">
        <f t="shared" si="44"/>
        <v>0</v>
      </c>
      <c r="CD63" s="207">
        <f t="shared" si="45"/>
        <v>0</v>
      </c>
      <c r="CE63" s="207">
        <f t="shared" si="35"/>
        <v>15</v>
      </c>
    </row>
    <row r="64" spans="1:83" ht="12" customHeight="1" x14ac:dyDescent="0.2">
      <c r="A64" s="6">
        <v>5</v>
      </c>
      <c r="B64" s="49" t="str">
        <f t="shared" si="17"/>
        <v>De la Cruz Hurtado DanyINASISTENCIAS</v>
      </c>
      <c r="C64" s="117" t="str">
        <f t="shared" si="46"/>
        <v>De la Cruz Hurtado Dany</v>
      </c>
      <c r="D64" s="49" t="str">
        <f>VLOOKUP(C64,Datos!$B$13:$C$83,2,0)</f>
        <v>VIGENTE</v>
      </c>
      <c r="E64" s="50" t="s">
        <v>208</v>
      </c>
      <c r="F64" s="49"/>
      <c r="G64" s="49" t="str">
        <f>IFERROR(VLOOKUP(H64,Datos!$J$2:$L$60,3,0),"OBSERVACIONES")</f>
        <v>OBSERVACIONES</v>
      </c>
      <c r="H64" s="50" t="s">
        <v>208</v>
      </c>
      <c r="I64" s="49" t="s">
        <v>210</v>
      </c>
      <c r="J64" s="49" t="s">
        <v>10</v>
      </c>
      <c r="K64" s="16">
        <v>0</v>
      </c>
      <c r="L64" s="16">
        <v>0</v>
      </c>
      <c r="M64" s="16">
        <v>0</v>
      </c>
      <c r="N64" s="16">
        <v>0</v>
      </c>
      <c r="O64" s="16">
        <v>0</v>
      </c>
      <c r="P64" s="16">
        <v>0</v>
      </c>
      <c r="Q64" s="16">
        <v>0</v>
      </c>
      <c r="R64" s="16">
        <v>0</v>
      </c>
      <c r="S64" s="16">
        <v>0</v>
      </c>
      <c r="T64" s="16">
        <v>0</v>
      </c>
      <c r="U64" s="16">
        <v>0</v>
      </c>
      <c r="V64" s="16">
        <v>0</v>
      </c>
      <c r="W64" s="16">
        <v>0</v>
      </c>
      <c r="X64" s="16">
        <v>0</v>
      </c>
      <c r="Y64" s="16">
        <v>0</v>
      </c>
      <c r="Z64" s="16">
        <v>0</v>
      </c>
      <c r="AA64" s="16">
        <v>0</v>
      </c>
      <c r="AB64" s="16">
        <v>0</v>
      </c>
      <c r="AC64" s="16">
        <v>0</v>
      </c>
      <c r="AD64" s="16">
        <v>8</v>
      </c>
      <c r="AE64" s="16">
        <v>0</v>
      </c>
      <c r="AF64" s="16">
        <v>0</v>
      </c>
      <c r="AG64" s="16">
        <v>0</v>
      </c>
      <c r="AH64" s="16">
        <v>0</v>
      </c>
      <c r="AI64" s="16">
        <v>0</v>
      </c>
      <c r="AJ64" s="16">
        <v>0</v>
      </c>
      <c r="AK64" s="16">
        <v>0</v>
      </c>
      <c r="AL64" s="16">
        <v>0</v>
      </c>
      <c r="AM64" s="16">
        <v>0</v>
      </c>
      <c r="AN64" s="16">
        <v>0</v>
      </c>
      <c r="AO64" s="16">
        <v>0</v>
      </c>
      <c r="AP64" s="16">
        <v>0</v>
      </c>
      <c r="AQ64" s="16">
        <v>0</v>
      </c>
      <c r="AR64" s="16">
        <v>0</v>
      </c>
      <c r="AS64" s="16">
        <v>0</v>
      </c>
      <c r="AT64" s="16">
        <v>0</v>
      </c>
      <c r="AU64" s="16">
        <v>0</v>
      </c>
      <c r="AV64" s="16">
        <v>0</v>
      </c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0</v>
      </c>
      <c r="BD64" s="16">
        <v>0</v>
      </c>
      <c r="BE64" s="16">
        <v>0</v>
      </c>
      <c r="BF64" s="16">
        <v>0</v>
      </c>
      <c r="BG64" s="16">
        <v>0</v>
      </c>
      <c r="BH64" s="16">
        <v>0</v>
      </c>
      <c r="BI64" s="16">
        <v>0</v>
      </c>
      <c r="BJ64" s="16">
        <v>0</v>
      </c>
      <c r="BK64" s="16">
        <v>0</v>
      </c>
      <c r="BL64" s="16">
        <v>0</v>
      </c>
      <c r="BM64" s="16">
        <v>0</v>
      </c>
      <c r="BN64" s="16">
        <v>0</v>
      </c>
      <c r="BO64" s="16">
        <v>0</v>
      </c>
      <c r="BP64" s="16">
        <v>0</v>
      </c>
      <c r="BQ64" s="16">
        <v>0</v>
      </c>
      <c r="BR64" s="16">
        <v>0</v>
      </c>
      <c r="BS64" s="207">
        <f t="shared" si="36"/>
        <v>0</v>
      </c>
      <c r="BT64" s="207">
        <f t="shared" si="37"/>
        <v>0</v>
      </c>
      <c r="BU64" s="207">
        <f t="shared" si="34"/>
        <v>0</v>
      </c>
      <c r="BV64" s="207">
        <f t="shared" si="23"/>
        <v>0</v>
      </c>
      <c r="BW64" s="207">
        <f t="shared" si="38"/>
        <v>8</v>
      </c>
      <c r="BX64" s="207">
        <f t="shared" si="39"/>
        <v>0</v>
      </c>
      <c r="BY64" s="207">
        <f t="shared" si="40"/>
        <v>0</v>
      </c>
      <c r="BZ64" s="207">
        <f t="shared" si="41"/>
        <v>0</v>
      </c>
      <c r="CA64" s="207">
        <f t="shared" si="42"/>
        <v>0</v>
      </c>
      <c r="CB64" s="207">
        <f t="shared" si="43"/>
        <v>0</v>
      </c>
      <c r="CC64" s="207">
        <f t="shared" si="44"/>
        <v>0</v>
      </c>
      <c r="CD64" s="207">
        <f t="shared" si="45"/>
        <v>0</v>
      </c>
      <c r="CE64" s="207">
        <f t="shared" si="35"/>
        <v>8</v>
      </c>
    </row>
    <row r="65" spans="1:83" ht="12" customHeight="1" x14ac:dyDescent="0.2">
      <c r="A65" s="6">
        <v>3</v>
      </c>
      <c r="B65" s="49" t="str">
        <f t="shared" si="17"/>
        <v>De la Cruz Hurtado DanyP0027</v>
      </c>
      <c r="C65" s="117" t="str">
        <f t="shared" si="46"/>
        <v>De la Cruz Hurtado Dany</v>
      </c>
      <c r="D65" s="49" t="str">
        <f>VLOOKUP(C65,Datos!$B$13:$C$83,2,0)</f>
        <v>VIGENTE</v>
      </c>
      <c r="E65" s="50" t="s">
        <v>103</v>
      </c>
      <c r="F65" s="49" t="str">
        <f>IFERROR(VLOOKUP(H65,Datos!$J$2:$L$60,3,0),"OBSERVCIONES")</f>
        <v>PROCESO</v>
      </c>
      <c r="G65" s="49"/>
      <c r="H65" s="50" t="s">
        <v>361</v>
      </c>
      <c r="I65" s="49" t="s">
        <v>362</v>
      </c>
      <c r="J65" s="49" t="s">
        <v>10</v>
      </c>
      <c r="K65" s="16">
        <v>0</v>
      </c>
      <c r="L65" s="16">
        <v>0</v>
      </c>
      <c r="M65" s="16">
        <v>0</v>
      </c>
      <c r="N65" s="16">
        <v>0</v>
      </c>
      <c r="O65" s="16">
        <v>0</v>
      </c>
      <c r="P65" s="16">
        <v>0</v>
      </c>
      <c r="Q65" s="16">
        <v>0</v>
      </c>
      <c r="R65" s="16">
        <v>0</v>
      </c>
      <c r="S65" s="16">
        <v>0</v>
      </c>
      <c r="T65" s="16">
        <v>0</v>
      </c>
      <c r="U65" s="16">
        <v>0</v>
      </c>
      <c r="V65" s="16">
        <v>0</v>
      </c>
      <c r="W65" s="16">
        <v>0</v>
      </c>
      <c r="X65" s="16">
        <v>0</v>
      </c>
      <c r="Y65" s="16">
        <v>0</v>
      </c>
      <c r="Z65" s="16">
        <v>0</v>
      </c>
      <c r="AA65" s="16">
        <v>0</v>
      </c>
      <c r="AB65" s="16">
        <v>0</v>
      </c>
      <c r="AC65" s="16">
        <v>0</v>
      </c>
      <c r="AD65" s="16">
        <v>0</v>
      </c>
      <c r="AE65" s="16">
        <v>0</v>
      </c>
      <c r="AF65" s="16">
        <v>0</v>
      </c>
      <c r="AG65" s="16">
        <v>0</v>
      </c>
      <c r="AH65" s="16">
        <v>0</v>
      </c>
      <c r="AI65" s="16">
        <v>0</v>
      </c>
      <c r="AJ65" s="16">
        <v>0</v>
      </c>
      <c r="AK65" s="16">
        <v>0</v>
      </c>
      <c r="AL65" s="16">
        <v>0</v>
      </c>
      <c r="AM65" s="16">
        <v>0</v>
      </c>
      <c r="AN65" s="16">
        <v>0</v>
      </c>
      <c r="AO65" s="16">
        <v>0</v>
      </c>
      <c r="AP65" s="16">
        <v>0</v>
      </c>
      <c r="AQ65" s="16">
        <v>0</v>
      </c>
      <c r="AR65" s="16">
        <v>0</v>
      </c>
      <c r="AS65" s="16">
        <v>8</v>
      </c>
      <c r="AT65" s="16">
        <v>29</v>
      </c>
      <c r="AU65" s="16">
        <v>38</v>
      </c>
      <c r="AV65" s="16">
        <v>32</v>
      </c>
      <c r="AW65" s="16">
        <v>27</v>
      </c>
      <c r="AX65" s="16">
        <v>16</v>
      </c>
      <c r="AY65" s="16">
        <v>8</v>
      </c>
      <c r="AZ65" s="16">
        <v>34</v>
      </c>
      <c r="BA65" s="16">
        <v>24</v>
      </c>
      <c r="BB65" s="16">
        <v>28</v>
      </c>
      <c r="BC65" s="16">
        <v>29</v>
      </c>
      <c r="BD65" s="16">
        <v>30</v>
      </c>
      <c r="BE65" s="16">
        <v>0</v>
      </c>
      <c r="BF65" s="16">
        <v>0</v>
      </c>
      <c r="BG65" s="16">
        <v>0</v>
      </c>
      <c r="BH65" s="16">
        <v>0</v>
      </c>
      <c r="BI65" s="16">
        <v>0</v>
      </c>
      <c r="BJ65" s="16">
        <v>0</v>
      </c>
      <c r="BK65" s="16">
        <v>0</v>
      </c>
      <c r="BL65" s="16">
        <v>0</v>
      </c>
      <c r="BM65" s="16">
        <v>0</v>
      </c>
      <c r="BN65" s="16">
        <v>0</v>
      </c>
      <c r="BO65" s="16">
        <v>0</v>
      </c>
      <c r="BP65" s="16">
        <v>0</v>
      </c>
      <c r="BQ65" s="16">
        <v>0</v>
      </c>
      <c r="BR65" s="16">
        <v>0</v>
      </c>
      <c r="BS65" s="207">
        <f t="shared" si="36"/>
        <v>0</v>
      </c>
      <c r="BT65" s="207">
        <f t="shared" si="37"/>
        <v>0</v>
      </c>
      <c r="BU65" s="207">
        <f t="shared" si="34"/>
        <v>0</v>
      </c>
      <c r="BV65" s="207">
        <f t="shared" si="23"/>
        <v>0</v>
      </c>
      <c r="BW65" s="207">
        <f t="shared" si="38"/>
        <v>0</v>
      </c>
      <c r="BX65" s="207">
        <f t="shared" si="39"/>
        <v>0</v>
      </c>
      <c r="BY65" s="207">
        <f t="shared" si="40"/>
        <v>8</v>
      </c>
      <c r="BZ65" s="207">
        <f t="shared" si="41"/>
        <v>142</v>
      </c>
      <c r="CA65" s="207">
        <f t="shared" si="42"/>
        <v>123</v>
      </c>
      <c r="CB65" s="207">
        <f t="shared" si="43"/>
        <v>30</v>
      </c>
      <c r="CC65" s="207">
        <f t="shared" si="44"/>
        <v>0</v>
      </c>
      <c r="CD65" s="207">
        <f t="shared" si="45"/>
        <v>0</v>
      </c>
      <c r="CE65" s="207">
        <f t="shared" si="35"/>
        <v>303</v>
      </c>
    </row>
    <row r="66" spans="1:83" ht="12" customHeight="1" x14ac:dyDescent="0.2">
      <c r="A66" s="6">
        <v>4</v>
      </c>
      <c r="B66" s="49" t="str">
        <f t="shared" si="17"/>
        <v>De la Cruz Hurtado DanyVACACIONES</v>
      </c>
      <c r="C66" s="117" t="str">
        <f t="shared" si="46"/>
        <v>De la Cruz Hurtado Dany</v>
      </c>
      <c r="D66" s="49" t="str">
        <f>VLOOKUP(C66,Datos!$B$13:$C$83,2,0)</f>
        <v>VIGENTE</v>
      </c>
      <c r="E66" s="50" t="s">
        <v>209</v>
      </c>
      <c r="F66" s="49"/>
      <c r="G66" s="49" t="str">
        <f>IFERROR(VLOOKUP(H66,Datos!$J$2:$L$60,3,0),"OBSERVACIONES")</f>
        <v>OBSERVACIONES</v>
      </c>
      <c r="H66" s="50" t="s">
        <v>209</v>
      </c>
      <c r="I66" s="49" t="s">
        <v>243</v>
      </c>
      <c r="J66" s="49" t="s">
        <v>10</v>
      </c>
      <c r="K66" s="16">
        <v>0</v>
      </c>
      <c r="L66" s="16">
        <v>0</v>
      </c>
      <c r="M66" s="16">
        <v>0</v>
      </c>
      <c r="N66" s="16">
        <v>0</v>
      </c>
      <c r="O66" s="16">
        <v>0</v>
      </c>
      <c r="P66" s="16">
        <v>0</v>
      </c>
      <c r="Q66" s="16">
        <v>0</v>
      </c>
      <c r="R66" s="16">
        <v>0</v>
      </c>
      <c r="S66" s="16">
        <v>0</v>
      </c>
      <c r="T66" s="16">
        <v>0</v>
      </c>
      <c r="U66" s="16">
        <v>0</v>
      </c>
      <c r="V66" s="16">
        <v>40</v>
      </c>
      <c r="W66" s="16">
        <v>0</v>
      </c>
      <c r="X66" s="16">
        <v>0</v>
      </c>
      <c r="Y66" s="16">
        <v>0</v>
      </c>
      <c r="Z66" s="16">
        <v>0</v>
      </c>
      <c r="AA66" s="16">
        <v>0</v>
      </c>
      <c r="AB66" s="16">
        <v>0</v>
      </c>
      <c r="AC66" s="16">
        <v>0</v>
      </c>
      <c r="AD66" s="16">
        <v>0</v>
      </c>
      <c r="AE66" s="16">
        <v>0</v>
      </c>
      <c r="AF66" s="16">
        <v>0</v>
      </c>
      <c r="AG66" s="16">
        <v>0</v>
      </c>
      <c r="AH66" s="16">
        <v>0</v>
      </c>
      <c r="AI66" s="16">
        <v>0</v>
      </c>
      <c r="AJ66" s="16">
        <v>0</v>
      </c>
      <c r="AK66" s="16">
        <v>0</v>
      </c>
      <c r="AL66" s="16">
        <v>0</v>
      </c>
      <c r="AM66" s="16">
        <v>0</v>
      </c>
      <c r="AN66" s="16">
        <v>0</v>
      </c>
      <c r="AO66" s="16">
        <v>0</v>
      </c>
      <c r="AP66" s="16">
        <v>0</v>
      </c>
      <c r="AQ66" s="16">
        <v>0</v>
      </c>
      <c r="AR66" s="16">
        <v>0</v>
      </c>
      <c r="AS66" s="16">
        <v>0</v>
      </c>
      <c r="AT66" s="16">
        <v>0</v>
      </c>
      <c r="AU66" s="16">
        <v>0</v>
      </c>
      <c r="AV66" s="16">
        <v>0</v>
      </c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0</v>
      </c>
      <c r="BD66" s="16">
        <v>0</v>
      </c>
      <c r="BE66" s="16">
        <v>0</v>
      </c>
      <c r="BF66" s="16">
        <v>0</v>
      </c>
      <c r="BG66" s="16">
        <v>0</v>
      </c>
      <c r="BH66" s="16">
        <v>0</v>
      </c>
      <c r="BI66" s="16">
        <v>0</v>
      </c>
      <c r="BJ66" s="16">
        <v>0</v>
      </c>
      <c r="BK66" s="16">
        <v>0</v>
      </c>
      <c r="BL66" s="16">
        <v>0</v>
      </c>
      <c r="BM66" s="16">
        <v>0</v>
      </c>
      <c r="BN66" s="16">
        <v>0</v>
      </c>
      <c r="BO66" s="16">
        <v>0</v>
      </c>
      <c r="BP66" s="16">
        <v>0</v>
      </c>
      <c r="BQ66" s="16">
        <v>0</v>
      </c>
      <c r="BR66" s="16">
        <v>0</v>
      </c>
      <c r="BS66" s="207">
        <f t="shared" si="36"/>
        <v>0</v>
      </c>
      <c r="BT66" s="207">
        <f t="shared" si="37"/>
        <v>0</v>
      </c>
      <c r="BU66" s="207">
        <f t="shared" si="34"/>
        <v>40</v>
      </c>
      <c r="BV66" s="207">
        <f t="shared" si="23"/>
        <v>0</v>
      </c>
      <c r="BW66" s="207">
        <f t="shared" si="38"/>
        <v>0</v>
      </c>
      <c r="BX66" s="207">
        <f t="shared" si="39"/>
        <v>0</v>
      </c>
      <c r="BY66" s="207">
        <f t="shared" si="40"/>
        <v>0</v>
      </c>
      <c r="BZ66" s="207">
        <f t="shared" si="41"/>
        <v>0</v>
      </c>
      <c r="CA66" s="207">
        <f t="shared" si="42"/>
        <v>0</v>
      </c>
      <c r="CB66" s="207">
        <f t="shared" si="43"/>
        <v>0</v>
      </c>
      <c r="CC66" s="207">
        <f t="shared" si="44"/>
        <v>0</v>
      </c>
      <c r="CD66" s="207">
        <f t="shared" si="45"/>
        <v>0</v>
      </c>
      <c r="CE66" s="207">
        <f t="shared" si="35"/>
        <v>40</v>
      </c>
    </row>
    <row r="67" spans="1:83" ht="12" customHeight="1" x14ac:dyDescent="0.2">
      <c r="A67" s="6">
        <v>3</v>
      </c>
      <c r="B67" s="49" t="str">
        <f>C67&amp;H67</f>
        <v>De la Cruz Hurtado DanyP0022</v>
      </c>
      <c r="C67" s="117" t="str">
        <f t="shared" si="46"/>
        <v>De la Cruz Hurtado Dany</v>
      </c>
      <c r="D67" s="49" t="str">
        <f>VLOOKUP(C67,Datos!$B$13:$C$83,2,0)</f>
        <v>VIGENTE</v>
      </c>
      <c r="E67" s="50" t="s">
        <v>103</v>
      </c>
      <c r="F67" s="49" t="str">
        <f>IFERROR(VLOOKUP(H67,Datos!$J$2:$L$60,3,0),"OBSERVCIONES")</f>
        <v>CERRADO</v>
      </c>
      <c r="G67" s="49"/>
      <c r="H67" s="50" t="s">
        <v>198</v>
      </c>
      <c r="I67" s="49" t="s">
        <v>199</v>
      </c>
      <c r="J67" s="49" t="s">
        <v>10</v>
      </c>
      <c r="K67" s="16">
        <v>0</v>
      </c>
      <c r="L67" s="16">
        <v>0</v>
      </c>
      <c r="M67" s="16">
        <v>0</v>
      </c>
      <c r="N67" s="16">
        <v>0</v>
      </c>
      <c r="O67" s="16">
        <v>0</v>
      </c>
      <c r="P67" s="16">
        <v>0</v>
      </c>
      <c r="Q67" s="16">
        <v>0</v>
      </c>
      <c r="R67" s="16">
        <v>0</v>
      </c>
      <c r="S67" s="16">
        <v>0</v>
      </c>
      <c r="T67" s="16">
        <v>0</v>
      </c>
      <c r="U67" s="16">
        <v>0</v>
      </c>
      <c r="V67" s="16">
        <v>0</v>
      </c>
      <c r="W67" s="16">
        <v>0</v>
      </c>
      <c r="X67" s="16">
        <v>0</v>
      </c>
      <c r="Y67" s="16">
        <v>0</v>
      </c>
      <c r="Z67" s="16">
        <v>0</v>
      </c>
      <c r="AA67" s="16">
        <v>0</v>
      </c>
      <c r="AB67" s="16">
        <v>0</v>
      </c>
      <c r="AC67" s="16">
        <v>0</v>
      </c>
      <c r="AD67" s="16">
        <v>0</v>
      </c>
      <c r="AE67" s="16">
        <v>0</v>
      </c>
      <c r="AF67" s="16">
        <v>0</v>
      </c>
      <c r="AG67" s="16">
        <v>0</v>
      </c>
      <c r="AH67" s="16">
        <v>0</v>
      </c>
      <c r="AI67" s="16">
        <v>0</v>
      </c>
      <c r="AJ67" s="16">
        <v>0</v>
      </c>
      <c r="AK67" s="16">
        <v>0</v>
      </c>
      <c r="AL67" s="16">
        <v>0</v>
      </c>
      <c r="AM67" s="16">
        <v>0</v>
      </c>
      <c r="AN67" s="16">
        <v>0</v>
      </c>
      <c r="AO67" s="16">
        <v>0</v>
      </c>
      <c r="AP67" s="16">
        <v>0</v>
      </c>
      <c r="AQ67" s="16">
        <v>0</v>
      </c>
      <c r="AR67" s="16">
        <v>0</v>
      </c>
      <c r="AS67" s="16">
        <v>0</v>
      </c>
      <c r="AT67" s="16">
        <v>0</v>
      </c>
      <c r="AU67" s="16">
        <v>0</v>
      </c>
      <c r="AV67" s="16">
        <v>4</v>
      </c>
      <c r="AW67" s="16">
        <v>1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0</v>
      </c>
      <c r="BD67" s="16">
        <v>0</v>
      </c>
      <c r="BE67" s="16">
        <v>0</v>
      </c>
      <c r="BF67" s="16">
        <v>0</v>
      </c>
      <c r="BG67" s="16">
        <v>0</v>
      </c>
      <c r="BH67" s="16">
        <v>0</v>
      </c>
      <c r="BI67" s="16">
        <v>0</v>
      </c>
      <c r="BJ67" s="16">
        <v>0</v>
      </c>
      <c r="BK67" s="16">
        <v>0</v>
      </c>
      <c r="BL67" s="16">
        <v>0</v>
      </c>
      <c r="BM67" s="16">
        <v>0</v>
      </c>
      <c r="BN67" s="16">
        <v>0</v>
      </c>
      <c r="BO67" s="16">
        <v>0</v>
      </c>
      <c r="BP67" s="16">
        <v>0</v>
      </c>
      <c r="BQ67" s="16">
        <v>0</v>
      </c>
      <c r="BR67" s="16">
        <v>0</v>
      </c>
      <c r="BS67" s="207">
        <f t="shared" si="36"/>
        <v>0</v>
      </c>
      <c r="BT67" s="207">
        <f t="shared" si="37"/>
        <v>0</v>
      </c>
      <c r="BU67" s="207">
        <f t="shared" si="34"/>
        <v>0</v>
      </c>
      <c r="BV67" s="207">
        <f t="shared" si="23"/>
        <v>0</v>
      </c>
      <c r="BW67" s="207">
        <f t="shared" si="38"/>
        <v>0</v>
      </c>
      <c r="BX67" s="207">
        <f t="shared" si="39"/>
        <v>0</v>
      </c>
      <c r="BY67" s="207">
        <f t="shared" si="40"/>
        <v>0</v>
      </c>
      <c r="BZ67" s="207">
        <f t="shared" si="41"/>
        <v>5</v>
      </c>
      <c r="CA67" s="207">
        <f t="shared" si="42"/>
        <v>0</v>
      </c>
      <c r="CB67" s="207">
        <f t="shared" si="43"/>
        <v>0</v>
      </c>
      <c r="CC67" s="207">
        <f t="shared" si="44"/>
        <v>0</v>
      </c>
      <c r="CD67" s="207">
        <f t="shared" si="45"/>
        <v>0</v>
      </c>
      <c r="CE67" s="207">
        <f t="shared" si="35"/>
        <v>5</v>
      </c>
    </row>
    <row r="68" spans="1:83" ht="12" customHeight="1" x14ac:dyDescent="0.2">
      <c r="A68" s="6">
        <v>2</v>
      </c>
      <c r="B68" s="49" t="str">
        <f>C68&amp;H68</f>
        <v>De la Cruz Hurtado DanyPROPUESTA</v>
      </c>
      <c r="C68" s="117" t="str">
        <f t="shared" si="46"/>
        <v>De la Cruz Hurtado Dany</v>
      </c>
      <c r="D68" s="49" t="str">
        <f>VLOOKUP(C68,Datos!$B$13:$C$83,2,0)</f>
        <v>VIGENTE</v>
      </c>
      <c r="E68" s="50" t="s">
        <v>46</v>
      </c>
      <c r="F68" s="49"/>
      <c r="G68" s="49"/>
      <c r="H68" s="50" t="s">
        <v>46</v>
      </c>
      <c r="I68" s="49" t="s">
        <v>132</v>
      </c>
      <c r="J68" s="49" t="s">
        <v>10</v>
      </c>
      <c r="K68" s="16">
        <v>0</v>
      </c>
      <c r="L68" s="16">
        <v>0</v>
      </c>
      <c r="M68" s="16">
        <v>0</v>
      </c>
      <c r="N68" s="16">
        <v>0</v>
      </c>
      <c r="O68" s="16">
        <v>0</v>
      </c>
      <c r="P68" s="16">
        <v>0</v>
      </c>
      <c r="Q68" s="16">
        <v>0</v>
      </c>
      <c r="R68" s="16">
        <v>0</v>
      </c>
      <c r="S68" s="16">
        <v>0</v>
      </c>
      <c r="T68" s="16">
        <v>0</v>
      </c>
      <c r="U68" s="16">
        <v>0</v>
      </c>
      <c r="V68" s="16">
        <v>0</v>
      </c>
      <c r="W68" s="16">
        <v>0</v>
      </c>
      <c r="X68" s="16">
        <v>0</v>
      </c>
      <c r="Y68" s="16">
        <v>0</v>
      </c>
      <c r="Z68" s="16">
        <v>0</v>
      </c>
      <c r="AA68" s="16">
        <v>0</v>
      </c>
      <c r="AB68" s="16">
        <v>0</v>
      </c>
      <c r="AC68" s="16">
        <v>0</v>
      </c>
      <c r="AD68" s="16">
        <v>0</v>
      </c>
      <c r="AE68" s="16">
        <v>0</v>
      </c>
      <c r="AF68" s="16">
        <v>0</v>
      </c>
      <c r="AG68" s="16">
        <v>0</v>
      </c>
      <c r="AH68" s="16">
        <v>0</v>
      </c>
      <c r="AI68" s="16">
        <v>0</v>
      </c>
      <c r="AJ68" s="16">
        <v>0</v>
      </c>
      <c r="AK68" s="16">
        <v>0</v>
      </c>
      <c r="AL68" s="16">
        <v>0</v>
      </c>
      <c r="AM68" s="16">
        <v>0</v>
      </c>
      <c r="AN68" s="16">
        <v>0</v>
      </c>
      <c r="AO68" s="16">
        <v>0</v>
      </c>
      <c r="AP68" s="16">
        <v>0</v>
      </c>
      <c r="AQ68" s="16">
        <v>0</v>
      </c>
      <c r="AR68" s="16">
        <v>0</v>
      </c>
      <c r="AS68" s="16">
        <v>0</v>
      </c>
      <c r="AT68" s="16">
        <v>0</v>
      </c>
      <c r="AU68" s="16">
        <v>0</v>
      </c>
      <c r="AV68" s="16">
        <v>4</v>
      </c>
      <c r="AW68" s="16">
        <v>12</v>
      </c>
      <c r="AX68" s="16">
        <v>8</v>
      </c>
      <c r="AY68" s="16">
        <v>0</v>
      </c>
      <c r="AZ68" s="16">
        <v>6</v>
      </c>
      <c r="BA68" s="16">
        <v>16</v>
      </c>
      <c r="BB68" s="16">
        <v>12</v>
      </c>
      <c r="BC68" s="16">
        <v>9</v>
      </c>
      <c r="BD68" s="16">
        <v>10</v>
      </c>
      <c r="BE68" s="16">
        <v>0</v>
      </c>
      <c r="BF68" s="16">
        <v>0</v>
      </c>
      <c r="BG68" s="16">
        <v>0</v>
      </c>
      <c r="BH68" s="16">
        <v>0</v>
      </c>
      <c r="BI68" s="16">
        <v>0</v>
      </c>
      <c r="BJ68" s="16">
        <v>0</v>
      </c>
      <c r="BK68" s="16">
        <v>0</v>
      </c>
      <c r="BL68" s="16">
        <v>0</v>
      </c>
      <c r="BM68" s="16">
        <v>0</v>
      </c>
      <c r="BN68" s="16">
        <v>0</v>
      </c>
      <c r="BO68" s="16">
        <v>0</v>
      </c>
      <c r="BP68" s="16">
        <v>0</v>
      </c>
      <c r="BQ68" s="16">
        <v>0</v>
      </c>
      <c r="BR68" s="16">
        <v>0</v>
      </c>
      <c r="BS68" s="207">
        <f t="shared" si="36"/>
        <v>0</v>
      </c>
      <c r="BT68" s="207">
        <f t="shared" si="37"/>
        <v>0</v>
      </c>
      <c r="BU68" s="207">
        <f t="shared" si="34"/>
        <v>0</v>
      </c>
      <c r="BV68" s="207">
        <f t="shared" si="23"/>
        <v>0</v>
      </c>
      <c r="BW68" s="207">
        <f t="shared" si="38"/>
        <v>0</v>
      </c>
      <c r="BX68" s="207">
        <f t="shared" si="39"/>
        <v>0</v>
      </c>
      <c r="BY68" s="207">
        <f t="shared" si="40"/>
        <v>0</v>
      </c>
      <c r="BZ68" s="207">
        <f t="shared" si="41"/>
        <v>24</v>
      </c>
      <c r="CA68" s="207">
        <f t="shared" si="42"/>
        <v>43</v>
      </c>
      <c r="CB68" s="207">
        <f t="shared" si="43"/>
        <v>10</v>
      </c>
      <c r="CC68" s="207">
        <f t="shared" si="44"/>
        <v>0</v>
      </c>
      <c r="CD68" s="207">
        <f t="shared" si="45"/>
        <v>0</v>
      </c>
      <c r="CE68" s="207">
        <f t="shared" si="35"/>
        <v>77</v>
      </c>
    </row>
    <row r="69" spans="1:83" ht="12" customHeight="1" x14ac:dyDescent="0.2">
      <c r="A69" s="6">
        <v>3</v>
      </c>
      <c r="B69" s="49" t="str">
        <f t="shared" si="17"/>
        <v>De la Cruz Hurtado DanyMP004</v>
      </c>
      <c r="C69" s="117" t="str">
        <f t="shared" si="46"/>
        <v>De la Cruz Hurtado Dany</v>
      </c>
      <c r="D69" s="49" t="str">
        <f>VLOOKUP(C69,Datos!$B$13:$C$83,2,0)</f>
        <v>VIGENTE</v>
      </c>
      <c r="E69" s="50" t="s">
        <v>44</v>
      </c>
      <c r="F69" s="49" t="str">
        <f>IFERROR(VLOOKUP(H69,Datos!$J$2:$L$60,3,0),"OBSERVCIONES")</f>
        <v>PROCESO</v>
      </c>
      <c r="G69" s="49"/>
      <c r="H69" s="50" t="s">
        <v>42</v>
      </c>
      <c r="I69" s="49" t="s">
        <v>304</v>
      </c>
      <c r="J69" s="49" t="s">
        <v>10</v>
      </c>
      <c r="K69" s="16">
        <v>40</v>
      </c>
      <c r="L69" s="16">
        <v>40</v>
      </c>
      <c r="M69" s="16">
        <v>40</v>
      </c>
      <c r="N69" s="16">
        <v>40</v>
      </c>
      <c r="O69" s="16">
        <v>16</v>
      </c>
      <c r="P69" s="16">
        <v>24</v>
      </c>
      <c r="Q69" s="16">
        <v>40</v>
      </c>
      <c r="R69" s="16">
        <v>40</v>
      </c>
      <c r="S69" s="16">
        <v>40</v>
      </c>
      <c r="T69" s="16">
        <v>16</v>
      </c>
      <c r="U69" s="16">
        <v>24</v>
      </c>
      <c r="V69" s="16">
        <v>0</v>
      </c>
      <c r="W69" s="16">
        <v>40</v>
      </c>
      <c r="X69" s="16">
        <v>40</v>
      </c>
      <c r="Y69" s="16">
        <v>40</v>
      </c>
      <c r="Z69" s="16">
        <v>40</v>
      </c>
      <c r="AA69" s="16">
        <v>24</v>
      </c>
      <c r="AB69" s="16">
        <v>40</v>
      </c>
      <c r="AC69" s="16">
        <v>40</v>
      </c>
      <c r="AD69" s="16">
        <v>24</v>
      </c>
      <c r="AE69" s="16">
        <v>40</v>
      </c>
      <c r="AF69" s="16">
        <v>40</v>
      </c>
      <c r="AG69" s="16">
        <v>40</v>
      </c>
      <c r="AH69" s="16">
        <v>24</v>
      </c>
      <c r="AI69" s="16">
        <v>8</v>
      </c>
      <c r="AJ69" s="16">
        <v>40</v>
      </c>
      <c r="AK69" s="16">
        <v>40</v>
      </c>
      <c r="AL69" s="16">
        <v>40</v>
      </c>
      <c r="AM69" s="16">
        <v>32</v>
      </c>
      <c r="AN69" s="16">
        <v>40</v>
      </c>
      <c r="AO69" s="16">
        <v>40</v>
      </c>
      <c r="AP69" s="16">
        <v>40</v>
      </c>
      <c r="AQ69" s="16">
        <v>32</v>
      </c>
      <c r="AR69" s="16">
        <v>0</v>
      </c>
      <c r="AS69" s="16">
        <v>0</v>
      </c>
      <c r="AT69" s="16">
        <v>0</v>
      </c>
      <c r="AU69" s="16">
        <v>0</v>
      </c>
      <c r="AV69" s="16">
        <v>0</v>
      </c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0</v>
      </c>
      <c r="BD69" s="16">
        <v>0</v>
      </c>
      <c r="BE69" s="16">
        <v>0</v>
      </c>
      <c r="BF69" s="16">
        <v>0</v>
      </c>
      <c r="BG69" s="16">
        <v>0</v>
      </c>
      <c r="BH69" s="16">
        <v>0</v>
      </c>
      <c r="BI69" s="16">
        <v>0</v>
      </c>
      <c r="BJ69" s="16">
        <v>0</v>
      </c>
      <c r="BK69" s="16">
        <v>0</v>
      </c>
      <c r="BL69" s="16">
        <v>0</v>
      </c>
      <c r="BM69" s="16">
        <v>0</v>
      </c>
      <c r="BN69" s="16">
        <v>0</v>
      </c>
      <c r="BO69" s="16">
        <v>0</v>
      </c>
      <c r="BP69" s="16">
        <v>0</v>
      </c>
      <c r="BQ69" s="16">
        <v>0</v>
      </c>
      <c r="BR69" s="16">
        <v>0</v>
      </c>
      <c r="BS69" s="207">
        <f t="shared" si="36"/>
        <v>176</v>
      </c>
      <c r="BT69" s="207">
        <f t="shared" si="37"/>
        <v>160</v>
      </c>
      <c r="BU69" s="207">
        <f t="shared" si="34"/>
        <v>144</v>
      </c>
      <c r="BV69" s="207">
        <f t="shared" si="23"/>
        <v>144</v>
      </c>
      <c r="BW69" s="207">
        <f t="shared" si="38"/>
        <v>168</v>
      </c>
      <c r="BX69" s="207">
        <f t="shared" si="39"/>
        <v>160</v>
      </c>
      <c r="BY69" s="207">
        <f t="shared" si="40"/>
        <v>152</v>
      </c>
      <c r="BZ69" s="207">
        <f t="shared" si="41"/>
        <v>0</v>
      </c>
      <c r="CA69" s="207">
        <f t="shared" si="42"/>
        <v>0</v>
      </c>
      <c r="CB69" s="207">
        <f t="shared" si="43"/>
        <v>0</v>
      </c>
      <c r="CC69" s="207">
        <f t="shared" si="44"/>
        <v>0</v>
      </c>
      <c r="CD69" s="207">
        <f t="shared" si="45"/>
        <v>0</v>
      </c>
      <c r="CE69" s="207">
        <f t="shared" si="35"/>
        <v>1104</v>
      </c>
    </row>
    <row r="70" spans="1:83" ht="12" customHeight="1" x14ac:dyDescent="0.2">
      <c r="A70" s="6">
        <v>5</v>
      </c>
      <c r="B70" s="49" t="str">
        <f t="shared" si="17"/>
        <v>Becerra Robles DanielINASISTENCIAS</v>
      </c>
      <c r="C70" s="117" t="str">
        <f t="shared" si="46"/>
        <v>Becerra Robles Daniel</v>
      </c>
      <c r="D70" s="49" t="str">
        <f>VLOOKUP(C70,Datos!$B$13:$C$83,2,0)</f>
        <v>VIGENTE</v>
      </c>
      <c r="E70" s="50" t="s">
        <v>208</v>
      </c>
      <c r="F70" s="49"/>
      <c r="G70" s="49" t="str">
        <f>IFERROR(VLOOKUP(H70,Datos!$J$2:$L$60,3,0),"OBSERVACIONES")</f>
        <v>OBSERVACIONES</v>
      </c>
      <c r="H70" s="50" t="s">
        <v>208</v>
      </c>
      <c r="I70" s="49" t="s">
        <v>210</v>
      </c>
      <c r="J70" s="49" t="s">
        <v>5</v>
      </c>
      <c r="K70" s="16">
        <v>0</v>
      </c>
      <c r="L70" s="16">
        <v>0</v>
      </c>
      <c r="M70" s="16">
        <v>0</v>
      </c>
      <c r="N70" s="16">
        <v>0</v>
      </c>
      <c r="O70" s="16">
        <v>0</v>
      </c>
      <c r="P70" s="16">
        <v>0</v>
      </c>
      <c r="Q70" s="16">
        <v>0</v>
      </c>
      <c r="R70" s="16">
        <v>0</v>
      </c>
      <c r="S70" s="16">
        <v>0</v>
      </c>
      <c r="T70" s="16">
        <v>0</v>
      </c>
      <c r="U70" s="16">
        <v>0</v>
      </c>
      <c r="V70" s="16">
        <v>0</v>
      </c>
      <c r="W70" s="16">
        <v>0</v>
      </c>
      <c r="X70" s="16">
        <v>0</v>
      </c>
      <c r="Y70" s="16">
        <v>0</v>
      </c>
      <c r="Z70" s="16">
        <v>0</v>
      </c>
      <c r="AA70" s="16">
        <v>0</v>
      </c>
      <c r="AB70" s="16">
        <v>0</v>
      </c>
      <c r="AC70" s="16">
        <v>0</v>
      </c>
      <c r="AD70" s="16">
        <v>0</v>
      </c>
      <c r="AE70" s="16">
        <v>0</v>
      </c>
      <c r="AF70" s="16">
        <v>22</v>
      </c>
      <c r="AG70" s="16">
        <v>0</v>
      </c>
      <c r="AH70" s="16">
        <v>0</v>
      </c>
      <c r="AI70" s="16">
        <v>0</v>
      </c>
      <c r="AJ70" s="16">
        <v>0</v>
      </c>
      <c r="AK70" s="16">
        <v>0</v>
      </c>
      <c r="AL70" s="16">
        <v>0</v>
      </c>
      <c r="AM70" s="16">
        <v>0</v>
      </c>
      <c r="AN70" s="16">
        <v>0</v>
      </c>
      <c r="AO70" s="16">
        <v>0</v>
      </c>
      <c r="AP70" s="16">
        <v>0</v>
      </c>
      <c r="AQ70" s="16">
        <v>0</v>
      </c>
      <c r="AR70" s="16">
        <v>0</v>
      </c>
      <c r="AS70" s="16">
        <v>0</v>
      </c>
      <c r="AT70" s="16">
        <v>0</v>
      </c>
      <c r="AU70" s="16">
        <v>0</v>
      </c>
      <c r="AV70" s="16">
        <v>0</v>
      </c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0</v>
      </c>
      <c r="BD70" s="16">
        <v>0</v>
      </c>
      <c r="BE70" s="16">
        <v>0</v>
      </c>
      <c r="BF70" s="16">
        <v>0</v>
      </c>
      <c r="BG70" s="16">
        <v>0</v>
      </c>
      <c r="BH70" s="16">
        <v>0</v>
      </c>
      <c r="BI70" s="16">
        <v>0</v>
      </c>
      <c r="BJ70" s="16">
        <v>0</v>
      </c>
      <c r="BK70" s="16">
        <v>0</v>
      </c>
      <c r="BL70" s="16">
        <v>0</v>
      </c>
      <c r="BM70" s="16">
        <v>0</v>
      </c>
      <c r="BN70" s="16">
        <v>0</v>
      </c>
      <c r="BO70" s="16">
        <v>0</v>
      </c>
      <c r="BP70" s="16">
        <v>0</v>
      </c>
      <c r="BQ70" s="16">
        <v>0</v>
      </c>
      <c r="BR70" s="16">
        <v>0</v>
      </c>
      <c r="BS70" s="207">
        <f t="shared" si="36"/>
        <v>0</v>
      </c>
      <c r="BT70" s="207">
        <f t="shared" si="37"/>
        <v>0</v>
      </c>
      <c r="BU70" s="207">
        <f t="shared" si="34"/>
        <v>0</v>
      </c>
      <c r="BV70" s="207">
        <f t="shared" si="23"/>
        <v>0</v>
      </c>
      <c r="BW70" s="207">
        <f t="shared" si="38"/>
        <v>22</v>
      </c>
      <c r="BX70" s="207">
        <f t="shared" si="39"/>
        <v>0</v>
      </c>
      <c r="BY70" s="207">
        <f t="shared" si="40"/>
        <v>0</v>
      </c>
      <c r="BZ70" s="207">
        <f t="shared" si="41"/>
        <v>0</v>
      </c>
      <c r="CA70" s="207">
        <f t="shared" si="42"/>
        <v>0</v>
      </c>
      <c r="CB70" s="207">
        <f t="shared" si="43"/>
        <v>0</v>
      </c>
      <c r="CC70" s="207">
        <f t="shared" si="44"/>
        <v>0</v>
      </c>
      <c r="CD70" s="207">
        <f t="shared" si="45"/>
        <v>0</v>
      </c>
      <c r="CE70" s="207">
        <f t="shared" si="35"/>
        <v>22</v>
      </c>
    </row>
    <row r="71" spans="1:83" ht="12" customHeight="1" x14ac:dyDescent="0.2">
      <c r="A71" s="6">
        <v>4</v>
      </c>
      <c r="B71" s="49" t="str">
        <f t="shared" si="17"/>
        <v>Becerra Robles DanielVACACIONES</v>
      </c>
      <c r="C71" s="117" t="str">
        <f t="shared" si="46"/>
        <v>Becerra Robles Daniel</v>
      </c>
      <c r="D71" s="49" t="str">
        <f>VLOOKUP(C71,Datos!$B$13:$C$83,2,0)</f>
        <v>VIGENTE</v>
      </c>
      <c r="E71" s="50" t="s">
        <v>209</v>
      </c>
      <c r="F71" s="49"/>
      <c r="G71" s="49" t="str">
        <f>IFERROR(VLOOKUP(H71,Datos!$J$2:$L$60,3,0),"OBSERVACIONES")</f>
        <v>OBSERVACIONES</v>
      </c>
      <c r="H71" s="50" t="s">
        <v>209</v>
      </c>
      <c r="I71" s="49" t="s">
        <v>243</v>
      </c>
      <c r="J71" s="49" t="s">
        <v>5</v>
      </c>
      <c r="K71" s="16">
        <v>0</v>
      </c>
      <c r="L71" s="16">
        <v>24</v>
      </c>
      <c r="M71" s="16">
        <v>40</v>
      </c>
      <c r="N71" s="16">
        <v>0</v>
      </c>
      <c r="O71" s="16">
        <v>0</v>
      </c>
      <c r="P71" s="16">
        <v>0</v>
      </c>
      <c r="Q71" s="16">
        <v>0</v>
      </c>
      <c r="R71" s="16">
        <v>0</v>
      </c>
      <c r="S71" s="16">
        <v>0</v>
      </c>
      <c r="T71" s="16">
        <v>0</v>
      </c>
      <c r="U71" s="16">
        <v>0</v>
      </c>
      <c r="V71" s="16">
        <v>0</v>
      </c>
      <c r="W71" s="16">
        <v>0</v>
      </c>
      <c r="X71" s="16">
        <v>0</v>
      </c>
      <c r="Y71" s="16">
        <v>0</v>
      </c>
      <c r="Z71" s="16">
        <v>0</v>
      </c>
      <c r="AA71" s="16">
        <v>0</v>
      </c>
      <c r="AB71" s="16">
        <v>0</v>
      </c>
      <c r="AC71" s="16">
        <v>0</v>
      </c>
      <c r="AD71" s="16">
        <v>0</v>
      </c>
      <c r="AE71" s="16">
        <v>0</v>
      </c>
      <c r="AF71" s="16">
        <v>0</v>
      </c>
      <c r="AG71" s="16">
        <v>0</v>
      </c>
      <c r="AH71" s="16">
        <v>0</v>
      </c>
      <c r="AI71" s="16">
        <v>0</v>
      </c>
      <c r="AJ71" s="16">
        <v>0</v>
      </c>
      <c r="AK71" s="16">
        <v>0</v>
      </c>
      <c r="AL71" s="16">
        <v>0</v>
      </c>
      <c r="AM71" s="16">
        <v>0</v>
      </c>
      <c r="AN71" s="16">
        <v>0</v>
      </c>
      <c r="AO71" s="16">
        <v>0</v>
      </c>
      <c r="AP71" s="16">
        <v>0</v>
      </c>
      <c r="AQ71" s="16">
        <v>0</v>
      </c>
      <c r="AR71" s="16">
        <v>0</v>
      </c>
      <c r="AS71" s="16">
        <v>0</v>
      </c>
      <c r="AT71" s="16">
        <v>0</v>
      </c>
      <c r="AU71" s="16">
        <v>0</v>
      </c>
      <c r="AV71" s="16">
        <v>0</v>
      </c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0</v>
      </c>
      <c r="BD71" s="16">
        <v>0</v>
      </c>
      <c r="BE71" s="16">
        <v>0</v>
      </c>
      <c r="BF71" s="16">
        <v>0</v>
      </c>
      <c r="BG71" s="16">
        <v>0</v>
      </c>
      <c r="BH71" s="16">
        <v>0</v>
      </c>
      <c r="BI71" s="16">
        <v>0</v>
      </c>
      <c r="BJ71" s="16">
        <v>0</v>
      </c>
      <c r="BK71" s="16">
        <v>0</v>
      </c>
      <c r="BL71" s="16">
        <v>0</v>
      </c>
      <c r="BM71" s="16">
        <v>0</v>
      </c>
      <c r="BN71" s="16">
        <v>0</v>
      </c>
      <c r="BO71" s="16">
        <v>0</v>
      </c>
      <c r="BP71" s="16">
        <v>0</v>
      </c>
      <c r="BQ71" s="16">
        <v>0</v>
      </c>
      <c r="BR71" s="16">
        <v>0</v>
      </c>
      <c r="BS71" s="207">
        <f t="shared" si="36"/>
        <v>64</v>
      </c>
      <c r="BT71" s="207">
        <f t="shared" si="37"/>
        <v>0</v>
      </c>
      <c r="BU71" s="207">
        <f t="shared" si="34"/>
        <v>0</v>
      </c>
      <c r="BV71" s="207">
        <f t="shared" si="23"/>
        <v>0</v>
      </c>
      <c r="BW71" s="207">
        <f t="shared" si="38"/>
        <v>0</v>
      </c>
      <c r="BX71" s="207">
        <f t="shared" si="39"/>
        <v>0</v>
      </c>
      <c r="BY71" s="207">
        <f t="shared" si="40"/>
        <v>0</v>
      </c>
      <c r="BZ71" s="207">
        <f t="shared" si="41"/>
        <v>0</v>
      </c>
      <c r="CA71" s="207">
        <f t="shared" si="42"/>
        <v>0</v>
      </c>
      <c r="CB71" s="207">
        <f t="shared" si="43"/>
        <v>0</v>
      </c>
      <c r="CC71" s="207">
        <f t="shared" si="44"/>
        <v>0</v>
      </c>
      <c r="CD71" s="207">
        <f t="shared" si="45"/>
        <v>0</v>
      </c>
      <c r="CE71" s="207">
        <f t="shared" si="35"/>
        <v>64</v>
      </c>
    </row>
    <row r="72" spans="1:83" ht="12" customHeight="1" x14ac:dyDescent="0.2">
      <c r="A72" s="6">
        <v>3</v>
      </c>
      <c r="B72" s="49" t="str">
        <f t="shared" si="17"/>
        <v>Becerra Robles DanielMP004</v>
      </c>
      <c r="C72" s="117" t="str">
        <f t="shared" si="46"/>
        <v>Becerra Robles Daniel</v>
      </c>
      <c r="D72" s="49" t="str">
        <f>VLOOKUP(C72,Datos!$B$13:$C$83,2,0)</f>
        <v>VIGENTE</v>
      </c>
      <c r="E72" s="50" t="s">
        <v>44</v>
      </c>
      <c r="F72" s="49" t="str">
        <f>IFERROR(VLOOKUP(H72,Datos!$J$2:$L$60,3,0),"OBSERVCIONES")</f>
        <v>PROCESO</v>
      </c>
      <c r="G72" s="49"/>
      <c r="H72" s="50" t="s">
        <v>42</v>
      </c>
      <c r="I72" s="49" t="s">
        <v>304</v>
      </c>
      <c r="J72" s="49" t="s">
        <v>5</v>
      </c>
      <c r="K72" s="16">
        <v>40</v>
      </c>
      <c r="L72" s="16">
        <v>16</v>
      </c>
      <c r="M72" s="16">
        <v>0</v>
      </c>
      <c r="N72" s="16">
        <v>40</v>
      </c>
      <c r="O72" s="16">
        <v>16</v>
      </c>
      <c r="P72" s="16">
        <v>24</v>
      </c>
      <c r="Q72" s="16">
        <v>40</v>
      </c>
      <c r="R72" s="16">
        <v>40</v>
      </c>
      <c r="S72" s="16">
        <v>40</v>
      </c>
      <c r="T72" s="16">
        <v>16</v>
      </c>
      <c r="U72" s="16">
        <v>24</v>
      </c>
      <c r="V72" s="16">
        <v>40</v>
      </c>
      <c r="W72" s="16">
        <v>40</v>
      </c>
      <c r="X72" s="16">
        <v>40</v>
      </c>
      <c r="Y72" s="16">
        <v>40</v>
      </c>
      <c r="Z72" s="16">
        <v>40</v>
      </c>
      <c r="AA72" s="16">
        <v>24</v>
      </c>
      <c r="AB72" s="16">
        <v>40</v>
      </c>
      <c r="AC72" s="16">
        <v>40</v>
      </c>
      <c r="AD72" s="16">
        <v>32</v>
      </c>
      <c r="AE72" s="16">
        <v>40</v>
      </c>
      <c r="AF72" s="16">
        <v>18</v>
      </c>
      <c r="AG72" s="16">
        <v>40</v>
      </c>
      <c r="AH72" s="16">
        <v>24</v>
      </c>
      <c r="AI72" s="16">
        <v>16</v>
      </c>
      <c r="AJ72" s="16">
        <v>40</v>
      </c>
      <c r="AK72" s="16">
        <v>40</v>
      </c>
      <c r="AL72" s="16">
        <v>40</v>
      </c>
      <c r="AM72" s="16">
        <v>32</v>
      </c>
      <c r="AN72" s="16">
        <v>40</v>
      </c>
      <c r="AO72" s="16">
        <v>40</v>
      </c>
      <c r="AP72" s="16">
        <v>40</v>
      </c>
      <c r="AQ72" s="16">
        <v>32</v>
      </c>
      <c r="AR72" s="16">
        <v>0</v>
      </c>
      <c r="AS72" s="16">
        <v>8</v>
      </c>
      <c r="AT72" s="16">
        <v>32</v>
      </c>
      <c r="AU72" s="16">
        <v>40</v>
      </c>
      <c r="AV72" s="16">
        <v>40</v>
      </c>
      <c r="AW72" s="16">
        <v>40</v>
      </c>
      <c r="AX72" s="16">
        <v>24</v>
      </c>
      <c r="AY72" s="16">
        <v>8</v>
      </c>
      <c r="AZ72" s="16">
        <v>40</v>
      </c>
      <c r="BA72" s="16">
        <v>40</v>
      </c>
      <c r="BB72" s="16">
        <v>40</v>
      </c>
      <c r="BC72" s="16">
        <v>40</v>
      </c>
      <c r="BD72" s="16">
        <v>40</v>
      </c>
      <c r="BE72" s="16">
        <v>0</v>
      </c>
      <c r="BF72" s="16">
        <v>0</v>
      </c>
      <c r="BG72" s="16">
        <v>0</v>
      </c>
      <c r="BH72" s="16">
        <v>0</v>
      </c>
      <c r="BI72" s="16">
        <v>0</v>
      </c>
      <c r="BJ72" s="16">
        <v>0</v>
      </c>
      <c r="BK72" s="16">
        <v>0</v>
      </c>
      <c r="BL72" s="16">
        <v>0</v>
      </c>
      <c r="BM72" s="16">
        <v>0</v>
      </c>
      <c r="BN72" s="16">
        <v>0</v>
      </c>
      <c r="BO72" s="16">
        <v>0</v>
      </c>
      <c r="BP72" s="16">
        <v>0</v>
      </c>
      <c r="BQ72" s="16">
        <v>0</v>
      </c>
      <c r="BR72" s="16">
        <v>0</v>
      </c>
      <c r="BS72" s="207">
        <f t="shared" si="36"/>
        <v>112</v>
      </c>
      <c r="BT72" s="207">
        <f t="shared" si="37"/>
        <v>160</v>
      </c>
      <c r="BU72" s="207">
        <f t="shared" si="34"/>
        <v>184</v>
      </c>
      <c r="BV72" s="207">
        <f t="shared" ref="BV72:BV121" si="47">SUM(Z72:AC72)</f>
        <v>144</v>
      </c>
      <c r="BW72" s="207">
        <f t="shared" si="38"/>
        <v>154</v>
      </c>
      <c r="BX72" s="207">
        <f t="shared" si="39"/>
        <v>168</v>
      </c>
      <c r="BY72" s="207">
        <f t="shared" si="40"/>
        <v>160</v>
      </c>
      <c r="BZ72" s="207">
        <f t="shared" si="41"/>
        <v>176</v>
      </c>
      <c r="CA72" s="207">
        <f t="shared" si="42"/>
        <v>168</v>
      </c>
      <c r="CB72" s="207">
        <f t="shared" si="43"/>
        <v>40</v>
      </c>
      <c r="CC72" s="207">
        <f t="shared" si="44"/>
        <v>0</v>
      </c>
      <c r="CD72" s="207">
        <f t="shared" si="45"/>
        <v>0</v>
      </c>
      <c r="CE72" s="207">
        <f t="shared" si="35"/>
        <v>1466</v>
      </c>
    </row>
    <row r="73" spans="1:83" ht="12" customHeight="1" x14ac:dyDescent="0.2">
      <c r="A73" s="6">
        <v>4</v>
      </c>
      <c r="B73" s="49" t="str">
        <f t="shared" ref="B73:B137" si="48">C73&amp;H73</f>
        <v>Padilla Vega Cindy VictoriaVACACIONES</v>
      </c>
      <c r="C73" s="117" t="str">
        <f t="shared" si="46"/>
        <v>Padilla Vega Cindy Victoria</v>
      </c>
      <c r="D73" s="49" t="str">
        <f>VLOOKUP(C73,Datos!$B$13:$C$83,2,0)</f>
        <v>VIGENTE</v>
      </c>
      <c r="E73" s="50" t="s">
        <v>209</v>
      </c>
      <c r="F73" s="49"/>
      <c r="G73" s="49" t="str">
        <f>IFERROR(VLOOKUP(H73,Datos!$J$2:$L$60,3,0),"OBSERVACIONES")</f>
        <v>OBSERVACIONES</v>
      </c>
      <c r="H73" s="50" t="s">
        <v>209</v>
      </c>
      <c r="I73" s="49" t="s">
        <v>243</v>
      </c>
      <c r="J73" s="49" t="s">
        <v>22</v>
      </c>
      <c r="K73" s="16">
        <v>0</v>
      </c>
      <c r="L73" s="16">
        <v>0</v>
      </c>
      <c r="M73" s="16">
        <v>0</v>
      </c>
      <c r="N73" s="16">
        <v>0</v>
      </c>
      <c r="O73" s="16">
        <v>0</v>
      </c>
      <c r="P73" s="16">
        <v>0</v>
      </c>
      <c r="Q73" s="16">
        <v>0</v>
      </c>
      <c r="R73" s="16">
        <v>0</v>
      </c>
      <c r="S73" s="16">
        <v>0</v>
      </c>
      <c r="T73" s="16">
        <v>0</v>
      </c>
      <c r="U73" s="16">
        <v>0</v>
      </c>
      <c r="V73" s="16">
        <v>0</v>
      </c>
      <c r="W73" s="16">
        <v>0</v>
      </c>
      <c r="X73" s="16">
        <v>0</v>
      </c>
      <c r="Y73" s="16">
        <v>0</v>
      </c>
      <c r="Z73" s="16">
        <v>0</v>
      </c>
      <c r="AA73" s="16">
        <v>0</v>
      </c>
      <c r="AB73" s="16">
        <v>0</v>
      </c>
      <c r="AC73" s="16">
        <v>0</v>
      </c>
      <c r="AD73" s="16">
        <v>0</v>
      </c>
      <c r="AE73" s="16">
        <v>0</v>
      </c>
      <c r="AF73" s="16">
        <v>0</v>
      </c>
      <c r="AG73" s="16">
        <v>0</v>
      </c>
      <c r="AH73" s="16">
        <v>0</v>
      </c>
      <c r="AI73" s="16">
        <v>0</v>
      </c>
      <c r="AJ73" s="16">
        <v>0</v>
      </c>
      <c r="AK73" s="16">
        <v>0</v>
      </c>
      <c r="AL73" s="16">
        <v>0</v>
      </c>
      <c r="AM73" s="16">
        <v>0</v>
      </c>
      <c r="AN73" s="16">
        <v>0</v>
      </c>
      <c r="AO73" s="16">
        <v>0</v>
      </c>
      <c r="AP73" s="16">
        <v>0</v>
      </c>
      <c r="AQ73" s="16">
        <v>0</v>
      </c>
      <c r="AR73" s="16">
        <v>0</v>
      </c>
      <c r="AS73" s="16">
        <v>0</v>
      </c>
      <c r="AT73" s="16">
        <v>32</v>
      </c>
      <c r="AU73" s="16">
        <v>32</v>
      </c>
      <c r="AV73" s="16">
        <v>0</v>
      </c>
      <c r="AW73" s="16">
        <v>0</v>
      </c>
      <c r="AX73" s="16">
        <v>0</v>
      </c>
      <c r="AY73" s="16">
        <v>0</v>
      </c>
      <c r="AZ73" s="16">
        <v>0</v>
      </c>
      <c r="BA73" s="16">
        <v>0</v>
      </c>
      <c r="BB73" s="16">
        <v>0</v>
      </c>
      <c r="BC73" s="16">
        <v>0</v>
      </c>
      <c r="BD73" s="16">
        <v>0</v>
      </c>
      <c r="BE73" s="16">
        <v>0</v>
      </c>
      <c r="BF73" s="16">
        <v>0</v>
      </c>
      <c r="BG73" s="16">
        <v>0</v>
      </c>
      <c r="BH73" s="16">
        <v>0</v>
      </c>
      <c r="BI73" s="16">
        <v>0</v>
      </c>
      <c r="BJ73" s="16">
        <v>0</v>
      </c>
      <c r="BK73" s="16">
        <v>0</v>
      </c>
      <c r="BL73" s="16">
        <v>0</v>
      </c>
      <c r="BM73" s="16">
        <v>0</v>
      </c>
      <c r="BN73" s="16">
        <v>0</v>
      </c>
      <c r="BO73" s="16">
        <v>0</v>
      </c>
      <c r="BP73" s="16">
        <v>0</v>
      </c>
      <c r="BQ73" s="16">
        <v>0</v>
      </c>
      <c r="BR73" s="16">
        <v>0</v>
      </c>
      <c r="BS73" s="207">
        <f t="shared" si="36"/>
        <v>0</v>
      </c>
      <c r="BT73" s="207">
        <f t="shared" si="37"/>
        <v>0</v>
      </c>
      <c r="BU73" s="207">
        <f t="shared" si="34"/>
        <v>0</v>
      </c>
      <c r="BV73" s="207">
        <f t="shared" si="47"/>
        <v>0</v>
      </c>
      <c r="BW73" s="207">
        <f t="shared" si="38"/>
        <v>0</v>
      </c>
      <c r="BX73" s="207">
        <f t="shared" si="39"/>
        <v>0</v>
      </c>
      <c r="BY73" s="207">
        <f t="shared" si="40"/>
        <v>0</v>
      </c>
      <c r="BZ73" s="207">
        <f t="shared" si="41"/>
        <v>64</v>
      </c>
      <c r="CA73" s="207">
        <f t="shared" si="42"/>
        <v>0</v>
      </c>
      <c r="CB73" s="207">
        <f t="shared" si="43"/>
        <v>0</v>
      </c>
      <c r="CC73" s="207">
        <f t="shared" si="44"/>
        <v>0</v>
      </c>
      <c r="CD73" s="207">
        <f t="shared" si="45"/>
        <v>0</v>
      </c>
      <c r="CE73" s="207">
        <f t="shared" si="35"/>
        <v>64</v>
      </c>
    </row>
    <row r="74" spans="1:83" ht="12" customHeight="1" x14ac:dyDescent="0.2">
      <c r="A74" s="6">
        <v>3</v>
      </c>
      <c r="B74" s="49" t="str">
        <f t="shared" si="48"/>
        <v>Padilla Vega Cindy VictoriaMP004</v>
      </c>
      <c r="C74" s="117" t="str">
        <f t="shared" si="46"/>
        <v>Padilla Vega Cindy Victoria</v>
      </c>
      <c r="D74" s="49" t="str">
        <f>VLOOKUP(C74,Datos!$B$13:$C$83,2,0)</f>
        <v>VIGENTE</v>
      </c>
      <c r="E74" s="50" t="s">
        <v>44</v>
      </c>
      <c r="F74" s="49" t="str">
        <f>IFERROR(VLOOKUP(H74,Datos!$J$2:$L$60,3,0),"OBSERVCIONES")</f>
        <v>PROCESO</v>
      </c>
      <c r="G74" s="49"/>
      <c r="H74" s="50" t="s">
        <v>42</v>
      </c>
      <c r="I74" s="49" t="s">
        <v>304</v>
      </c>
      <c r="J74" s="49" t="s">
        <v>22</v>
      </c>
      <c r="K74" s="16">
        <v>40</v>
      </c>
      <c r="L74" s="16">
        <v>40</v>
      </c>
      <c r="M74" s="16">
        <v>40</v>
      </c>
      <c r="N74" s="16">
        <v>40</v>
      </c>
      <c r="O74" s="16">
        <v>16</v>
      </c>
      <c r="P74" s="16">
        <v>24</v>
      </c>
      <c r="Q74" s="16">
        <v>40</v>
      </c>
      <c r="R74" s="16">
        <v>40</v>
      </c>
      <c r="S74" s="16">
        <v>40</v>
      </c>
      <c r="T74" s="16">
        <v>16</v>
      </c>
      <c r="U74" s="16">
        <v>24</v>
      </c>
      <c r="V74" s="16">
        <v>40</v>
      </c>
      <c r="W74" s="16">
        <v>40</v>
      </c>
      <c r="X74" s="16">
        <v>40</v>
      </c>
      <c r="Y74" s="16">
        <v>40</v>
      </c>
      <c r="Z74" s="16">
        <v>40</v>
      </c>
      <c r="AA74" s="16">
        <v>24</v>
      </c>
      <c r="AB74" s="16">
        <v>40</v>
      </c>
      <c r="AC74" s="16">
        <v>40</v>
      </c>
      <c r="AD74" s="16">
        <v>32</v>
      </c>
      <c r="AE74" s="16">
        <v>40</v>
      </c>
      <c r="AF74" s="16">
        <v>40</v>
      </c>
      <c r="AG74" s="16">
        <v>40</v>
      </c>
      <c r="AH74" s="16">
        <v>24</v>
      </c>
      <c r="AI74" s="16">
        <v>16</v>
      </c>
      <c r="AJ74" s="16">
        <v>40</v>
      </c>
      <c r="AK74" s="16">
        <v>40</v>
      </c>
      <c r="AL74" s="16">
        <v>40</v>
      </c>
      <c r="AM74" s="16">
        <v>32</v>
      </c>
      <c r="AN74" s="16">
        <v>40</v>
      </c>
      <c r="AO74" s="16">
        <v>40</v>
      </c>
      <c r="AP74" s="16">
        <v>40</v>
      </c>
      <c r="AQ74" s="16">
        <v>32</v>
      </c>
      <c r="AR74" s="16">
        <v>0</v>
      </c>
      <c r="AS74" s="16">
        <v>8</v>
      </c>
      <c r="AT74" s="16">
        <v>0</v>
      </c>
      <c r="AU74" s="16">
        <v>8</v>
      </c>
      <c r="AV74" s="16">
        <v>40</v>
      </c>
      <c r="AW74" s="16">
        <v>40</v>
      </c>
      <c r="AX74" s="16">
        <v>24</v>
      </c>
      <c r="AY74" s="16">
        <v>8</v>
      </c>
      <c r="AZ74" s="16">
        <v>40</v>
      </c>
      <c r="BA74" s="16">
        <v>40</v>
      </c>
      <c r="BB74" s="16">
        <v>40</v>
      </c>
      <c r="BC74" s="16">
        <v>40</v>
      </c>
      <c r="BD74" s="16">
        <v>40</v>
      </c>
      <c r="BE74" s="16">
        <v>0</v>
      </c>
      <c r="BF74" s="16">
        <v>0</v>
      </c>
      <c r="BG74" s="16">
        <v>0</v>
      </c>
      <c r="BH74" s="16">
        <v>0</v>
      </c>
      <c r="BI74" s="16">
        <v>0</v>
      </c>
      <c r="BJ74" s="16">
        <v>0</v>
      </c>
      <c r="BK74" s="16">
        <v>0</v>
      </c>
      <c r="BL74" s="16">
        <v>0</v>
      </c>
      <c r="BM74" s="16">
        <v>0</v>
      </c>
      <c r="BN74" s="16">
        <v>0</v>
      </c>
      <c r="BO74" s="16">
        <v>0</v>
      </c>
      <c r="BP74" s="16">
        <v>0</v>
      </c>
      <c r="BQ74" s="16">
        <v>0</v>
      </c>
      <c r="BR74" s="16">
        <v>0</v>
      </c>
      <c r="BS74" s="207">
        <f t="shared" si="36"/>
        <v>176</v>
      </c>
      <c r="BT74" s="207">
        <f t="shared" si="37"/>
        <v>160</v>
      </c>
      <c r="BU74" s="207">
        <f t="shared" si="34"/>
        <v>184</v>
      </c>
      <c r="BV74" s="207">
        <f t="shared" si="47"/>
        <v>144</v>
      </c>
      <c r="BW74" s="207">
        <f t="shared" si="38"/>
        <v>176</v>
      </c>
      <c r="BX74" s="207">
        <f t="shared" si="39"/>
        <v>168</v>
      </c>
      <c r="BY74" s="207">
        <f t="shared" si="40"/>
        <v>160</v>
      </c>
      <c r="BZ74" s="207">
        <f t="shared" si="41"/>
        <v>112</v>
      </c>
      <c r="CA74" s="207">
        <f t="shared" si="42"/>
        <v>168</v>
      </c>
      <c r="CB74" s="207">
        <f t="shared" si="43"/>
        <v>40</v>
      </c>
      <c r="CC74" s="207">
        <f t="shared" si="44"/>
        <v>0</v>
      </c>
      <c r="CD74" s="207">
        <f t="shared" si="45"/>
        <v>0</v>
      </c>
      <c r="CE74" s="207">
        <f t="shared" si="35"/>
        <v>1488</v>
      </c>
    </row>
    <row r="75" spans="1:83" ht="12" customHeight="1" x14ac:dyDescent="0.2">
      <c r="A75" s="6">
        <v>3</v>
      </c>
      <c r="B75" s="49" t="str">
        <f t="shared" si="48"/>
        <v>Calderon Vilchez Renzo PabloMP004</v>
      </c>
      <c r="C75" s="117" t="str">
        <f t="shared" si="46"/>
        <v>Calderon Vilchez Renzo Pablo</v>
      </c>
      <c r="D75" s="49" t="str">
        <f>VLOOKUP(C75,Datos!$B$13:$C$83,2,0)</f>
        <v>CESADO</v>
      </c>
      <c r="E75" s="50" t="s">
        <v>44</v>
      </c>
      <c r="F75" s="49" t="str">
        <f>IFERROR(VLOOKUP(H75,Datos!$J$2:$L$60,3,0),"OBSERVCIONES")</f>
        <v>PROCESO</v>
      </c>
      <c r="G75" s="49"/>
      <c r="H75" s="50" t="s">
        <v>42</v>
      </c>
      <c r="I75" s="49" t="s">
        <v>304</v>
      </c>
      <c r="J75" s="49" t="s">
        <v>417</v>
      </c>
      <c r="K75" s="16">
        <v>40</v>
      </c>
      <c r="L75" s="16">
        <v>40</v>
      </c>
      <c r="M75" s="16">
        <v>40</v>
      </c>
      <c r="N75" s="16">
        <v>40</v>
      </c>
      <c r="O75" s="16">
        <v>16</v>
      </c>
      <c r="P75" s="16">
        <v>24</v>
      </c>
      <c r="Q75" s="16">
        <v>40</v>
      </c>
      <c r="R75" s="16">
        <v>40</v>
      </c>
      <c r="S75" s="16">
        <v>0</v>
      </c>
      <c r="T75" s="16">
        <v>8</v>
      </c>
      <c r="U75" s="16">
        <v>24</v>
      </c>
      <c r="V75" s="16">
        <v>40</v>
      </c>
      <c r="W75" s="16">
        <v>40</v>
      </c>
      <c r="X75" s="16">
        <v>40</v>
      </c>
      <c r="Y75" s="16">
        <v>40</v>
      </c>
      <c r="Z75" s="16">
        <v>40</v>
      </c>
      <c r="AA75" s="16">
        <v>24</v>
      </c>
      <c r="AB75" s="16">
        <v>40</v>
      </c>
      <c r="AC75" s="16">
        <v>40</v>
      </c>
      <c r="AD75" s="16">
        <v>0</v>
      </c>
      <c r="AE75" s="16">
        <v>0</v>
      </c>
      <c r="AF75" s="16">
        <v>0</v>
      </c>
      <c r="AG75" s="16">
        <v>0</v>
      </c>
      <c r="AH75" s="16">
        <v>0</v>
      </c>
      <c r="AI75" s="16">
        <v>0</v>
      </c>
      <c r="AJ75" s="16">
        <v>0</v>
      </c>
      <c r="AK75" s="16">
        <v>0</v>
      </c>
      <c r="AL75" s="16">
        <v>0</v>
      </c>
      <c r="AM75" s="16">
        <v>0</v>
      </c>
      <c r="AN75" s="16">
        <v>0</v>
      </c>
      <c r="AO75" s="16">
        <v>0</v>
      </c>
      <c r="AP75" s="16">
        <v>0</v>
      </c>
      <c r="AQ75" s="16">
        <v>0</v>
      </c>
      <c r="AR75" s="16">
        <v>0</v>
      </c>
      <c r="AS75" s="16">
        <v>0</v>
      </c>
      <c r="AT75" s="16">
        <v>0</v>
      </c>
      <c r="AU75" s="16">
        <v>0</v>
      </c>
      <c r="AV75" s="16">
        <v>0</v>
      </c>
      <c r="AW75" s="16">
        <v>0</v>
      </c>
      <c r="AX75" s="16">
        <v>0</v>
      </c>
      <c r="AY75" s="16">
        <v>0</v>
      </c>
      <c r="AZ75" s="16">
        <v>0</v>
      </c>
      <c r="BA75" s="16">
        <v>0</v>
      </c>
      <c r="BB75" s="16">
        <v>0</v>
      </c>
      <c r="BC75" s="16">
        <v>0</v>
      </c>
      <c r="BD75" s="16">
        <v>0</v>
      </c>
      <c r="BE75" s="16">
        <v>0</v>
      </c>
      <c r="BF75" s="16">
        <v>0</v>
      </c>
      <c r="BG75" s="16">
        <v>0</v>
      </c>
      <c r="BH75" s="16">
        <v>0</v>
      </c>
      <c r="BI75" s="16">
        <v>0</v>
      </c>
      <c r="BJ75" s="16">
        <v>0</v>
      </c>
      <c r="BK75" s="16">
        <v>0</v>
      </c>
      <c r="BL75" s="16">
        <v>0</v>
      </c>
      <c r="BM75" s="16">
        <v>0</v>
      </c>
      <c r="BN75" s="16">
        <v>0</v>
      </c>
      <c r="BO75" s="16">
        <v>0</v>
      </c>
      <c r="BP75" s="16">
        <v>0</v>
      </c>
      <c r="BQ75" s="16">
        <v>0</v>
      </c>
      <c r="BR75" s="16">
        <v>0</v>
      </c>
      <c r="BS75" s="207">
        <f t="shared" si="36"/>
        <v>176</v>
      </c>
      <c r="BT75" s="207">
        <f t="shared" si="37"/>
        <v>112</v>
      </c>
      <c r="BU75" s="207">
        <f t="shared" si="34"/>
        <v>184</v>
      </c>
      <c r="BV75" s="207">
        <f t="shared" si="47"/>
        <v>144</v>
      </c>
      <c r="BW75" s="207">
        <f t="shared" si="38"/>
        <v>0</v>
      </c>
      <c r="BX75" s="207">
        <f t="shared" si="39"/>
        <v>0</v>
      </c>
      <c r="BY75" s="207">
        <f t="shared" si="40"/>
        <v>0</v>
      </c>
      <c r="BZ75" s="207">
        <f t="shared" si="41"/>
        <v>0</v>
      </c>
      <c r="CA75" s="207">
        <f t="shared" si="42"/>
        <v>0</v>
      </c>
      <c r="CB75" s="207">
        <f t="shared" si="43"/>
        <v>0</v>
      </c>
      <c r="CC75" s="207">
        <f t="shared" si="44"/>
        <v>0</v>
      </c>
      <c r="CD75" s="207">
        <f t="shared" si="45"/>
        <v>0</v>
      </c>
      <c r="CE75" s="207">
        <f t="shared" si="35"/>
        <v>616</v>
      </c>
    </row>
    <row r="76" spans="1:83" ht="12" customHeight="1" x14ac:dyDescent="0.2">
      <c r="A76" s="6">
        <v>5</v>
      </c>
      <c r="B76" s="49" t="str">
        <f t="shared" si="48"/>
        <v>Aricochea Marcelo Anthony DanteINASISTENCIAS</v>
      </c>
      <c r="C76" s="117" t="str">
        <f t="shared" si="46"/>
        <v>Aricochea Marcelo Anthony Dante</v>
      </c>
      <c r="D76" s="49" t="str">
        <f>VLOOKUP(C76,Datos!$B$13:$C$83,2,0)</f>
        <v>VIGENTE</v>
      </c>
      <c r="E76" s="50" t="s">
        <v>208</v>
      </c>
      <c r="F76" s="49"/>
      <c r="G76" s="49" t="str">
        <f>IFERROR(VLOOKUP(H76,Datos!$J$2:$L$60,3,0),"OBSERVACIONES")</f>
        <v>OBSERVACIONES</v>
      </c>
      <c r="H76" s="50" t="s">
        <v>208</v>
      </c>
      <c r="I76" s="49" t="s">
        <v>210</v>
      </c>
      <c r="J76" s="49" t="s">
        <v>1</v>
      </c>
      <c r="K76" s="16">
        <v>0</v>
      </c>
      <c r="L76" s="16">
        <v>0</v>
      </c>
      <c r="M76" s="16">
        <v>0</v>
      </c>
      <c r="N76" s="16">
        <v>0</v>
      </c>
      <c r="O76" s="16">
        <v>0</v>
      </c>
      <c r="P76" s="16">
        <v>0</v>
      </c>
      <c r="Q76" s="16">
        <v>0</v>
      </c>
      <c r="R76" s="16">
        <v>0</v>
      </c>
      <c r="S76" s="16">
        <v>0</v>
      </c>
      <c r="T76" s="16">
        <v>0</v>
      </c>
      <c r="U76" s="16">
        <v>0</v>
      </c>
      <c r="V76" s="16">
        <v>0</v>
      </c>
      <c r="W76" s="16">
        <v>0</v>
      </c>
      <c r="X76" s="16">
        <v>0</v>
      </c>
      <c r="Y76" s="16">
        <v>0</v>
      </c>
      <c r="Z76" s="16">
        <v>0</v>
      </c>
      <c r="AA76" s="16">
        <v>0</v>
      </c>
      <c r="AB76" s="16">
        <v>0</v>
      </c>
      <c r="AC76" s="16">
        <v>0</v>
      </c>
      <c r="AD76" s="16">
        <v>0</v>
      </c>
      <c r="AE76" s="16">
        <v>0</v>
      </c>
      <c r="AF76" s="16">
        <v>0</v>
      </c>
      <c r="AG76" s="16">
        <v>0</v>
      </c>
      <c r="AH76" s="16">
        <v>8</v>
      </c>
      <c r="AI76" s="16">
        <v>0</v>
      </c>
      <c r="AJ76" s="16">
        <v>0</v>
      </c>
      <c r="AK76" s="16">
        <v>0</v>
      </c>
      <c r="AL76" s="16">
        <v>0</v>
      </c>
      <c r="AM76" s="16">
        <v>0</v>
      </c>
      <c r="AN76" s="16">
        <v>0</v>
      </c>
      <c r="AO76" s="16">
        <v>0</v>
      </c>
      <c r="AP76" s="16">
        <v>0</v>
      </c>
      <c r="AQ76" s="16">
        <v>0</v>
      </c>
      <c r="AR76" s="16">
        <v>0</v>
      </c>
      <c r="AS76" s="16">
        <v>0</v>
      </c>
      <c r="AT76" s="16">
        <v>0</v>
      </c>
      <c r="AU76" s="16">
        <v>0</v>
      </c>
      <c r="AV76" s="16">
        <v>0</v>
      </c>
      <c r="AW76" s="16">
        <v>0</v>
      </c>
      <c r="AX76" s="16">
        <v>0</v>
      </c>
      <c r="AY76" s="16">
        <v>0</v>
      </c>
      <c r="AZ76" s="16">
        <v>0</v>
      </c>
      <c r="BA76" s="16">
        <v>0</v>
      </c>
      <c r="BB76" s="16">
        <v>0</v>
      </c>
      <c r="BC76" s="16">
        <v>0</v>
      </c>
      <c r="BD76" s="16">
        <v>0</v>
      </c>
      <c r="BE76" s="16">
        <v>0</v>
      </c>
      <c r="BF76" s="16">
        <v>0</v>
      </c>
      <c r="BG76" s="16">
        <v>0</v>
      </c>
      <c r="BH76" s="16">
        <v>0</v>
      </c>
      <c r="BI76" s="16">
        <v>0</v>
      </c>
      <c r="BJ76" s="16">
        <v>0</v>
      </c>
      <c r="BK76" s="16">
        <v>0</v>
      </c>
      <c r="BL76" s="16">
        <v>0</v>
      </c>
      <c r="BM76" s="16">
        <v>0</v>
      </c>
      <c r="BN76" s="16">
        <v>0</v>
      </c>
      <c r="BO76" s="16">
        <v>0</v>
      </c>
      <c r="BP76" s="16">
        <v>0</v>
      </c>
      <c r="BQ76" s="16">
        <v>0</v>
      </c>
      <c r="BR76" s="16">
        <v>0</v>
      </c>
      <c r="BS76" s="207">
        <f t="shared" si="36"/>
        <v>0</v>
      </c>
      <c r="BT76" s="207">
        <f t="shared" si="37"/>
        <v>0</v>
      </c>
      <c r="BU76" s="207">
        <f t="shared" si="34"/>
        <v>0</v>
      </c>
      <c r="BV76" s="207">
        <f t="shared" si="47"/>
        <v>0</v>
      </c>
      <c r="BW76" s="207">
        <f t="shared" si="38"/>
        <v>8</v>
      </c>
      <c r="BX76" s="207">
        <f t="shared" si="39"/>
        <v>0</v>
      </c>
      <c r="BY76" s="207">
        <f t="shared" si="40"/>
        <v>0</v>
      </c>
      <c r="BZ76" s="207">
        <f t="shared" si="41"/>
        <v>0</v>
      </c>
      <c r="CA76" s="207">
        <f t="shared" si="42"/>
        <v>0</v>
      </c>
      <c r="CB76" s="207">
        <f t="shared" si="43"/>
        <v>0</v>
      </c>
      <c r="CC76" s="207">
        <f t="shared" si="44"/>
        <v>0</v>
      </c>
      <c r="CD76" s="207">
        <f t="shared" si="45"/>
        <v>0</v>
      </c>
      <c r="CE76" s="207">
        <f t="shared" si="35"/>
        <v>8</v>
      </c>
    </row>
    <row r="77" spans="1:83" ht="12" customHeight="1" x14ac:dyDescent="0.2">
      <c r="A77" s="6">
        <v>3</v>
      </c>
      <c r="B77" s="49" t="str">
        <f t="shared" si="48"/>
        <v>Aricochea Marcelo Anthony DanteMP004</v>
      </c>
      <c r="C77" s="117" t="str">
        <f t="shared" si="46"/>
        <v>Aricochea Marcelo Anthony Dante</v>
      </c>
      <c r="D77" s="49" t="str">
        <f>VLOOKUP(C77,Datos!$B$13:$C$83,2,0)</f>
        <v>VIGENTE</v>
      </c>
      <c r="E77" s="50" t="s">
        <v>44</v>
      </c>
      <c r="F77" s="49" t="str">
        <f>IFERROR(VLOOKUP(H77,Datos!$J$2:$L$60,3,0),"OBSERVCIONES")</f>
        <v>PROCESO</v>
      </c>
      <c r="G77" s="49"/>
      <c r="H77" s="50" t="s">
        <v>42</v>
      </c>
      <c r="I77" s="49" t="s">
        <v>304</v>
      </c>
      <c r="J77" s="49" t="s">
        <v>1</v>
      </c>
      <c r="K77" s="16">
        <v>40</v>
      </c>
      <c r="L77" s="16">
        <v>40</v>
      </c>
      <c r="M77" s="16">
        <v>40</v>
      </c>
      <c r="N77" s="16">
        <v>40</v>
      </c>
      <c r="O77" s="16">
        <v>16</v>
      </c>
      <c r="P77" s="16">
        <v>24</v>
      </c>
      <c r="Q77" s="16">
        <v>40</v>
      </c>
      <c r="R77" s="16">
        <v>40</v>
      </c>
      <c r="S77" s="16">
        <v>40</v>
      </c>
      <c r="T77" s="16">
        <v>16</v>
      </c>
      <c r="U77" s="16">
        <v>24</v>
      </c>
      <c r="V77" s="16">
        <v>40</v>
      </c>
      <c r="W77" s="16">
        <v>40</v>
      </c>
      <c r="X77" s="16">
        <v>40</v>
      </c>
      <c r="Y77" s="16">
        <v>40</v>
      </c>
      <c r="Z77" s="16">
        <v>40</v>
      </c>
      <c r="AA77" s="16">
        <v>24</v>
      </c>
      <c r="AB77" s="16">
        <v>40</v>
      </c>
      <c r="AC77" s="16">
        <v>40</v>
      </c>
      <c r="AD77" s="16">
        <v>32</v>
      </c>
      <c r="AE77" s="16">
        <v>40</v>
      </c>
      <c r="AF77" s="16">
        <v>40</v>
      </c>
      <c r="AG77" s="16">
        <v>40</v>
      </c>
      <c r="AH77" s="16">
        <v>16</v>
      </c>
      <c r="AI77" s="16">
        <v>16</v>
      </c>
      <c r="AJ77" s="16">
        <v>40</v>
      </c>
      <c r="AK77" s="16">
        <v>40</v>
      </c>
      <c r="AL77" s="16">
        <v>40</v>
      </c>
      <c r="AM77" s="16">
        <v>32</v>
      </c>
      <c r="AN77" s="16">
        <v>40</v>
      </c>
      <c r="AO77" s="16">
        <v>40</v>
      </c>
      <c r="AP77" s="16">
        <v>40</v>
      </c>
      <c r="AQ77" s="16">
        <v>32</v>
      </c>
      <c r="AR77" s="16">
        <v>0</v>
      </c>
      <c r="AS77" s="16">
        <v>8</v>
      </c>
      <c r="AT77" s="16">
        <v>32</v>
      </c>
      <c r="AU77" s="16">
        <v>40</v>
      </c>
      <c r="AV77" s="16">
        <v>40</v>
      </c>
      <c r="AW77" s="16">
        <v>40</v>
      </c>
      <c r="AX77" s="16">
        <v>24</v>
      </c>
      <c r="AY77" s="16">
        <v>8</v>
      </c>
      <c r="AZ77" s="16">
        <v>40</v>
      </c>
      <c r="BA77" s="16">
        <v>40</v>
      </c>
      <c r="BB77" s="16">
        <v>40</v>
      </c>
      <c r="BC77" s="16">
        <v>40</v>
      </c>
      <c r="BD77" s="16">
        <v>40</v>
      </c>
      <c r="BE77" s="16">
        <v>0</v>
      </c>
      <c r="BF77" s="16">
        <v>0</v>
      </c>
      <c r="BG77" s="16">
        <v>0</v>
      </c>
      <c r="BH77" s="16">
        <v>0</v>
      </c>
      <c r="BI77" s="16">
        <v>0</v>
      </c>
      <c r="BJ77" s="16">
        <v>0</v>
      </c>
      <c r="BK77" s="16">
        <v>0</v>
      </c>
      <c r="BL77" s="16">
        <v>0</v>
      </c>
      <c r="BM77" s="16">
        <v>0</v>
      </c>
      <c r="BN77" s="16">
        <v>0</v>
      </c>
      <c r="BO77" s="16">
        <v>0</v>
      </c>
      <c r="BP77" s="16">
        <v>0</v>
      </c>
      <c r="BQ77" s="16">
        <v>0</v>
      </c>
      <c r="BR77" s="16">
        <v>0</v>
      </c>
      <c r="BS77" s="207">
        <f t="shared" si="36"/>
        <v>176</v>
      </c>
      <c r="BT77" s="207">
        <f t="shared" si="37"/>
        <v>160</v>
      </c>
      <c r="BU77" s="207">
        <f t="shared" si="34"/>
        <v>184</v>
      </c>
      <c r="BV77" s="207">
        <f t="shared" si="47"/>
        <v>144</v>
      </c>
      <c r="BW77" s="207">
        <f t="shared" si="38"/>
        <v>168</v>
      </c>
      <c r="BX77" s="207">
        <f t="shared" si="39"/>
        <v>168</v>
      </c>
      <c r="BY77" s="207">
        <f t="shared" si="40"/>
        <v>160</v>
      </c>
      <c r="BZ77" s="207">
        <f t="shared" si="41"/>
        <v>176</v>
      </c>
      <c r="CA77" s="207">
        <f t="shared" si="42"/>
        <v>168</v>
      </c>
      <c r="CB77" s="207">
        <f t="shared" si="43"/>
        <v>40</v>
      </c>
      <c r="CC77" s="207">
        <f t="shared" si="44"/>
        <v>0</v>
      </c>
      <c r="CD77" s="207">
        <f t="shared" si="45"/>
        <v>0</v>
      </c>
      <c r="CE77" s="207">
        <f t="shared" si="35"/>
        <v>1544</v>
      </c>
    </row>
    <row r="78" spans="1:83" ht="12" customHeight="1" x14ac:dyDescent="0.2">
      <c r="A78" s="6">
        <v>5</v>
      </c>
      <c r="B78" s="49" t="str">
        <f t="shared" si="48"/>
        <v>Pérez Cristobal Angel Marcel INASISTENCIAS</v>
      </c>
      <c r="C78" s="117" t="str">
        <f t="shared" si="46"/>
        <v xml:space="preserve">Pérez Cristobal Angel Marcel </v>
      </c>
      <c r="D78" s="49" t="str">
        <f>VLOOKUP(C78,Datos!$B$13:$C$83,2,0)</f>
        <v>VIGENTE</v>
      </c>
      <c r="E78" s="50" t="s">
        <v>208</v>
      </c>
      <c r="F78" s="49"/>
      <c r="G78" s="49" t="str">
        <f>IFERROR(VLOOKUP(H78,Datos!$J$2:$L$60,3,0),"OBSERVACIONES")</f>
        <v>OBSERVACIONES</v>
      </c>
      <c r="H78" s="50" t="s">
        <v>208</v>
      </c>
      <c r="I78" s="49" t="s">
        <v>210</v>
      </c>
      <c r="J78" s="49" t="s">
        <v>423</v>
      </c>
      <c r="K78" s="16">
        <v>0</v>
      </c>
      <c r="L78" s="16">
        <v>0</v>
      </c>
      <c r="M78" s="16">
        <v>0</v>
      </c>
      <c r="N78" s="16">
        <v>0</v>
      </c>
      <c r="O78" s="16">
        <v>8</v>
      </c>
      <c r="P78" s="16">
        <v>0</v>
      </c>
      <c r="Q78" s="16">
        <v>0</v>
      </c>
      <c r="R78" s="16">
        <v>0</v>
      </c>
      <c r="S78" s="16">
        <v>0</v>
      </c>
      <c r="T78" s="16">
        <v>0</v>
      </c>
      <c r="U78" s="16">
        <v>0</v>
      </c>
      <c r="V78" s="16">
        <v>0</v>
      </c>
      <c r="W78" s="16">
        <v>0</v>
      </c>
      <c r="X78" s="16">
        <v>0</v>
      </c>
      <c r="Y78" s="16">
        <v>0</v>
      </c>
      <c r="Z78" s="16">
        <v>0</v>
      </c>
      <c r="AA78" s="16">
        <v>0</v>
      </c>
      <c r="AB78" s="16">
        <v>0</v>
      </c>
      <c r="AC78" s="16">
        <v>0</v>
      </c>
      <c r="AD78" s="16">
        <v>0</v>
      </c>
      <c r="AE78" s="16">
        <v>0</v>
      </c>
      <c r="AF78" s="16">
        <v>0</v>
      </c>
      <c r="AG78" s="16">
        <v>0</v>
      </c>
      <c r="AH78" s="16">
        <v>0</v>
      </c>
      <c r="AI78" s="16">
        <v>0</v>
      </c>
      <c r="AJ78" s="16">
        <v>0</v>
      </c>
      <c r="AK78" s="16">
        <v>0</v>
      </c>
      <c r="AL78" s="16">
        <v>0</v>
      </c>
      <c r="AM78" s="16">
        <v>0</v>
      </c>
      <c r="AN78" s="16">
        <v>0</v>
      </c>
      <c r="AO78" s="16">
        <v>0</v>
      </c>
      <c r="AP78" s="16">
        <v>0</v>
      </c>
      <c r="AQ78" s="16">
        <v>0</v>
      </c>
      <c r="AR78" s="16">
        <v>0</v>
      </c>
      <c r="AS78" s="16">
        <v>0</v>
      </c>
      <c r="AT78" s="16">
        <v>0</v>
      </c>
      <c r="AU78" s="16">
        <v>0</v>
      </c>
      <c r="AV78" s="16">
        <v>0</v>
      </c>
      <c r="AW78" s="16">
        <v>0</v>
      </c>
      <c r="AX78" s="16">
        <v>0</v>
      </c>
      <c r="AY78" s="16">
        <v>0</v>
      </c>
      <c r="AZ78" s="16">
        <v>0</v>
      </c>
      <c r="BA78" s="16">
        <v>0</v>
      </c>
      <c r="BB78" s="16">
        <v>0</v>
      </c>
      <c r="BC78" s="16">
        <v>0</v>
      </c>
      <c r="BD78" s="16">
        <v>0</v>
      </c>
      <c r="BE78" s="16">
        <v>0</v>
      </c>
      <c r="BF78" s="16">
        <v>0</v>
      </c>
      <c r="BG78" s="16">
        <v>0</v>
      </c>
      <c r="BH78" s="16">
        <v>0</v>
      </c>
      <c r="BI78" s="16">
        <v>0</v>
      </c>
      <c r="BJ78" s="16">
        <v>0</v>
      </c>
      <c r="BK78" s="16">
        <v>0</v>
      </c>
      <c r="BL78" s="16">
        <v>0</v>
      </c>
      <c r="BM78" s="16">
        <v>0</v>
      </c>
      <c r="BN78" s="16">
        <v>0</v>
      </c>
      <c r="BO78" s="16">
        <v>0</v>
      </c>
      <c r="BP78" s="16">
        <v>0</v>
      </c>
      <c r="BQ78" s="16">
        <v>0</v>
      </c>
      <c r="BR78" s="16">
        <v>0</v>
      </c>
      <c r="BS78" s="207">
        <f t="shared" si="36"/>
        <v>8</v>
      </c>
      <c r="BT78" s="207">
        <f t="shared" si="37"/>
        <v>0</v>
      </c>
      <c r="BU78" s="207">
        <f t="shared" si="34"/>
        <v>0</v>
      </c>
      <c r="BV78" s="207">
        <f t="shared" si="47"/>
        <v>0</v>
      </c>
      <c r="BW78" s="207">
        <f t="shared" si="38"/>
        <v>0</v>
      </c>
      <c r="BX78" s="207">
        <f t="shared" si="39"/>
        <v>0</v>
      </c>
      <c r="BY78" s="207">
        <f t="shared" si="40"/>
        <v>0</v>
      </c>
      <c r="BZ78" s="207">
        <f t="shared" si="41"/>
        <v>0</v>
      </c>
      <c r="CA78" s="207">
        <f t="shared" si="42"/>
        <v>0</v>
      </c>
      <c r="CB78" s="207">
        <f t="shared" si="43"/>
        <v>0</v>
      </c>
      <c r="CC78" s="207">
        <f t="shared" si="44"/>
        <v>0</v>
      </c>
      <c r="CD78" s="207">
        <f t="shared" si="45"/>
        <v>0</v>
      </c>
      <c r="CE78" s="207">
        <f t="shared" si="35"/>
        <v>8</v>
      </c>
    </row>
    <row r="79" spans="1:83" ht="12" customHeight="1" x14ac:dyDescent="0.2">
      <c r="A79" s="6">
        <v>4</v>
      </c>
      <c r="B79" s="49" t="str">
        <f t="shared" si="48"/>
        <v>Pérez Cristobal Angel Marcel VACACIONES</v>
      </c>
      <c r="C79" s="117" t="str">
        <f t="shared" si="46"/>
        <v xml:space="preserve">Pérez Cristobal Angel Marcel </v>
      </c>
      <c r="D79" s="49" t="str">
        <f>VLOOKUP(C79,Datos!$B$13:$C$83,2,0)</f>
        <v>VIGENTE</v>
      </c>
      <c r="E79" s="50" t="s">
        <v>209</v>
      </c>
      <c r="F79" s="49"/>
      <c r="G79" s="49" t="str">
        <f>IFERROR(VLOOKUP(H79,Datos!$J$2:$L$60,3,0),"OBSERVACIONES")</f>
        <v>OBSERVACIONES</v>
      </c>
      <c r="H79" s="50" t="s">
        <v>209</v>
      </c>
      <c r="I79" s="49" t="s">
        <v>243</v>
      </c>
      <c r="J79" s="49" t="s">
        <v>423</v>
      </c>
      <c r="K79" s="16">
        <v>0</v>
      </c>
      <c r="L79" s="16">
        <v>0</v>
      </c>
      <c r="M79" s="16">
        <v>0</v>
      </c>
      <c r="N79" s="16">
        <v>0</v>
      </c>
      <c r="O79" s="16">
        <v>0</v>
      </c>
      <c r="P79" s="16">
        <v>0</v>
      </c>
      <c r="Q79" s="16">
        <v>0</v>
      </c>
      <c r="R79" s="16">
        <v>40</v>
      </c>
      <c r="S79" s="16">
        <v>8</v>
      </c>
      <c r="T79" s="16">
        <v>0</v>
      </c>
      <c r="U79" s="16">
        <v>0</v>
      </c>
      <c r="V79" s="16">
        <v>0</v>
      </c>
      <c r="W79" s="16">
        <v>0</v>
      </c>
      <c r="X79" s="16">
        <v>0</v>
      </c>
      <c r="Y79" s="16">
        <v>0</v>
      </c>
      <c r="Z79" s="16">
        <v>0</v>
      </c>
      <c r="AA79" s="16">
        <v>0</v>
      </c>
      <c r="AB79" s="16">
        <v>0</v>
      </c>
      <c r="AC79" s="16">
        <v>0</v>
      </c>
      <c r="AD79" s="16">
        <v>0</v>
      </c>
      <c r="AE79" s="16">
        <v>0</v>
      </c>
      <c r="AF79" s="16">
        <v>0</v>
      </c>
      <c r="AG79" s="16">
        <v>40</v>
      </c>
      <c r="AH79" s="16">
        <v>24</v>
      </c>
      <c r="AI79" s="16">
        <v>16</v>
      </c>
      <c r="AJ79" s="16">
        <v>0</v>
      </c>
      <c r="AK79" s="16">
        <v>0</v>
      </c>
      <c r="AL79" s="16">
        <v>0</v>
      </c>
      <c r="AM79" s="16">
        <v>0</v>
      </c>
      <c r="AN79" s="16">
        <v>0</v>
      </c>
      <c r="AO79" s="16">
        <v>0</v>
      </c>
      <c r="AP79" s="16">
        <v>0</v>
      </c>
      <c r="AQ79" s="16">
        <v>0</v>
      </c>
      <c r="AR79" s="16">
        <v>0</v>
      </c>
      <c r="AS79" s="16">
        <v>0</v>
      </c>
      <c r="AT79" s="16">
        <v>0</v>
      </c>
      <c r="AU79" s="16">
        <v>0</v>
      </c>
      <c r="AV79" s="16">
        <v>0</v>
      </c>
      <c r="AW79" s="16">
        <v>0</v>
      </c>
      <c r="AX79" s="16">
        <v>0</v>
      </c>
      <c r="AY79" s="16">
        <v>0</v>
      </c>
      <c r="AZ79" s="16">
        <v>0</v>
      </c>
      <c r="BA79" s="16">
        <v>0</v>
      </c>
      <c r="BB79" s="16">
        <v>0</v>
      </c>
      <c r="BC79" s="16">
        <v>0</v>
      </c>
      <c r="BD79" s="16">
        <v>0</v>
      </c>
      <c r="BE79" s="16">
        <v>0</v>
      </c>
      <c r="BF79" s="16">
        <v>0</v>
      </c>
      <c r="BG79" s="16">
        <v>0</v>
      </c>
      <c r="BH79" s="16">
        <v>0</v>
      </c>
      <c r="BI79" s="16">
        <v>0</v>
      </c>
      <c r="BJ79" s="16">
        <v>0</v>
      </c>
      <c r="BK79" s="16">
        <v>0</v>
      </c>
      <c r="BL79" s="16">
        <v>0</v>
      </c>
      <c r="BM79" s="16">
        <v>0</v>
      </c>
      <c r="BN79" s="16">
        <v>0</v>
      </c>
      <c r="BO79" s="16">
        <v>0</v>
      </c>
      <c r="BP79" s="16">
        <v>0</v>
      </c>
      <c r="BQ79" s="16">
        <v>0</v>
      </c>
      <c r="BR79" s="16">
        <v>0</v>
      </c>
      <c r="BS79" s="207">
        <f t="shared" si="36"/>
        <v>0</v>
      </c>
      <c r="BT79" s="207">
        <f t="shared" si="37"/>
        <v>48</v>
      </c>
      <c r="BU79" s="207">
        <f t="shared" si="34"/>
        <v>0</v>
      </c>
      <c r="BV79" s="207">
        <f t="shared" si="47"/>
        <v>0</v>
      </c>
      <c r="BW79" s="207">
        <f t="shared" si="38"/>
        <v>64</v>
      </c>
      <c r="BX79" s="207">
        <f t="shared" si="39"/>
        <v>16</v>
      </c>
      <c r="BY79" s="207">
        <f t="shared" si="40"/>
        <v>0</v>
      </c>
      <c r="BZ79" s="207">
        <f t="shared" si="41"/>
        <v>0</v>
      </c>
      <c r="CA79" s="207">
        <f t="shared" si="42"/>
        <v>0</v>
      </c>
      <c r="CB79" s="207">
        <f t="shared" si="43"/>
        <v>0</v>
      </c>
      <c r="CC79" s="207">
        <f t="shared" si="44"/>
        <v>0</v>
      </c>
      <c r="CD79" s="207">
        <f t="shared" si="45"/>
        <v>0</v>
      </c>
      <c r="CE79" s="207">
        <f t="shared" si="35"/>
        <v>128</v>
      </c>
    </row>
    <row r="80" spans="1:83" ht="12" customHeight="1" x14ac:dyDescent="0.2">
      <c r="A80" s="6">
        <v>3</v>
      </c>
      <c r="B80" s="49" t="str">
        <f t="shared" si="48"/>
        <v>Pérez Cristobal Angel Marcel MP004</v>
      </c>
      <c r="C80" s="117" t="str">
        <f t="shared" si="46"/>
        <v xml:space="preserve">Pérez Cristobal Angel Marcel </v>
      </c>
      <c r="D80" s="49" t="str">
        <f>VLOOKUP(C80,Datos!$B$13:$C$83,2,0)</f>
        <v>VIGENTE</v>
      </c>
      <c r="E80" s="50" t="s">
        <v>44</v>
      </c>
      <c r="F80" s="49" t="str">
        <f>IFERROR(VLOOKUP(H80,Datos!$J$2:$L$60,3,0),"OBSERVCIONES")</f>
        <v>PROCESO</v>
      </c>
      <c r="G80" s="49"/>
      <c r="H80" s="50" t="s">
        <v>42</v>
      </c>
      <c r="I80" s="49" t="s">
        <v>304</v>
      </c>
      <c r="J80" s="49" t="s">
        <v>423</v>
      </c>
      <c r="K80" s="16">
        <v>40</v>
      </c>
      <c r="L80" s="16">
        <v>40</v>
      </c>
      <c r="M80" s="16">
        <v>40</v>
      </c>
      <c r="N80" s="16">
        <v>40</v>
      </c>
      <c r="O80" s="16">
        <v>8</v>
      </c>
      <c r="P80" s="16">
        <v>24</v>
      </c>
      <c r="Q80" s="16">
        <v>40</v>
      </c>
      <c r="R80" s="16">
        <v>0</v>
      </c>
      <c r="S80" s="16">
        <v>32</v>
      </c>
      <c r="T80" s="16">
        <v>16</v>
      </c>
      <c r="U80" s="16">
        <v>24</v>
      </c>
      <c r="V80" s="16">
        <v>40</v>
      </c>
      <c r="W80" s="16">
        <v>40</v>
      </c>
      <c r="X80" s="16">
        <v>40</v>
      </c>
      <c r="Y80" s="16">
        <v>40</v>
      </c>
      <c r="Z80" s="16">
        <v>40</v>
      </c>
      <c r="AA80" s="16">
        <v>24</v>
      </c>
      <c r="AB80" s="16">
        <v>40</v>
      </c>
      <c r="AC80" s="16">
        <v>40</v>
      </c>
      <c r="AD80" s="16">
        <v>32</v>
      </c>
      <c r="AE80" s="16">
        <v>40</v>
      </c>
      <c r="AF80" s="16">
        <v>40</v>
      </c>
      <c r="AG80" s="16">
        <v>0</v>
      </c>
      <c r="AH80" s="16">
        <v>0</v>
      </c>
      <c r="AI80" s="16">
        <v>0</v>
      </c>
      <c r="AJ80" s="16">
        <v>40</v>
      </c>
      <c r="AK80" s="16">
        <v>40</v>
      </c>
      <c r="AL80" s="16">
        <v>40</v>
      </c>
      <c r="AM80" s="16">
        <v>32</v>
      </c>
      <c r="AN80" s="16">
        <v>40</v>
      </c>
      <c r="AO80" s="16">
        <v>40</v>
      </c>
      <c r="AP80" s="16">
        <v>40</v>
      </c>
      <c r="AQ80" s="16">
        <v>32</v>
      </c>
      <c r="AR80" s="16">
        <v>0</v>
      </c>
      <c r="AS80" s="16">
        <v>8</v>
      </c>
      <c r="AT80" s="16">
        <v>32</v>
      </c>
      <c r="AU80" s="16">
        <v>40</v>
      </c>
      <c r="AV80" s="16">
        <v>40</v>
      </c>
      <c r="AW80" s="16">
        <v>40</v>
      </c>
      <c r="AX80" s="16">
        <v>24</v>
      </c>
      <c r="AY80" s="16">
        <v>8</v>
      </c>
      <c r="AZ80" s="16">
        <v>40</v>
      </c>
      <c r="BA80" s="16">
        <v>40</v>
      </c>
      <c r="BB80" s="16">
        <v>40</v>
      </c>
      <c r="BC80" s="16">
        <v>40</v>
      </c>
      <c r="BD80" s="16">
        <v>40</v>
      </c>
      <c r="BE80" s="16">
        <v>0</v>
      </c>
      <c r="BF80" s="16">
        <v>0</v>
      </c>
      <c r="BG80" s="16">
        <v>0</v>
      </c>
      <c r="BH80" s="16">
        <v>0</v>
      </c>
      <c r="BI80" s="16">
        <v>0</v>
      </c>
      <c r="BJ80" s="16">
        <v>0</v>
      </c>
      <c r="BK80" s="16">
        <v>0</v>
      </c>
      <c r="BL80" s="16">
        <v>0</v>
      </c>
      <c r="BM80" s="16">
        <v>0</v>
      </c>
      <c r="BN80" s="16">
        <v>0</v>
      </c>
      <c r="BO80" s="16">
        <v>0</v>
      </c>
      <c r="BP80" s="16">
        <v>0</v>
      </c>
      <c r="BQ80" s="16">
        <v>0</v>
      </c>
      <c r="BR80" s="16">
        <v>0</v>
      </c>
      <c r="BS80" s="207">
        <f t="shared" si="36"/>
        <v>168</v>
      </c>
      <c r="BT80" s="207">
        <f t="shared" si="37"/>
        <v>112</v>
      </c>
      <c r="BU80" s="207">
        <f t="shared" si="34"/>
        <v>184</v>
      </c>
      <c r="BV80" s="207">
        <f t="shared" si="47"/>
        <v>144</v>
      </c>
      <c r="BW80" s="207">
        <f t="shared" si="38"/>
        <v>112</v>
      </c>
      <c r="BX80" s="207">
        <f t="shared" si="39"/>
        <v>152</v>
      </c>
      <c r="BY80" s="207">
        <f t="shared" si="40"/>
        <v>160</v>
      </c>
      <c r="BZ80" s="207">
        <f t="shared" si="41"/>
        <v>176</v>
      </c>
      <c r="CA80" s="207">
        <f t="shared" si="42"/>
        <v>168</v>
      </c>
      <c r="CB80" s="207">
        <f t="shared" si="43"/>
        <v>40</v>
      </c>
      <c r="CC80" s="207">
        <f t="shared" si="44"/>
        <v>0</v>
      </c>
      <c r="CD80" s="207">
        <f t="shared" si="45"/>
        <v>0</v>
      </c>
      <c r="CE80" s="207">
        <f t="shared" si="35"/>
        <v>1416</v>
      </c>
    </row>
    <row r="81" spans="1:83" ht="12" customHeight="1" x14ac:dyDescent="0.2">
      <c r="A81" s="6">
        <v>4</v>
      </c>
      <c r="B81" s="49" t="str">
        <f t="shared" si="48"/>
        <v>Escobedo Martinez ÁngelVACACIONES</v>
      </c>
      <c r="C81" s="117" t="str">
        <f t="shared" si="46"/>
        <v>Escobedo Martinez Ángel</v>
      </c>
      <c r="D81" s="49" t="str">
        <f>VLOOKUP(C81,Datos!$B$13:$C$83,2,0)</f>
        <v>VIGENTE</v>
      </c>
      <c r="E81" s="50" t="s">
        <v>209</v>
      </c>
      <c r="F81" s="49"/>
      <c r="G81" s="49" t="str">
        <f>IFERROR(VLOOKUP(H81,Datos!$J$2:$L$60,3,0),"OBSERVACIONES")</f>
        <v>OBSERVACIONES</v>
      </c>
      <c r="H81" s="50" t="s">
        <v>209</v>
      </c>
      <c r="I81" s="49" t="s">
        <v>243</v>
      </c>
      <c r="J81" s="49" t="s">
        <v>11</v>
      </c>
      <c r="K81" s="16">
        <v>0</v>
      </c>
      <c r="L81" s="16">
        <v>0</v>
      </c>
      <c r="M81" s="16">
        <v>0</v>
      </c>
      <c r="N81" s="16">
        <v>0</v>
      </c>
      <c r="O81" s="16">
        <v>0</v>
      </c>
      <c r="P81" s="16">
        <v>0</v>
      </c>
      <c r="Q81" s="16">
        <v>0</v>
      </c>
      <c r="R81" s="16">
        <v>0</v>
      </c>
      <c r="S81" s="16">
        <v>0</v>
      </c>
      <c r="T81" s="16">
        <v>0</v>
      </c>
      <c r="U81" s="16">
        <v>0</v>
      </c>
      <c r="V81" s="16">
        <v>0</v>
      </c>
      <c r="W81" s="16">
        <v>0</v>
      </c>
      <c r="X81" s="16">
        <v>0</v>
      </c>
      <c r="Y81" s="16">
        <v>0</v>
      </c>
      <c r="Z81" s="16">
        <v>0</v>
      </c>
      <c r="AA81" s="16">
        <v>16</v>
      </c>
      <c r="AB81" s="16">
        <v>0</v>
      </c>
      <c r="AC81" s="16">
        <v>0</v>
      </c>
      <c r="AD81" s="16">
        <v>0</v>
      </c>
      <c r="AE81" s="16">
        <v>0</v>
      </c>
      <c r="AF81" s="16">
        <v>0</v>
      </c>
      <c r="AG81" s="16">
        <v>0</v>
      </c>
      <c r="AH81" s="16">
        <v>0</v>
      </c>
      <c r="AI81" s="16">
        <v>0</v>
      </c>
      <c r="AJ81" s="16">
        <v>0</v>
      </c>
      <c r="AK81" s="16">
        <v>0</v>
      </c>
      <c r="AL81" s="16">
        <v>0</v>
      </c>
      <c r="AM81" s="16">
        <v>0</v>
      </c>
      <c r="AN81" s="16">
        <v>0</v>
      </c>
      <c r="AO81" s="16">
        <v>0</v>
      </c>
      <c r="AP81" s="16">
        <v>0</v>
      </c>
      <c r="AQ81" s="16">
        <v>0</v>
      </c>
      <c r="AR81" s="16">
        <v>0</v>
      </c>
      <c r="AS81" s="16">
        <v>0</v>
      </c>
      <c r="AT81" s="16">
        <v>0</v>
      </c>
      <c r="AU81" s="16">
        <v>0</v>
      </c>
      <c r="AV81" s="16">
        <v>0</v>
      </c>
      <c r="AW81" s="16">
        <v>0</v>
      </c>
      <c r="AX81" s="16">
        <v>0</v>
      </c>
      <c r="AY81" s="16">
        <v>0</v>
      </c>
      <c r="AZ81" s="16">
        <v>0</v>
      </c>
      <c r="BA81" s="16">
        <v>0</v>
      </c>
      <c r="BB81" s="16">
        <v>0</v>
      </c>
      <c r="BC81" s="16">
        <v>0</v>
      </c>
      <c r="BD81" s="16">
        <v>0</v>
      </c>
      <c r="BE81" s="16">
        <v>0</v>
      </c>
      <c r="BF81" s="16">
        <v>0</v>
      </c>
      <c r="BG81" s="16">
        <v>0</v>
      </c>
      <c r="BH81" s="16">
        <v>0</v>
      </c>
      <c r="BI81" s="16">
        <v>0</v>
      </c>
      <c r="BJ81" s="16">
        <v>0</v>
      </c>
      <c r="BK81" s="16">
        <v>0</v>
      </c>
      <c r="BL81" s="16">
        <v>0</v>
      </c>
      <c r="BM81" s="16">
        <v>0</v>
      </c>
      <c r="BN81" s="16">
        <v>0</v>
      </c>
      <c r="BO81" s="16">
        <v>0</v>
      </c>
      <c r="BP81" s="16">
        <v>0</v>
      </c>
      <c r="BQ81" s="16">
        <v>0</v>
      </c>
      <c r="BR81" s="16">
        <v>0</v>
      </c>
      <c r="BS81" s="207">
        <f t="shared" si="36"/>
        <v>0</v>
      </c>
      <c r="BT81" s="207">
        <f t="shared" si="37"/>
        <v>0</v>
      </c>
      <c r="BU81" s="207">
        <f t="shared" si="34"/>
        <v>0</v>
      </c>
      <c r="BV81" s="207">
        <f t="shared" si="47"/>
        <v>16</v>
      </c>
      <c r="BW81" s="207">
        <f t="shared" si="38"/>
        <v>0</v>
      </c>
      <c r="BX81" s="207">
        <f t="shared" si="39"/>
        <v>0</v>
      </c>
      <c r="BY81" s="207">
        <f t="shared" si="40"/>
        <v>0</v>
      </c>
      <c r="BZ81" s="207">
        <f t="shared" si="41"/>
        <v>0</v>
      </c>
      <c r="CA81" s="207">
        <f t="shared" si="42"/>
        <v>0</v>
      </c>
      <c r="CB81" s="207">
        <f t="shared" si="43"/>
        <v>0</v>
      </c>
      <c r="CC81" s="207">
        <f t="shared" si="44"/>
        <v>0</v>
      </c>
      <c r="CD81" s="207">
        <f t="shared" si="45"/>
        <v>0</v>
      </c>
      <c r="CE81" s="207">
        <f t="shared" si="35"/>
        <v>16</v>
      </c>
    </row>
    <row r="82" spans="1:83" ht="12" customHeight="1" x14ac:dyDescent="0.2">
      <c r="A82" s="6">
        <v>3</v>
      </c>
      <c r="B82" s="49" t="str">
        <f t="shared" si="48"/>
        <v>Escobedo Martinez ÁngelMP004</v>
      </c>
      <c r="C82" s="117" t="str">
        <f t="shared" si="46"/>
        <v>Escobedo Martinez Ángel</v>
      </c>
      <c r="D82" s="49" t="str">
        <f>VLOOKUP(C82,Datos!$B$13:$C$83,2,0)</f>
        <v>VIGENTE</v>
      </c>
      <c r="E82" s="50" t="s">
        <v>44</v>
      </c>
      <c r="F82" s="49" t="str">
        <f>IFERROR(VLOOKUP(H82,Datos!$J$2:$L$60,3,0),"OBSERVCIONES")</f>
        <v>PROCESO</v>
      </c>
      <c r="G82" s="49"/>
      <c r="H82" s="50" t="s">
        <v>42</v>
      </c>
      <c r="I82" s="49" t="s">
        <v>304</v>
      </c>
      <c r="J82" s="49" t="s">
        <v>11</v>
      </c>
      <c r="K82" s="16">
        <v>40</v>
      </c>
      <c r="L82" s="16">
        <v>40</v>
      </c>
      <c r="M82" s="16">
        <v>40</v>
      </c>
      <c r="N82" s="16">
        <v>40</v>
      </c>
      <c r="O82" s="16">
        <v>16</v>
      </c>
      <c r="P82" s="16">
        <v>24</v>
      </c>
      <c r="Q82" s="16">
        <v>40</v>
      </c>
      <c r="R82" s="16">
        <v>40</v>
      </c>
      <c r="S82" s="16">
        <v>40</v>
      </c>
      <c r="T82" s="16">
        <v>16</v>
      </c>
      <c r="U82" s="16">
        <v>24</v>
      </c>
      <c r="V82" s="16">
        <v>40</v>
      </c>
      <c r="W82" s="16">
        <v>40</v>
      </c>
      <c r="X82" s="16">
        <v>40</v>
      </c>
      <c r="Y82" s="16">
        <v>40</v>
      </c>
      <c r="Z82" s="16">
        <v>40</v>
      </c>
      <c r="AA82" s="16">
        <v>8</v>
      </c>
      <c r="AB82" s="16">
        <v>40</v>
      </c>
      <c r="AC82" s="16">
        <v>40</v>
      </c>
      <c r="AD82" s="16">
        <v>32</v>
      </c>
      <c r="AE82" s="16">
        <v>40</v>
      </c>
      <c r="AF82" s="16">
        <v>40</v>
      </c>
      <c r="AG82" s="16">
        <v>40</v>
      </c>
      <c r="AH82" s="16">
        <v>24</v>
      </c>
      <c r="AI82" s="16">
        <v>16</v>
      </c>
      <c r="AJ82" s="16">
        <v>40</v>
      </c>
      <c r="AK82" s="16">
        <v>40</v>
      </c>
      <c r="AL82" s="16">
        <v>40</v>
      </c>
      <c r="AM82" s="16">
        <v>32</v>
      </c>
      <c r="AN82" s="16">
        <v>40</v>
      </c>
      <c r="AO82" s="16">
        <v>40</v>
      </c>
      <c r="AP82" s="16">
        <v>40</v>
      </c>
      <c r="AQ82" s="16">
        <v>32</v>
      </c>
      <c r="AR82" s="16">
        <v>0</v>
      </c>
      <c r="AS82" s="16">
        <v>8</v>
      </c>
      <c r="AT82" s="16">
        <v>32</v>
      </c>
      <c r="AU82" s="16">
        <v>40</v>
      </c>
      <c r="AV82" s="16">
        <v>40</v>
      </c>
      <c r="AW82" s="16">
        <v>40</v>
      </c>
      <c r="AX82" s="16">
        <v>24</v>
      </c>
      <c r="AY82" s="16">
        <v>8</v>
      </c>
      <c r="AZ82" s="16">
        <v>40</v>
      </c>
      <c r="BA82" s="16">
        <v>40</v>
      </c>
      <c r="BB82" s="16">
        <v>40</v>
      </c>
      <c r="BC82" s="16">
        <v>40</v>
      </c>
      <c r="BD82" s="16">
        <v>40</v>
      </c>
      <c r="BE82" s="16">
        <v>0</v>
      </c>
      <c r="BF82" s="16">
        <v>0</v>
      </c>
      <c r="BG82" s="16">
        <v>0</v>
      </c>
      <c r="BH82" s="16">
        <v>0</v>
      </c>
      <c r="BI82" s="16">
        <v>0</v>
      </c>
      <c r="BJ82" s="16">
        <v>0</v>
      </c>
      <c r="BK82" s="16">
        <v>0</v>
      </c>
      <c r="BL82" s="16">
        <v>0</v>
      </c>
      <c r="BM82" s="16">
        <v>0</v>
      </c>
      <c r="BN82" s="16">
        <v>0</v>
      </c>
      <c r="BO82" s="16">
        <v>0</v>
      </c>
      <c r="BP82" s="16">
        <v>0</v>
      </c>
      <c r="BQ82" s="16">
        <v>0</v>
      </c>
      <c r="BR82" s="16">
        <v>0</v>
      </c>
      <c r="BS82" s="207">
        <f t="shared" si="36"/>
        <v>176</v>
      </c>
      <c r="BT82" s="207">
        <f t="shared" si="37"/>
        <v>160</v>
      </c>
      <c r="BU82" s="207">
        <f t="shared" si="34"/>
        <v>184</v>
      </c>
      <c r="BV82" s="207">
        <f t="shared" si="47"/>
        <v>128</v>
      </c>
      <c r="BW82" s="207">
        <f t="shared" si="38"/>
        <v>176</v>
      </c>
      <c r="BX82" s="207">
        <f t="shared" si="39"/>
        <v>168</v>
      </c>
      <c r="BY82" s="207">
        <f t="shared" si="40"/>
        <v>160</v>
      </c>
      <c r="BZ82" s="207">
        <f t="shared" si="41"/>
        <v>176</v>
      </c>
      <c r="CA82" s="207">
        <f t="shared" si="42"/>
        <v>168</v>
      </c>
      <c r="CB82" s="207">
        <f t="shared" si="43"/>
        <v>40</v>
      </c>
      <c r="CC82" s="207">
        <f t="shared" si="44"/>
        <v>0</v>
      </c>
      <c r="CD82" s="207">
        <f t="shared" si="45"/>
        <v>0</v>
      </c>
      <c r="CE82" s="207">
        <f t="shared" si="35"/>
        <v>1536</v>
      </c>
    </row>
    <row r="83" spans="1:83" ht="12" customHeight="1" x14ac:dyDescent="0.2">
      <c r="A83" s="6">
        <v>3</v>
      </c>
      <c r="B83" s="49" t="str">
        <f t="shared" si="48"/>
        <v>Lopez Borja Amadeo FelixMP004</v>
      </c>
      <c r="C83" s="117" t="str">
        <f t="shared" si="46"/>
        <v>Lopez Borja Amadeo Felix</v>
      </c>
      <c r="D83" s="49" t="str">
        <f>VLOOKUP(C83,Datos!$B$13:$C$83,2,0)</f>
        <v>CESADO</v>
      </c>
      <c r="E83" s="50" t="s">
        <v>44</v>
      </c>
      <c r="F83" s="49" t="str">
        <f>IFERROR(VLOOKUP(H83,Datos!$J$2:$L$60,3,0),"OBSERVCIONES")</f>
        <v>PROCESO</v>
      </c>
      <c r="G83" s="49"/>
      <c r="H83" s="50" t="s">
        <v>42</v>
      </c>
      <c r="I83" s="49" t="s">
        <v>304</v>
      </c>
      <c r="J83" s="49" t="s">
        <v>19</v>
      </c>
      <c r="K83" s="16">
        <v>40</v>
      </c>
      <c r="L83" s="16">
        <v>38</v>
      </c>
      <c r="M83" s="16">
        <v>40</v>
      </c>
      <c r="N83" s="16">
        <v>40</v>
      </c>
      <c r="O83" s="16">
        <v>16</v>
      </c>
      <c r="P83" s="16">
        <v>24</v>
      </c>
      <c r="Q83" s="16">
        <v>40</v>
      </c>
      <c r="R83" s="16">
        <v>40</v>
      </c>
      <c r="S83" s="16">
        <v>40</v>
      </c>
      <c r="T83" s="16">
        <v>16</v>
      </c>
      <c r="U83" s="16">
        <v>24</v>
      </c>
      <c r="V83" s="16">
        <v>40</v>
      </c>
      <c r="W83" s="16">
        <v>40</v>
      </c>
      <c r="X83" s="16">
        <v>40</v>
      </c>
      <c r="Y83" s="16">
        <v>40</v>
      </c>
      <c r="Z83" s="16">
        <v>40</v>
      </c>
      <c r="AA83" s="16">
        <v>24</v>
      </c>
      <c r="AB83" s="16">
        <v>40</v>
      </c>
      <c r="AC83" s="16">
        <v>40</v>
      </c>
      <c r="AD83" s="16">
        <v>32</v>
      </c>
      <c r="AE83" s="16">
        <v>40</v>
      </c>
      <c r="AF83" s="16">
        <v>40</v>
      </c>
      <c r="AG83" s="16">
        <v>40</v>
      </c>
      <c r="AH83" s="16">
        <v>24</v>
      </c>
      <c r="AI83" s="16">
        <v>16</v>
      </c>
      <c r="AJ83" s="16">
        <v>40</v>
      </c>
      <c r="AK83" s="16">
        <v>40</v>
      </c>
      <c r="AL83" s="16">
        <v>40</v>
      </c>
      <c r="AM83" s="16">
        <v>32</v>
      </c>
      <c r="AN83" s="16">
        <v>40</v>
      </c>
      <c r="AO83" s="16">
        <v>40</v>
      </c>
      <c r="AP83" s="16">
        <v>40</v>
      </c>
      <c r="AQ83" s="16">
        <v>24</v>
      </c>
      <c r="AR83" s="16">
        <v>0</v>
      </c>
      <c r="AS83" s="16">
        <v>8</v>
      </c>
      <c r="AT83" s="16">
        <v>32</v>
      </c>
      <c r="AU83" s="16">
        <v>40</v>
      </c>
      <c r="AV83" s="16">
        <v>40</v>
      </c>
      <c r="AW83" s="16">
        <v>36</v>
      </c>
      <c r="AX83" s="16">
        <v>24</v>
      </c>
      <c r="AY83" s="16">
        <v>8</v>
      </c>
      <c r="AZ83" s="16">
        <v>40</v>
      </c>
      <c r="BA83" s="16">
        <v>0</v>
      </c>
      <c r="BB83" s="16">
        <v>0</v>
      </c>
      <c r="BC83" s="16">
        <v>0</v>
      </c>
      <c r="BD83" s="16">
        <v>0</v>
      </c>
      <c r="BE83" s="16">
        <v>0</v>
      </c>
      <c r="BF83" s="16">
        <v>0</v>
      </c>
      <c r="BG83" s="16">
        <v>0</v>
      </c>
      <c r="BH83" s="16">
        <v>0</v>
      </c>
      <c r="BI83" s="16">
        <v>0</v>
      </c>
      <c r="BJ83" s="16">
        <v>0</v>
      </c>
      <c r="BK83" s="16">
        <v>0</v>
      </c>
      <c r="BL83" s="16">
        <v>0</v>
      </c>
      <c r="BM83" s="16">
        <v>0</v>
      </c>
      <c r="BN83" s="16">
        <v>0</v>
      </c>
      <c r="BO83" s="16">
        <v>0</v>
      </c>
      <c r="BP83" s="16">
        <v>0</v>
      </c>
      <c r="BQ83" s="16">
        <v>0</v>
      </c>
      <c r="BR83" s="16">
        <v>0</v>
      </c>
      <c r="BS83" s="207">
        <f t="shared" si="36"/>
        <v>174</v>
      </c>
      <c r="BT83" s="207">
        <f t="shared" si="37"/>
        <v>160</v>
      </c>
      <c r="BU83" s="207">
        <f t="shared" si="34"/>
        <v>184</v>
      </c>
      <c r="BV83" s="207">
        <f t="shared" si="47"/>
        <v>144</v>
      </c>
      <c r="BW83" s="207">
        <f t="shared" si="38"/>
        <v>176</v>
      </c>
      <c r="BX83" s="207">
        <f t="shared" si="39"/>
        <v>168</v>
      </c>
      <c r="BY83" s="207">
        <f t="shared" si="40"/>
        <v>152</v>
      </c>
      <c r="BZ83" s="207">
        <f t="shared" si="41"/>
        <v>172</v>
      </c>
      <c r="CA83" s="207">
        <f t="shared" si="42"/>
        <v>48</v>
      </c>
      <c r="CB83" s="207">
        <f t="shared" si="43"/>
        <v>0</v>
      </c>
      <c r="CC83" s="207">
        <f t="shared" si="44"/>
        <v>0</v>
      </c>
      <c r="CD83" s="207">
        <f t="shared" si="45"/>
        <v>0</v>
      </c>
      <c r="CE83" s="207">
        <f t="shared" si="35"/>
        <v>1378</v>
      </c>
    </row>
    <row r="84" spans="1:83" ht="12" customHeight="1" x14ac:dyDescent="0.2">
      <c r="A84" s="6">
        <v>5</v>
      </c>
      <c r="B84" s="49" t="str">
        <f t="shared" si="48"/>
        <v>Zenteno Espinoza AlexINASISTENCIAS</v>
      </c>
      <c r="C84" s="117" t="str">
        <f t="shared" si="46"/>
        <v>Zenteno Espinoza Alex</v>
      </c>
      <c r="D84" s="49" t="str">
        <f>VLOOKUP(C84,Datos!$B$13:$C$83,2,0)</f>
        <v>CESADO</v>
      </c>
      <c r="E84" s="50" t="s">
        <v>208</v>
      </c>
      <c r="F84" s="49"/>
      <c r="G84" s="49" t="str">
        <f>IFERROR(VLOOKUP(H84,Datos!$J$2:$L$60,3,0),"OBSERVACIONES")</f>
        <v>OBSERVACIONES</v>
      </c>
      <c r="H84" s="50" t="s">
        <v>208</v>
      </c>
      <c r="I84" s="49" t="s">
        <v>210</v>
      </c>
      <c r="J84" s="49" t="s">
        <v>265</v>
      </c>
      <c r="K84" s="16">
        <v>0</v>
      </c>
      <c r="L84" s="16">
        <v>0</v>
      </c>
      <c r="M84" s="16">
        <v>0</v>
      </c>
      <c r="N84" s="16">
        <v>0</v>
      </c>
      <c r="O84" s="16">
        <v>0</v>
      </c>
      <c r="P84" s="16">
        <v>0</v>
      </c>
      <c r="Q84" s="16">
        <v>0</v>
      </c>
      <c r="R84" s="16">
        <v>0</v>
      </c>
      <c r="S84" s="16">
        <v>0</v>
      </c>
      <c r="T84" s="16">
        <v>0</v>
      </c>
      <c r="U84" s="16">
        <v>0</v>
      </c>
      <c r="V84" s="16">
        <v>0</v>
      </c>
      <c r="W84" s="16">
        <v>0</v>
      </c>
      <c r="X84" s="16">
        <v>0</v>
      </c>
      <c r="Y84" s="16">
        <v>0</v>
      </c>
      <c r="Z84" s="16">
        <v>0</v>
      </c>
      <c r="AA84" s="16">
        <v>0</v>
      </c>
      <c r="AB84" s="16">
        <v>0</v>
      </c>
      <c r="AC84" s="16">
        <v>0</v>
      </c>
      <c r="AD84" s="16">
        <v>0</v>
      </c>
      <c r="AE84" s="16">
        <v>0</v>
      </c>
      <c r="AF84" s="16">
        <v>0</v>
      </c>
      <c r="AG84" s="16">
        <v>0</v>
      </c>
      <c r="AH84" s="16">
        <v>0</v>
      </c>
      <c r="AI84" s="16">
        <v>0</v>
      </c>
      <c r="AJ84" s="16">
        <v>0</v>
      </c>
      <c r="AK84" s="16">
        <v>0</v>
      </c>
      <c r="AL84" s="16">
        <v>0</v>
      </c>
      <c r="AM84" s="16">
        <v>0</v>
      </c>
      <c r="AN84" s="16">
        <v>0</v>
      </c>
      <c r="AO84" s="16">
        <v>0</v>
      </c>
      <c r="AP84" s="16">
        <v>0</v>
      </c>
      <c r="AQ84" s="16">
        <v>0</v>
      </c>
      <c r="AR84" s="16">
        <v>0</v>
      </c>
      <c r="AS84" s="16">
        <v>0</v>
      </c>
      <c r="AT84" s="16">
        <v>0</v>
      </c>
      <c r="AU84" s="16">
        <v>8</v>
      </c>
      <c r="AV84" s="16">
        <v>0</v>
      </c>
      <c r="AW84" s="16">
        <v>0</v>
      </c>
      <c r="AX84" s="16">
        <v>0</v>
      </c>
      <c r="AY84" s="16">
        <v>0</v>
      </c>
      <c r="AZ84" s="16">
        <v>0</v>
      </c>
      <c r="BA84" s="16">
        <v>0</v>
      </c>
      <c r="BB84" s="16">
        <v>0</v>
      </c>
      <c r="BC84" s="16">
        <v>0</v>
      </c>
      <c r="BD84" s="16">
        <v>0</v>
      </c>
      <c r="BE84" s="16">
        <v>0</v>
      </c>
      <c r="BF84" s="16">
        <v>0</v>
      </c>
      <c r="BG84" s="16">
        <v>0</v>
      </c>
      <c r="BH84" s="16">
        <v>0</v>
      </c>
      <c r="BI84" s="16">
        <v>0</v>
      </c>
      <c r="BJ84" s="16">
        <v>0</v>
      </c>
      <c r="BK84" s="16">
        <v>0</v>
      </c>
      <c r="BL84" s="16">
        <v>0</v>
      </c>
      <c r="BM84" s="16">
        <v>0</v>
      </c>
      <c r="BN84" s="16">
        <v>0</v>
      </c>
      <c r="BO84" s="16">
        <v>0</v>
      </c>
      <c r="BP84" s="16">
        <v>0</v>
      </c>
      <c r="BQ84" s="16">
        <v>0</v>
      </c>
      <c r="BR84" s="16">
        <v>0</v>
      </c>
      <c r="BS84" s="207">
        <f t="shared" si="36"/>
        <v>0</v>
      </c>
      <c r="BT84" s="207">
        <f t="shared" si="37"/>
        <v>0</v>
      </c>
      <c r="BU84" s="207">
        <f t="shared" si="34"/>
        <v>0</v>
      </c>
      <c r="BV84" s="207">
        <f t="shared" si="47"/>
        <v>0</v>
      </c>
      <c r="BW84" s="207">
        <f t="shared" si="38"/>
        <v>0</v>
      </c>
      <c r="BX84" s="207">
        <f t="shared" si="39"/>
        <v>0</v>
      </c>
      <c r="BY84" s="207">
        <f t="shared" si="40"/>
        <v>0</v>
      </c>
      <c r="BZ84" s="207">
        <f t="shared" si="41"/>
        <v>8</v>
      </c>
      <c r="CA84" s="207">
        <f t="shared" si="42"/>
        <v>0</v>
      </c>
      <c r="CB84" s="207">
        <f t="shared" si="43"/>
        <v>0</v>
      </c>
      <c r="CC84" s="207">
        <f t="shared" si="44"/>
        <v>0</v>
      </c>
      <c r="CD84" s="207">
        <f t="shared" si="45"/>
        <v>0</v>
      </c>
      <c r="CE84" s="207">
        <f t="shared" si="35"/>
        <v>8</v>
      </c>
    </row>
    <row r="85" spans="1:83" ht="12" customHeight="1" x14ac:dyDescent="0.2">
      <c r="A85" s="6">
        <v>6</v>
      </c>
      <c r="B85" s="49" t="str">
        <f t="shared" si="48"/>
        <v>Zenteno Espinoza AlexINASISTENCIAS JUSTIFICADAS</v>
      </c>
      <c r="C85" s="117" t="str">
        <f t="shared" si="46"/>
        <v>Zenteno Espinoza Alex</v>
      </c>
      <c r="D85" s="49" t="str">
        <f>VLOOKUP(C85,Datos!$B$13:$C$83,2,0)</f>
        <v>CESADO</v>
      </c>
      <c r="E85" s="50" t="s">
        <v>855</v>
      </c>
      <c r="F85" s="49"/>
      <c r="G85" s="49" t="str">
        <f>IFERROR(VLOOKUP(H85,Datos!$J$2:$L$60,3,0),"OBSERVACIONES")</f>
        <v>OBSERVACIONES</v>
      </c>
      <c r="H85" s="50" t="s">
        <v>855</v>
      </c>
      <c r="I85" s="49" t="s">
        <v>856</v>
      </c>
      <c r="J85" s="49" t="s">
        <v>265</v>
      </c>
      <c r="K85" s="16">
        <v>0</v>
      </c>
      <c r="L85" s="16">
        <v>0</v>
      </c>
      <c r="M85" s="16">
        <v>0</v>
      </c>
      <c r="N85" s="16">
        <v>0</v>
      </c>
      <c r="O85" s="16">
        <v>0</v>
      </c>
      <c r="P85" s="16">
        <v>0</v>
      </c>
      <c r="Q85" s="16">
        <v>0</v>
      </c>
      <c r="R85" s="16">
        <v>0</v>
      </c>
      <c r="S85" s="16">
        <v>0</v>
      </c>
      <c r="T85" s="16">
        <v>0</v>
      </c>
      <c r="U85" s="16">
        <v>0</v>
      </c>
      <c r="V85" s="16">
        <v>0</v>
      </c>
      <c r="W85" s="16">
        <v>0</v>
      </c>
      <c r="X85" s="16">
        <v>0</v>
      </c>
      <c r="Y85" s="16">
        <v>0</v>
      </c>
      <c r="Z85" s="16">
        <v>0</v>
      </c>
      <c r="AA85" s="16">
        <v>0</v>
      </c>
      <c r="AB85" s="16">
        <v>0</v>
      </c>
      <c r="AC85" s="16">
        <v>0</v>
      </c>
      <c r="AD85" s="16">
        <v>0</v>
      </c>
      <c r="AE85" s="16">
        <v>0</v>
      </c>
      <c r="AF85" s="16">
        <v>0</v>
      </c>
      <c r="AG85" s="16">
        <v>0</v>
      </c>
      <c r="AH85" s="16">
        <v>0</v>
      </c>
      <c r="AI85" s="16">
        <v>0</v>
      </c>
      <c r="AJ85" s="16">
        <v>0</v>
      </c>
      <c r="AK85" s="16">
        <v>0</v>
      </c>
      <c r="AL85" s="16">
        <v>0</v>
      </c>
      <c r="AM85" s="16">
        <v>0</v>
      </c>
      <c r="AN85" s="16">
        <v>0</v>
      </c>
      <c r="AO85" s="16">
        <v>0</v>
      </c>
      <c r="AP85" s="16">
        <v>0</v>
      </c>
      <c r="AQ85" s="16">
        <v>0</v>
      </c>
      <c r="AR85" s="16">
        <v>0</v>
      </c>
      <c r="AS85" s="16">
        <v>0</v>
      </c>
      <c r="AT85" s="16">
        <v>0</v>
      </c>
      <c r="AU85" s="16">
        <v>0</v>
      </c>
      <c r="AV85" s="16">
        <v>32</v>
      </c>
      <c r="AW85" s="16">
        <v>0</v>
      </c>
      <c r="AX85" s="16">
        <v>0</v>
      </c>
      <c r="AY85" s="16">
        <v>0</v>
      </c>
      <c r="AZ85" s="16">
        <v>0</v>
      </c>
      <c r="BA85" s="16">
        <v>0</v>
      </c>
      <c r="BB85" s="16">
        <v>0</v>
      </c>
      <c r="BC85" s="16">
        <v>0</v>
      </c>
      <c r="BD85" s="16">
        <v>0</v>
      </c>
      <c r="BE85" s="16">
        <v>0</v>
      </c>
      <c r="BF85" s="16">
        <v>0</v>
      </c>
      <c r="BG85" s="16">
        <v>0</v>
      </c>
      <c r="BH85" s="16">
        <v>0</v>
      </c>
      <c r="BI85" s="16">
        <v>0</v>
      </c>
      <c r="BJ85" s="16">
        <v>0</v>
      </c>
      <c r="BK85" s="16">
        <v>0</v>
      </c>
      <c r="BL85" s="16">
        <v>0</v>
      </c>
      <c r="BM85" s="16">
        <v>0</v>
      </c>
      <c r="BN85" s="16">
        <v>0</v>
      </c>
      <c r="BO85" s="16">
        <v>0</v>
      </c>
      <c r="BP85" s="16">
        <v>0</v>
      </c>
      <c r="BQ85" s="16">
        <v>0</v>
      </c>
      <c r="BR85" s="16">
        <v>0</v>
      </c>
      <c r="BS85" s="207">
        <f t="shared" si="36"/>
        <v>0</v>
      </c>
      <c r="BT85" s="207">
        <f t="shared" si="37"/>
        <v>0</v>
      </c>
      <c r="BU85" s="207">
        <f t="shared" si="34"/>
        <v>0</v>
      </c>
      <c r="BV85" s="207">
        <f t="shared" si="47"/>
        <v>0</v>
      </c>
      <c r="BW85" s="207">
        <f t="shared" si="38"/>
        <v>0</v>
      </c>
      <c r="BX85" s="207">
        <f t="shared" si="39"/>
        <v>0</v>
      </c>
      <c r="BY85" s="207">
        <f t="shared" si="40"/>
        <v>0</v>
      </c>
      <c r="BZ85" s="207">
        <f t="shared" si="41"/>
        <v>32</v>
      </c>
      <c r="CA85" s="207">
        <f t="shared" si="42"/>
        <v>0</v>
      </c>
      <c r="CB85" s="207">
        <f t="shared" si="43"/>
        <v>0</v>
      </c>
      <c r="CC85" s="207">
        <f t="shared" si="44"/>
        <v>0</v>
      </c>
      <c r="CD85" s="207">
        <f t="shared" si="45"/>
        <v>0</v>
      </c>
      <c r="CE85" s="207">
        <f t="shared" si="35"/>
        <v>32</v>
      </c>
    </row>
    <row r="86" spans="1:83" ht="12" customHeight="1" x14ac:dyDescent="0.2">
      <c r="A86" s="6">
        <v>3</v>
      </c>
      <c r="B86" s="49" t="str">
        <f t="shared" si="48"/>
        <v>Zenteno Espinoza AlexMP004</v>
      </c>
      <c r="C86" s="117" t="str">
        <f t="shared" si="46"/>
        <v>Zenteno Espinoza Alex</v>
      </c>
      <c r="D86" s="49" t="str">
        <f>VLOOKUP(C86,Datos!$B$13:$C$83,2,0)</f>
        <v>CESADO</v>
      </c>
      <c r="E86" s="50" t="s">
        <v>44</v>
      </c>
      <c r="F86" s="49" t="str">
        <f>IFERROR(VLOOKUP(H86,Datos!$J$2:$L$60,3,0),"OBSERVCIONES")</f>
        <v>PROCESO</v>
      </c>
      <c r="G86" s="49"/>
      <c r="H86" s="50" t="s">
        <v>42</v>
      </c>
      <c r="I86" s="49" t="s">
        <v>304</v>
      </c>
      <c r="J86" s="49" t="s">
        <v>265</v>
      </c>
      <c r="K86" s="16">
        <v>0</v>
      </c>
      <c r="L86" s="16">
        <v>10</v>
      </c>
      <c r="M86" s="16">
        <v>40</v>
      </c>
      <c r="N86" s="16">
        <v>40</v>
      </c>
      <c r="O86" s="16">
        <v>16</v>
      </c>
      <c r="P86" s="16">
        <v>24</v>
      </c>
      <c r="Q86" s="16">
        <v>40</v>
      </c>
      <c r="R86" s="16">
        <v>40</v>
      </c>
      <c r="S86" s="16">
        <v>40</v>
      </c>
      <c r="T86" s="16">
        <v>16</v>
      </c>
      <c r="U86" s="16">
        <v>24</v>
      </c>
      <c r="V86" s="16">
        <v>40</v>
      </c>
      <c r="W86" s="16">
        <v>40</v>
      </c>
      <c r="X86" s="16">
        <v>40</v>
      </c>
      <c r="Y86" s="16">
        <v>40</v>
      </c>
      <c r="Z86" s="16">
        <v>40</v>
      </c>
      <c r="AA86" s="16">
        <v>24</v>
      </c>
      <c r="AB86" s="16">
        <v>40</v>
      </c>
      <c r="AC86" s="16">
        <v>40</v>
      </c>
      <c r="AD86" s="16">
        <v>32</v>
      </c>
      <c r="AE86" s="16">
        <v>40</v>
      </c>
      <c r="AF86" s="16">
        <v>40</v>
      </c>
      <c r="AG86" s="16">
        <v>40</v>
      </c>
      <c r="AH86" s="16">
        <v>24</v>
      </c>
      <c r="AI86" s="16">
        <v>16</v>
      </c>
      <c r="AJ86" s="16">
        <v>40</v>
      </c>
      <c r="AK86" s="16">
        <v>40</v>
      </c>
      <c r="AL86" s="16">
        <v>40</v>
      </c>
      <c r="AM86" s="16">
        <v>32</v>
      </c>
      <c r="AN86" s="16">
        <v>40</v>
      </c>
      <c r="AO86" s="16">
        <v>40</v>
      </c>
      <c r="AP86" s="16">
        <v>40</v>
      </c>
      <c r="AQ86" s="16">
        <v>32</v>
      </c>
      <c r="AR86" s="16">
        <v>0</v>
      </c>
      <c r="AS86" s="16">
        <v>8</v>
      </c>
      <c r="AT86" s="16">
        <v>32</v>
      </c>
      <c r="AU86" s="16">
        <v>32</v>
      </c>
      <c r="AV86" s="16">
        <v>8</v>
      </c>
      <c r="AW86" s="16">
        <v>40</v>
      </c>
      <c r="AX86" s="16">
        <v>24</v>
      </c>
      <c r="AY86" s="16">
        <v>8</v>
      </c>
      <c r="AZ86" s="16">
        <v>40</v>
      </c>
      <c r="BA86" s="16">
        <v>40</v>
      </c>
      <c r="BB86" s="16">
        <v>0</v>
      </c>
      <c r="BC86" s="16">
        <v>0</v>
      </c>
      <c r="BD86" s="16">
        <v>0</v>
      </c>
      <c r="BE86" s="16">
        <v>0</v>
      </c>
      <c r="BF86" s="16">
        <v>0</v>
      </c>
      <c r="BG86" s="16">
        <v>0</v>
      </c>
      <c r="BH86" s="16">
        <v>0</v>
      </c>
      <c r="BI86" s="16">
        <v>0</v>
      </c>
      <c r="BJ86" s="16">
        <v>0</v>
      </c>
      <c r="BK86" s="16">
        <v>0</v>
      </c>
      <c r="BL86" s="16">
        <v>0</v>
      </c>
      <c r="BM86" s="16">
        <v>0</v>
      </c>
      <c r="BN86" s="16">
        <v>0</v>
      </c>
      <c r="BO86" s="16">
        <v>0</v>
      </c>
      <c r="BP86" s="16">
        <v>0</v>
      </c>
      <c r="BQ86" s="16">
        <v>0</v>
      </c>
      <c r="BR86" s="16">
        <v>0</v>
      </c>
      <c r="BS86" s="207">
        <f t="shared" si="36"/>
        <v>106</v>
      </c>
      <c r="BT86" s="207">
        <f t="shared" si="37"/>
        <v>160</v>
      </c>
      <c r="BU86" s="207">
        <f t="shared" si="34"/>
        <v>184</v>
      </c>
      <c r="BV86" s="207">
        <f t="shared" si="47"/>
        <v>144</v>
      </c>
      <c r="BW86" s="207">
        <f t="shared" si="38"/>
        <v>176</v>
      </c>
      <c r="BX86" s="207">
        <f t="shared" si="39"/>
        <v>168</v>
      </c>
      <c r="BY86" s="207">
        <f t="shared" si="40"/>
        <v>160</v>
      </c>
      <c r="BZ86" s="207">
        <f t="shared" si="41"/>
        <v>136</v>
      </c>
      <c r="CA86" s="207">
        <f t="shared" si="42"/>
        <v>88</v>
      </c>
      <c r="CB86" s="207">
        <f t="shared" si="43"/>
        <v>0</v>
      </c>
      <c r="CC86" s="207">
        <f t="shared" si="44"/>
        <v>0</v>
      </c>
      <c r="CD86" s="207">
        <f t="shared" si="45"/>
        <v>0</v>
      </c>
      <c r="CE86" s="207">
        <f t="shared" si="35"/>
        <v>1322</v>
      </c>
    </row>
    <row r="87" spans="1:83" ht="12" customHeight="1" x14ac:dyDescent="0.2">
      <c r="A87" s="6">
        <v>3</v>
      </c>
      <c r="B87" s="49" t="str">
        <f t="shared" si="48"/>
        <v>Arce Portocarrero Alejandro MiguelP0033</v>
      </c>
      <c r="C87" s="117" t="str">
        <f t="shared" si="46"/>
        <v>Arce Portocarrero Alejandro Miguel</v>
      </c>
      <c r="D87" s="49" t="str">
        <f>VLOOKUP(C87,Datos!$B$13:$C$83,2,0)</f>
        <v>CESADO</v>
      </c>
      <c r="E87" s="50" t="s">
        <v>103</v>
      </c>
      <c r="F87" s="49" t="str">
        <f>IFERROR(VLOOKUP(H87,Datos!$J$2:$L$60,3,0),"OBSERVCIONES")</f>
        <v>PROCESO</v>
      </c>
      <c r="G87" s="49"/>
      <c r="H87" s="50" t="s">
        <v>562</v>
      </c>
      <c r="I87" s="49" t="s">
        <v>563</v>
      </c>
      <c r="J87" s="49" t="s">
        <v>0</v>
      </c>
      <c r="K87" s="16">
        <v>0</v>
      </c>
      <c r="L87" s="16">
        <v>0</v>
      </c>
      <c r="M87" s="16">
        <v>0</v>
      </c>
      <c r="N87" s="16">
        <v>0</v>
      </c>
      <c r="O87" s="16">
        <v>0</v>
      </c>
      <c r="P87" s="16">
        <v>0</v>
      </c>
      <c r="Q87" s="16">
        <v>0</v>
      </c>
      <c r="R87" s="16">
        <v>0</v>
      </c>
      <c r="S87" s="16">
        <v>0</v>
      </c>
      <c r="T87" s="16">
        <v>0</v>
      </c>
      <c r="U87" s="16">
        <v>0</v>
      </c>
      <c r="V87" s="16">
        <v>0</v>
      </c>
      <c r="W87" s="16">
        <v>0</v>
      </c>
      <c r="X87" s="16">
        <v>0</v>
      </c>
      <c r="Y87" s="16">
        <v>0</v>
      </c>
      <c r="Z87" s="16">
        <v>0</v>
      </c>
      <c r="AA87" s="16">
        <v>0</v>
      </c>
      <c r="AB87" s="16">
        <v>0</v>
      </c>
      <c r="AC87" s="16">
        <v>0</v>
      </c>
      <c r="AD87" s="16">
        <v>0</v>
      </c>
      <c r="AE87" s="16">
        <v>0</v>
      </c>
      <c r="AF87" s="16">
        <v>0</v>
      </c>
      <c r="AG87" s="16">
        <v>0</v>
      </c>
      <c r="AH87" s="16">
        <v>0</v>
      </c>
      <c r="AI87" s="16">
        <v>0</v>
      </c>
      <c r="AJ87" s="16">
        <v>0</v>
      </c>
      <c r="AK87" s="16">
        <v>0</v>
      </c>
      <c r="AL87" s="16">
        <v>0</v>
      </c>
      <c r="AM87" s="16">
        <v>0</v>
      </c>
      <c r="AN87" s="16">
        <v>0</v>
      </c>
      <c r="AO87" s="16">
        <v>0</v>
      </c>
      <c r="AP87" s="16">
        <v>0</v>
      </c>
      <c r="AQ87" s="16">
        <v>0</v>
      </c>
      <c r="AR87" s="16">
        <v>0</v>
      </c>
      <c r="AS87" s="16">
        <v>0</v>
      </c>
      <c r="AT87" s="16">
        <v>0</v>
      </c>
      <c r="AU87" s="16">
        <v>40</v>
      </c>
      <c r="AV87" s="16">
        <v>40</v>
      </c>
      <c r="AW87" s="16">
        <v>40</v>
      </c>
      <c r="AX87" s="16">
        <v>24</v>
      </c>
      <c r="AY87" s="16">
        <v>7</v>
      </c>
      <c r="AZ87" s="16">
        <v>4</v>
      </c>
      <c r="BA87" s="16">
        <v>20</v>
      </c>
      <c r="BB87" s="16">
        <v>0</v>
      </c>
      <c r="BC87" s="16">
        <v>24</v>
      </c>
      <c r="BD87" s="16">
        <v>39</v>
      </c>
      <c r="BE87" s="16">
        <v>0</v>
      </c>
      <c r="BF87" s="16">
        <v>0</v>
      </c>
      <c r="BG87" s="16">
        <v>0</v>
      </c>
      <c r="BH87" s="16">
        <v>0</v>
      </c>
      <c r="BI87" s="16">
        <v>0</v>
      </c>
      <c r="BJ87" s="16">
        <v>0</v>
      </c>
      <c r="BK87" s="16">
        <v>0</v>
      </c>
      <c r="BL87" s="16">
        <v>0</v>
      </c>
      <c r="BM87" s="16">
        <v>0</v>
      </c>
      <c r="BN87" s="16">
        <v>0</v>
      </c>
      <c r="BO87" s="16">
        <v>0</v>
      </c>
      <c r="BP87" s="16">
        <v>0</v>
      </c>
      <c r="BQ87" s="16">
        <v>0</v>
      </c>
      <c r="BR87" s="16">
        <v>0</v>
      </c>
      <c r="BS87" s="207">
        <f t="shared" si="36"/>
        <v>0</v>
      </c>
      <c r="BT87" s="207">
        <f t="shared" si="37"/>
        <v>0</v>
      </c>
      <c r="BU87" s="207">
        <f t="shared" si="34"/>
        <v>0</v>
      </c>
      <c r="BV87" s="207">
        <f t="shared" si="47"/>
        <v>0</v>
      </c>
      <c r="BW87" s="207">
        <f t="shared" si="38"/>
        <v>0</v>
      </c>
      <c r="BX87" s="207">
        <f t="shared" si="39"/>
        <v>0</v>
      </c>
      <c r="BY87" s="207">
        <f t="shared" si="40"/>
        <v>0</v>
      </c>
      <c r="BZ87" s="207">
        <f t="shared" si="41"/>
        <v>144</v>
      </c>
      <c r="CA87" s="207">
        <f t="shared" si="42"/>
        <v>55</v>
      </c>
      <c r="CB87" s="207">
        <f t="shared" si="43"/>
        <v>39</v>
      </c>
      <c r="CC87" s="207">
        <f t="shared" si="44"/>
        <v>0</v>
      </c>
      <c r="CD87" s="207">
        <f t="shared" si="45"/>
        <v>0</v>
      </c>
      <c r="CE87" s="207">
        <f t="shared" si="35"/>
        <v>238</v>
      </c>
    </row>
    <row r="88" spans="1:83" ht="12" customHeight="1" x14ac:dyDescent="0.2">
      <c r="A88" s="6">
        <v>3</v>
      </c>
      <c r="B88" s="49" t="str">
        <f>C88&amp;H88</f>
        <v>Arce Portocarrero Alejandro MiguelP0035</v>
      </c>
      <c r="C88" s="117" t="str">
        <f>J88</f>
        <v>Arce Portocarrero Alejandro Miguel</v>
      </c>
      <c r="D88" s="49" t="str">
        <f>VLOOKUP(C88,Datos!$B$13:$C$83,2,0)</f>
        <v>CESADO</v>
      </c>
      <c r="E88" s="50" t="s">
        <v>103</v>
      </c>
      <c r="F88" s="49" t="str">
        <f>IFERROR(VLOOKUP(H88,Datos!$J$2:$L$60,3,0),"OBSERVCIONES")</f>
        <v>PROCESO</v>
      </c>
      <c r="G88" s="49"/>
      <c r="H88" s="50" t="s">
        <v>913</v>
      </c>
      <c r="I88" s="49" t="s">
        <v>916</v>
      </c>
      <c r="J88" s="49" t="s">
        <v>0</v>
      </c>
      <c r="K88" s="16">
        <v>0</v>
      </c>
      <c r="L88" s="16">
        <v>0</v>
      </c>
      <c r="M88" s="16">
        <v>0</v>
      </c>
      <c r="N88" s="16">
        <v>0</v>
      </c>
      <c r="O88" s="16">
        <v>0</v>
      </c>
      <c r="P88" s="16">
        <v>0</v>
      </c>
      <c r="Q88" s="16">
        <v>0</v>
      </c>
      <c r="R88" s="16">
        <v>0</v>
      </c>
      <c r="S88" s="16">
        <v>0</v>
      </c>
      <c r="T88" s="16">
        <v>0</v>
      </c>
      <c r="U88" s="16">
        <v>0</v>
      </c>
      <c r="V88" s="16">
        <v>0</v>
      </c>
      <c r="W88" s="16">
        <v>0</v>
      </c>
      <c r="X88" s="16">
        <v>0</v>
      </c>
      <c r="Y88" s="16">
        <v>0</v>
      </c>
      <c r="Z88" s="16">
        <v>0</v>
      </c>
      <c r="AA88" s="16">
        <v>0</v>
      </c>
      <c r="AB88" s="16">
        <v>0</v>
      </c>
      <c r="AC88" s="16">
        <v>0</v>
      </c>
      <c r="AD88" s="16">
        <v>0</v>
      </c>
      <c r="AE88" s="16">
        <v>0</v>
      </c>
      <c r="AF88" s="16">
        <v>0</v>
      </c>
      <c r="AG88" s="16">
        <v>0</v>
      </c>
      <c r="AH88" s="16">
        <v>0</v>
      </c>
      <c r="AI88" s="16">
        <v>0</v>
      </c>
      <c r="AJ88" s="16">
        <v>0</v>
      </c>
      <c r="AK88" s="16">
        <v>0</v>
      </c>
      <c r="AL88" s="16">
        <v>0</v>
      </c>
      <c r="AM88" s="16">
        <v>0</v>
      </c>
      <c r="AN88" s="16">
        <v>0</v>
      </c>
      <c r="AO88" s="16">
        <v>0</v>
      </c>
      <c r="AP88" s="16">
        <v>0</v>
      </c>
      <c r="AQ88" s="16">
        <v>0</v>
      </c>
      <c r="AR88" s="16">
        <v>0</v>
      </c>
      <c r="AS88" s="16">
        <v>0</v>
      </c>
      <c r="AT88" s="16">
        <v>0</v>
      </c>
      <c r="AU88" s="16">
        <v>0</v>
      </c>
      <c r="AV88" s="16">
        <v>0</v>
      </c>
      <c r="AW88" s="16">
        <v>0</v>
      </c>
      <c r="AX88" s="16">
        <v>0</v>
      </c>
      <c r="AY88" s="16">
        <v>1</v>
      </c>
      <c r="AZ88" s="16">
        <v>36</v>
      </c>
      <c r="BA88" s="16">
        <v>20</v>
      </c>
      <c r="BB88" s="16">
        <v>40</v>
      </c>
      <c r="BC88" s="16">
        <v>16</v>
      </c>
      <c r="BD88" s="16">
        <v>1</v>
      </c>
      <c r="BE88" s="16">
        <v>0</v>
      </c>
      <c r="BF88" s="16">
        <v>0</v>
      </c>
      <c r="BG88" s="16">
        <v>0</v>
      </c>
      <c r="BH88" s="16">
        <v>0</v>
      </c>
      <c r="BI88" s="16">
        <v>0</v>
      </c>
      <c r="BJ88" s="16">
        <v>0</v>
      </c>
      <c r="BK88" s="16">
        <v>0</v>
      </c>
      <c r="BL88" s="16">
        <v>0</v>
      </c>
      <c r="BM88" s="16">
        <v>0</v>
      </c>
      <c r="BN88" s="16">
        <v>0</v>
      </c>
      <c r="BO88" s="16">
        <v>0</v>
      </c>
      <c r="BP88" s="16">
        <v>0</v>
      </c>
      <c r="BQ88" s="16">
        <v>0</v>
      </c>
      <c r="BR88" s="16">
        <v>0</v>
      </c>
      <c r="BS88" s="207">
        <f t="shared" si="36"/>
        <v>0</v>
      </c>
      <c r="BT88" s="207">
        <f t="shared" si="37"/>
        <v>0</v>
      </c>
      <c r="BU88" s="207">
        <f t="shared" si="34"/>
        <v>0</v>
      </c>
      <c r="BV88" s="207">
        <f t="shared" si="47"/>
        <v>0</v>
      </c>
      <c r="BW88" s="207">
        <f t="shared" si="38"/>
        <v>0</v>
      </c>
      <c r="BX88" s="207">
        <f t="shared" si="39"/>
        <v>0</v>
      </c>
      <c r="BY88" s="207">
        <f t="shared" si="40"/>
        <v>0</v>
      </c>
      <c r="BZ88" s="207">
        <f t="shared" si="41"/>
        <v>0</v>
      </c>
      <c r="CA88" s="207">
        <f t="shared" si="42"/>
        <v>113</v>
      </c>
      <c r="CB88" s="207">
        <f t="shared" si="43"/>
        <v>1</v>
      </c>
      <c r="CC88" s="207">
        <f t="shared" si="44"/>
        <v>0</v>
      </c>
      <c r="CD88" s="207">
        <f t="shared" si="45"/>
        <v>0</v>
      </c>
      <c r="CE88" s="207">
        <f t="shared" si="35"/>
        <v>114</v>
      </c>
    </row>
    <row r="89" spans="1:83" ht="12" customHeight="1" x14ac:dyDescent="0.2">
      <c r="A89" s="6">
        <v>3</v>
      </c>
      <c r="B89" s="49" t="str">
        <f t="shared" si="48"/>
        <v>Arce Portocarrero Alejandro MiguelMP004</v>
      </c>
      <c r="C89" s="117" t="str">
        <f t="shared" si="46"/>
        <v>Arce Portocarrero Alejandro Miguel</v>
      </c>
      <c r="D89" s="49" t="str">
        <f>VLOOKUP(C89,Datos!$B$13:$C$83,2,0)</f>
        <v>CESADO</v>
      </c>
      <c r="E89" s="50" t="s">
        <v>44</v>
      </c>
      <c r="F89" s="49" t="str">
        <f>IFERROR(VLOOKUP(H89,Datos!$J$2:$L$60,3,0),"OBSERVCIONES")</f>
        <v>PROCESO</v>
      </c>
      <c r="G89" s="49"/>
      <c r="H89" s="50" t="s">
        <v>42</v>
      </c>
      <c r="I89" s="49" t="s">
        <v>304</v>
      </c>
      <c r="J89" s="49" t="s">
        <v>0</v>
      </c>
      <c r="K89" s="16">
        <v>40</v>
      </c>
      <c r="L89" s="16">
        <v>40</v>
      </c>
      <c r="M89" s="16">
        <v>40</v>
      </c>
      <c r="N89" s="16">
        <v>40</v>
      </c>
      <c r="O89" s="16">
        <v>16</v>
      </c>
      <c r="P89" s="16">
        <v>24</v>
      </c>
      <c r="Q89" s="16">
        <v>40</v>
      </c>
      <c r="R89" s="16">
        <v>40</v>
      </c>
      <c r="S89" s="16">
        <v>40</v>
      </c>
      <c r="T89" s="16">
        <v>16</v>
      </c>
      <c r="U89" s="16">
        <v>24</v>
      </c>
      <c r="V89" s="16">
        <v>40</v>
      </c>
      <c r="W89" s="16">
        <v>40</v>
      </c>
      <c r="X89" s="16">
        <v>40</v>
      </c>
      <c r="Y89" s="16">
        <v>40</v>
      </c>
      <c r="Z89" s="16">
        <v>40</v>
      </c>
      <c r="AA89" s="16">
        <v>24</v>
      </c>
      <c r="AB89" s="16">
        <v>40</v>
      </c>
      <c r="AC89" s="16">
        <v>40</v>
      </c>
      <c r="AD89" s="16">
        <v>32</v>
      </c>
      <c r="AE89" s="16">
        <v>40</v>
      </c>
      <c r="AF89" s="16">
        <v>40</v>
      </c>
      <c r="AG89" s="16">
        <v>40</v>
      </c>
      <c r="AH89" s="16">
        <v>24</v>
      </c>
      <c r="AI89" s="16">
        <v>0</v>
      </c>
      <c r="AJ89" s="16">
        <v>0</v>
      </c>
      <c r="AK89" s="16">
        <v>0</v>
      </c>
      <c r="AL89" s="16">
        <v>0</v>
      </c>
      <c r="AM89" s="16">
        <v>0</v>
      </c>
      <c r="AN89" s="16">
        <v>0</v>
      </c>
      <c r="AO89" s="16">
        <v>0</v>
      </c>
      <c r="AP89" s="16">
        <v>0</v>
      </c>
      <c r="AQ89" s="16">
        <v>0</v>
      </c>
      <c r="AR89" s="16">
        <v>0</v>
      </c>
      <c r="AS89" s="16">
        <v>0</v>
      </c>
      <c r="AT89" s="16">
        <v>0</v>
      </c>
      <c r="AU89" s="16">
        <v>0</v>
      </c>
      <c r="AV89" s="16">
        <v>0</v>
      </c>
      <c r="AW89" s="16">
        <v>0</v>
      </c>
      <c r="AX89" s="16">
        <v>0</v>
      </c>
      <c r="AY89" s="16">
        <v>0</v>
      </c>
      <c r="AZ89" s="16">
        <v>0</v>
      </c>
      <c r="BA89" s="16">
        <v>0</v>
      </c>
      <c r="BB89" s="16">
        <v>0</v>
      </c>
      <c r="BC89" s="16">
        <v>0</v>
      </c>
      <c r="BD89" s="16">
        <v>0</v>
      </c>
      <c r="BE89" s="16">
        <v>0</v>
      </c>
      <c r="BF89" s="16">
        <v>0</v>
      </c>
      <c r="BG89" s="16">
        <v>0</v>
      </c>
      <c r="BH89" s="16">
        <v>0</v>
      </c>
      <c r="BI89" s="16">
        <v>0</v>
      </c>
      <c r="BJ89" s="16">
        <v>0</v>
      </c>
      <c r="BK89" s="16">
        <v>0</v>
      </c>
      <c r="BL89" s="16">
        <v>0</v>
      </c>
      <c r="BM89" s="16">
        <v>0</v>
      </c>
      <c r="BN89" s="16">
        <v>0</v>
      </c>
      <c r="BO89" s="16">
        <v>0</v>
      </c>
      <c r="BP89" s="16">
        <v>0</v>
      </c>
      <c r="BQ89" s="16">
        <v>0</v>
      </c>
      <c r="BR89" s="16">
        <v>0</v>
      </c>
      <c r="BS89" s="207">
        <f t="shared" si="36"/>
        <v>176</v>
      </c>
      <c r="BT89" s="207">
        <f t="shared" si="37"/>
        <v>160</v>
      </c>
      <c r="BU89" s="207">
        <f t="shared" si="34"/>
        <v>184</v>
      </c>
      <c r="BV89" s="207">
        <f t="shared" si="47"/>
        <v>144</v>
      </c>
      <c r="BW89" s="207">
        <f t="shared" si="38"/>
        <v>176</v>
      </c>
      <c r="BX89" s="207">
        <f t="shared" si="39"/>
        <v>0</v>
      </c>
      <c r="BY89" s="207">
        <f t="shared" si="40"/>
        <v>0</v>
      </c>
      <c r="BZ89" s="207">
        <f t="shared" si="41"/>
        <v>0</v>
      </c>
      <c r="CA89" s="207">
        <f t="shared" si="42"/>
        <v>0</v>
      </c>
      <c r="CB89" s="207">
        <f t="shared" si="43"/>
        <v>0</v>
      </c>
      <c r="CC89" s="207">
        <f t="shared" si="44"/>
        <v>0</v>
      </c>
      <c r="CD89" s="207">
        <f t="shared" si="45"/>
        <v>0</v>
      </c>
      <c r="CE89" s="207">
        <f t="shared" si="35"/>
        <v>840</v>
      </c>
    </row>
    <row r="90" spans="1:83" ht="12" customHeight="1" x14ac:dyDescent="0.2">
      <c r="A90" s="6">
        <v>3</v>
      </c>
      <c r="B90" s="49" t="str">
        <f t="shared" si="48"/>
        <v>Gallegos Flores Pool JhonatanMP004</v>
      </c>
      <c r="C90" s="117" t="str">
        <f t="shared" ref="C90:C97" si="49">J90</f>
        <v>Gallegos Flores Pool Jhonatan</v>
      </c>
      <c r="D90" s="49" t="str">
        <f>VLOOKUP(C90,Datos!$B$13:$C$83,2,0)</f>
        <v>VIGENTE</v>
      </c>
      <c r="E90" s="50" t="s">
        <v>44</v>
      </c>
      <c r="F90" s="49" t="str">
        <f>IFERROR(VLOOKUP(H90,Datos!$J$2:$L$60,3,0),"OBSERVCIONES")</f>
        <v>PROCESO</v>
      </c>
      <c r="G90" s="49"/>
      <c r="H90" s="50" t="s">
        <v>42</v>
      </c>
      <c r="I90" s="49" t="s">
        <v>304</v>
      </c>
      <c r="J90" s="49" t="s">
        <v>13</v>
      </c>
      <c r="K90" s="16">
        <v>40</v>
      </c>
      <c r="L90" s="16">
        <v>40</v>
      </c>
      <c r="M90" s="16">
        <v>40</v>
      </c>
      <c r="N90" s="16">
        <v>40</v>
      </c>
      <c r="O90" s="16">
        <v>16</v>
      </c>
      <c r="P90" s="16">
        <v>24</v>
      </c>
      <c r="Q90" s="16">
        <v>40</v>
      </c>
      <c r="R90" s="16">
        <v>40</v>
      </c>
      <c r="S90" s="16">
        <v>40</v>
      </c>
      <c r="T90" s="16">
        <v>16</v>
      </c>
      <c r="U90" s="16">
        <v>24</v>
      </c>
      <c r="V90" s="16">
        <v>40</v>
      </c>
      <c r="W90" s="16">
        <v>40</v>
      </c>
      <c r="X90" s="16">
        <v>40</v>
      </c>
      <c r="Y90" s="16">
        <v>40</v>
      </c>
      <c r="Z90" s="16">
        <v>40</v>
      </c>
      <c r="AA90" s="16">
        <v>24</v>
      </c>
      <c r="AB90" s="16">
        <v>40</v>
      </c>
      <c r="AC90" s="16">
        <v>40</v>
      </c>
      <c r="AD90" s="16">
        <v>32</v>
      </c>
      <c r="AE90" s="16">
        <v>40</v>
      </c>
      <c r="AF90" s="16">
        <v>40</v>
      </c>
      <c r="AG90" s="16">
        <v>40</v>
      </c>
      <c r="AH90" s="16">
        <v>24</v>
      </c>
      <c r="AI90" s="16">
        <v>16</v>
      </c>
      <c r="AJ90" s="16">
        <v>40</v>
      </c>
      <c r="AK90" s="16">
        <v>40</v>
      </c>
      <c r="AL90" s="16">
        <v>40</v>
      </c>
      <c r="AM90" s="16">
        <v>32</v>
      </c>
      <c r="AN90" s="16">
        <v>40</v>
      </c>
      <c r="AO90" s="16">
        <v>40</v>
      </c>
      <c r="AP90" s="16">
        <v>40</v>
      </c>
      <c r="AQ90" s="16">
        <v>32</v>
      </c>
      <c r="AR90" s="16">
        <v>0</v>
      </c>
      <c r="AS90" s="16">
        <v>8</v>
      </c>
      <c r="AT90" s="16">
        <v>32</v>
      </c>
      <c r="AU90" s="16">
        <v>40</v>
      </c>
      <c r="AV90" s="16">
        <v>40</v>
      </c>
      <c r="AW90" s="16">
        <v>40</v>
      </c>
      <c r="AX90" s="16">
        <v>24</v>
      </c>
      <c r="AY90" s="16">
        <v>8</v>
      </c>
      <c r="AZ90" s="16">
        <v>40</v>
      </c>
      <c r="BA90" s="16">
        <v>40</v>
      </c>
      <c r="BB90" s="16">
        <v>40</v>
      </c>
      <c r="BC90" s="16">
        <v>40</v>
      </c>
      <c r="BD90" s="16">
        <v>40</v>
      </c>
      <c r="BE90" s="16">
        <v>0</v>
      </c>
      <c r="BF90" s="16">
        <v>0</v>
      </c>
      <c r="BG90" s="16">
        <v>0</v>
      </c>
      <c r="BH90" s="16">
        <v>0</v>
      </c>
      <c r="BI90" s="16">
        <v>0</v>
      </c>
      <c r="BJ90" s="16">
        <v>0</v>
      </c>
      <c r="BK90" s="16">
        <v>0</v>
      </c>
      <c r="BL90" s="16">
        <v>0</v>
      </c>
      <c r="BM90" s="16">
        <v>0</v>
      </c>
      <c r="BN90" s="16">
        <v>0</v>
      </c>
      <c r="BO90" s="16">
        <v>0</v>
      </c>
      <c r="BP90" s="16">
        <v>0</v>
      </c>
      <c r="BQ90" s="16">
        <v>0</v>
      </c>
      <c r="BR90" s="16">
        <v>0</v>
      </c>
      <c r="BS90" s="207">
        <f t="shared" si="36"/>
        <v>176</v>
      </c>
      <c r="BT90" s="207">
        <f t="shared" si="37"/>
        <v>160</v>
      </c>
      <c r="BU90" s="207">
        <f t="shared" si="34"/>
        <v>184</v>
      </c>
      <c r="BV90" s="207">
        <f t="shared" si="47"/>
        <v>144</v>
      </c>
      <c r="BW90" s="207">
        <f t="shared" si="38"/>
        <v>176</v>
      </c>
      <c r="BX90" s="207">
        <f t="shared" si="39"/>
        <v>168</v>
      </c>
      <c r="BY90" s="207">
        <f t="shared" si="40"/>
        <v>160</v>
      </c>
      <c r="BZ90" s="207">
        <f t="shared" si="41"/>
        <v>176</v>
      </c>
      <c r="CA90" s="207">
        <f t="shared" si="42"/>
        <v>168</v>
      </c>
      <c r="CB90" s="207">
        <f t="shared" si="43"/>
        <v>40</v>
      </c>
      <c r="CC90" s="207">
        <f t="shared" si="44"/>
        <v>0</v>
      </c>
      <c r="CD90" s="207">
        <f t="shared" si="45"/>
        <v>0</v>
      </c>
      <c r="CE90" s="207">
        <f t="shared" si="35"/>
        <v>1552</v>
      </c>
    </row>
    <row r="91" spans="1:83" ht="12" customHeight="1" x14ac:dyDescent="0.2">
      <c r="A91" s="6">
        <v>3</v>
      </c>
      <c r="B91" s="49" t="str">
        <f t="shared" si="48"/>
        <v>Benito Bendezú Marco AntonioMP001</v>
      </c>
      <c r="C91" s="117" t="str">
        <f t="shared" si="49"/>
        <v>Benito Bendezú Marco Antonio</v>
      </c>
      <c r="D91" s="49" t="str">
        <f>VLOOKUP(C91,Datos!$B$13:$C$83,2,0)</f>
        <v>CESADO</v>
      </c>
      <c r="E91" s="49" t="s">
        <v>86</v>
      </c>
      <c r="F91" s="49" t="str">
        <f>IFERROR(VLOOKUP(H91,Datos!$J$2:$L$60,3,0),"OBSERVCIONES")</f>
        <v>PROCESO</v>
      </c>
      <c r="G91" s="49"/>
      <c r="H91" s="49" t="s">
        <v>87</v>
      </c>
      <c r="I91" s="49" t="s">
        <v>125</v>
      </c>
      <c r="J91" s="49" t="s">
        <v>30</v>
      </c>
      <c r="K91" s="16">
        <v>0</v>
      </c>
      <c r="L91" s="16">
        <v>0</v>
      </c>
      <c r="M91" s="16">
        <v>0</v>
      </c>
      <c r="N91" s="16">
        <v>0</v>
      </c>
      <c r="O91" s="16">
        <v>0</v>
      </c>
      <c r="P91" s="16">
        <v>0</v>
      </c>
      <c r="Q91" s="16">
        <v>0</v>
      </c>
      <c r="R91" s="16">
        <v>0</v>
      </c>
      <c r="S91" s="16">
        <v>0</v>
      </c>
      <c r="T91" s="16">
        <v>0</v>
      </c>
      <c r="U91" s="16">
        <v>0</v>
      </c>
      <c r="V91" s="16">
        <v>0</v>
      </c>
      <c r="W91" s="16">
        <v>0</v>
      </c>
      <c r="X91" s="16">
        <v>0</v>
      </c>
      <c r="Y91" s="16">
        <v>0</v>
      </c>
      <c r="Z91" s="16">
        <v>0</v>
      </c>
      <c r="AA91" s="16">
        <v>3</v>
      </c>
      <c r="AB91" s="16">
        <v>5</v>
      </c>
      <c r="AC91" s="16">
        <v>5</v>
      </c>
      <c r="AD91" s="16">
        <v>1</v>
      </c>
      <c r="AE91" s="16">
        <v>0</v>
      </c>
      <c r="AF91" s="16">
        <v>0</v>
      </c>
      <c r="AG91" s="16">
        <v>0</v>
      </c>
      <c r="AH91" s="16">
        <v>0</v>
      </c>
      <c r="AI91" s="16">
        <v>0</v>
      </c>
      <c r="AJ91" s="16">
        <v>0</v>
      </c>
      <c r="AK91" s="16">
        <v>0</v>
      </c>
      <c r="AL91" s="16">
        <v>0</v>
      </c>
      <c r="AM91" s="16">
        <v>0</v>
      </c>
      <c r="AN91" s="16">
        <v>0</v>
      </c>
      <c r="AO91" s="16">
        <v>0</v>
      </c>
      <c r="AP91" s="16">
        <v>0</v>
      </c>
      <c r="AQ91" s="16">
        <v>0</v>
      </c>
      <c r="AR91" s="16">
        <v>0</v>
      </c>
      <c r="AS91" s="16">
        <v>0</v>
      </c>
      <c r="AT91" s="16">
        <v>0</v>
      </c>
      <c r="AU91" s="16">
        <v>0</v>
      </c>
      <c r="AV91" s="16">
        <v>0</v>
      </c>
      <c r="AW91" s="16">
        <v>0</v>
      </c>
      <c r="AX91" s="16">
        <v>0</v>
      </c>
      <c r="AY91" s="16">
        <v>0</v>
      </c>
      <c r="AZ91" s="16">
        <v>0</v>
      </c>
      <c r="BA91" s="16">
        <v>0</v>
      </c>
      <c r="BB91" s="16">
        <v>0</v>
      </c>
      <c r="BC91" s="16">
        <v>0</v>
      </c>
      <c r="BD91" s="16">
        <v>0</v>
      </c>
      <c r="BE91" s="16">
        <v>0</v>
      </c>
      <c r="BF91" s="16">
        <v>0</v>
      </c>
      <c r="BG91" s="16">
        <v>0</v>
      </c>
      <c r="BH91" s="16">
        <v>0</v>
      </c>
      <c r="BI91" s="16">
        <v>0</v>
      </c>
      <c r="BJ91" s="16">
        <v>0</v>
      </c>
      <c r="BK91" s="16">
        <v>0</v>
      </c>
      <c r="BL91" s="16">
        <v>0</v>
      </c>
      <c r="BM91" s="16">
        <v>0</v>
      </c>
      <c r="BN91" s="16">
        <v>0</v>
      </c>
      <c r="BO91" s="16">
        <v>0</v>
      </c>
      <c r="BP91" s="16">
        <v>0</v>
      </c>
      <c r="BQ91" s="16">
        <v>0</v>
      </c>
      <c r="BR91" s="16">
        <v>0</v>
      </c>
      <c r="BS91" s="207">
        <f t="shared" si="36"/>
        <v>0</v>
      </c>
      <c r="BT91" s="207">
        <f t="shared" si="37"/>
        <v>0</v>
      </c>
      <c r="BU91" s="207">
        <f t="shared" si="34"/>
        <v>0</v>
      </c>
      <c r="BV91" s="207">
        <f t="shared" si="47"/>
        <v>13</v>
      </c>
      <c r="BW91" s="207">
        <f t="shared" si="38"/>
        <v>1</v>
      </c>
      <c r="BX91" s="207">
        <f t="shared" si="39"/>
        <v>0</v>
      </c>
      <c r="BY91" s="207">
        <f t="shared" si="40"/>
        <v>0</v>
      </c>
      <c r="BZ91" s="207">
        <f t="shared" si="41"/>
        <v>0</v>
      </c>
      <c r="CA91" s="207">
        <f t="shared" si="42"/>
        <v>0</v>
      </c>
      <c r="CB91" s="207">
        <f t="shared" si="43"/>
        <v>0</v>
      </c>
      <c r="CC91" s="207">
        <f t="shared" si="44"/>
        <v>0</v>
      </c>
      <c r="CD91" s="207">
        <f t="shared" si="45"/>
        <v>0</v>
      </c>
      <c r="CE91" s="207">
        <f t="shared" si="35"/>
        <v>14</v>
      </c>
    </row>
    <row r="92" spans="1:83" ht="12" customHeight="1" x14ac:dyDescent="0.2">
      <c r="A92" s="6">
        <v>4</v>
      </c>
      <c r="B92" s="49" t="str">
        <f t="shared" si="48"/>
        <v>Benito Bendezú Marco AntonioVACACIONES</v>
      </c>
      <c r="C92" s="117" t="str">
        <f t="shared" si="49"/>
        <v>Benito Bendezú Marco Antonio</v>
      </c>
      <c r="D92" s="49" t="str">
        <f>VLOOKUP(C92,Datos!$B$13:$C$83,2,0)</f>
        <v>CESADO</v>
      </c>
      <c r="E92" s="49" t="s">
        <v>209</v>
      </c>
      <c r="F92" s="49"/>
      <c r="G92" s="49" t="str">
        <f>IFERROR(VLOOKUP(H92,Datos!$J$2:$L$60,3,0),"OBSERVACIONES")</f>
        <v>OBSERVACIONES</v>
      </c>
      <c r="H92" s="49" t="s">
        <v>209</v>
      </c>
      <c r="I92" s="49" t="s">
        <v>243</v>
      </c>
      <c r="J92" s="49" t="s">
        <v>30</v>
      </c>
      <c r="K92" s="16">
        <v>0</v>
      </c>
      <c r="L92" s="16">
        <v>0</v>
      </c>
      <c r="M92" s="16">
        <v>0</v>
      </c>
      <c r="N92" s="16">
        <v>0</v>
      </c>
      <c r="O92" s="16">
        <v>0</v>
      </c>
      <c r="P92" s="16">
        <v>0</v>
      </c>
      <c r="Q92" s="16">
        <v>0</v>
      </c>
      <c r="R92" s="16">
        <v>0</v>
      </c>
      <c r="S92" s="16">
        <v>0</v>
      </c>
      <c r="T92" s="16">
        <v>0</v>
      </c>
      <c r="U92" s="16">
        <v>0</v>
      </c>
      <c r="V92" s="16">
        <v>0</v>
      </c>
      <c r="W92" s="16">
        <v>0</v>
      </c>
      <c r="X92" s="16">
        <v>0</v>
      </c>
      <c r="Y92" s="16">
        <v>0</v>
      </c>
      <c r="Z92" s="16">
        <v>0</v>
      </c>
      <c r="AA92" s="16">
        <v>0</v>
      </c>
      <c r="AB92" s="16">
        <v>0</v>
      </c>
      <c r="AC92" s="16">
        <v>0</v>
      </c>
      <c r="AD92" s="16">
        <v>0</v>
      </c>
      <c r="AE92" s="16">
        <v>0</v>
      </c>
      <c r="AF92" s="16">
        <v>0</v>
      </c>
      <c r="AG92" s="16">
        <v>0</v>
      </c>
      <c r="AH92" s="16">
        <v>0</v>
      </c>
      <c r="AI92" s="16">
        <v>0</v>
      </c>
      <c r="AJ92" s="16">
        <v>0</v>
      </c>
      <c r="AK92" s="16">
        <v>8</v>
      </c>
      <c r="AL92" s="16">
        <v>0</v>
      </c>
      <c r="AM92" s="16">
        <v>0</v>
      </c>
      <c r="AN92" s="16">
        <v>0</v>
      </c>
      <c r="AO92" s="16">
        <v>0</v>
      </c>
      <c r="AP92" s="16">
        <v>0</v>
      </c>
      <c r="AQ92" s="16">
        <v>0</v>
      </c>
      <c r="AR92" s="16">
        <v>0</v>
      </c>
      <c r="AS92" s="16">
        <v>0</v>
      </c>
      <c r="AT92" s="16">
        <v>0</v>
      </c>
      <c r="AU92" s="16">
        <v>0</v>
      </c>
      <c r="AV92" s="16">
        <v>0</v>
      </c>
      <c r="AW92" s="16">
        <v>0</v>
      </c>
      <c r="AX92" s="16">
        <v>0</v>
      </c>
      <c r="AY92" s="16">
        <v>0</v>
      </c>
      <c r="AZ92" s="16">
        <v>0</v>
      </c>
      <c r="BA92" s="16">
        <v>0</v>
      </c>
      <c r="BB92" s="16">
        <v>0</v>
      </c>
      <c r="BC92" s="16">
        <v>0</v>
      </c>
      <c r="BD92" s="16">
        <v>0</v>
      </c>
      <c r="BE92" s="16">
        <v>0</v>
      </c>
      <c r="BF92" s="16">
        <v>0</v>
      </c>
      <c r="BG92" s="16">
        <v>0</v>
      </c>
      <c r="BH92" s="16">
        <v>0</v>
      </c>
      <c r="BI92" s="16">
        <v>0</v>
      </c>
      <c r="BJ92" s="16">
        <v>0</v>
      </c>
      <c r="BK92" s="16">
        <v>0</v>
      </c>
      <c r="BL92" s="16">
        <v>0</v>
      </c>
      <c r="BM92" s="16">
        <v>0</v>
      </c>
      <c r="BN92" s="16">
        <v>0</v>
      </c>
      <c r="BO92" s="16">
        <v>0</v>
      </c>
      <c r="BP92" s="16">
        <v>0</v>
      </c>
      <c r="BQ92" s="16">
        <v>0</v>
      </c>
      <c r="BR92" s="16">
        <v>0</v>
      </c>
      <c r="BS92" s="207">
        <f t="shared" si="36"/>
        <v>0</v>
      </c>
      <c r="BT92" s="207">
        <f t="shared" si="37"/>
        <v>0</v>
      </c>
      <c r="BU92" s="207">
        <f t="shared" si="34"/>
        <v>0</v>
      </c>
      <c r="BV92" s="207">
        <f t="shared" si="47"/>
        <v>0</v>
      </c>
      <c r="BW92" s="207">
        <f t="shared" si="38"/>
        <v>0</v>
      </c>
      <c r="BX92" s="207">
        <f t="shared" si="39"/>
        <v>8</v>
      </c>
      <c r="BY92" s="207">
        <f t="shared" si="40"/>
        <v>0</v>
      </c>
      <c r="BZ92" s="207">
        <f t="shared" si="41"/>
        <v>0</v>
      </c>
      <c r="CA92" s="207">
        <f t="shared" si="42"/>
        <v>0</v>
      </c>
      <c r="CB92" s="207">
        <f t="shared" si="43"/>
        <v>0</v>
      </c>
      <c r="CC92" s="207">
        <f t="shared" si="44"/>
        <v>0</v>
      </c>
      <c r="CD92" s="207">
        <f t="shared" si="45"/>
        <v>0</v>
      </c>
      <c r="CE92" s="207">
        <f t="shared" si="35"/>
        <v>8</v>
      </c>
    </row>
    <row r="93" spans="1:83" ht="12" customHeight="1" x14ac:dyDescent="0.2">
      <c r="A93" s="6">
        <v>1</v>
      </c>
      <c r="B93" s="49" t="str">
        <f t="shared" si="48"/>
        <v>Benito Bendezú Marco AntonioNO FACT.</v>
      </c>
      <c r="C93" s="117" t="str">
        <f t="shared" si="49"/>
        <v>Benito Bendezú Marco Antonio</v>
      </c>
      <c r="D93" s="49" t="str">
        <f>VLOOKUP(C93,Datos!$B$13:$C$83,2,0)</f>
        <v>CESADO</v>
      </c>
      <c r="E93" s="50" t="s">
        <v>75</v>
      </c>
      <c r="F93" s="49"/>
      <c r="G93" s="49" t="str">
        <f>IFERROR(VLOOKUP(H93,Datos!$J$2:$L$60,3,0),"OBSERVACIONES")</f>
        <v>OBSERVACIONES</v>
      </c>
      <c r="H93" s="50" t="s">
        <v>75</v>
      </c>
      <c r="I93" s="49" t="s">
        <v>131</v>
      </c>
      <c r="J93" s="49" t="s">
        <v>30</v>
      </c>
      <c r="K93" s="16">
        <v>6</v>
      </c>
      <c r="L93" s="16">
        <v>6</v>
      </c>
      <c r="M93" s="16">
        <v>6</v>
      </c>
      <c r="N93" s="16">
        <v>6</v>
      </c>
      <c r="O93" s="16">
        <v>2.5</v>
      </c>
      <c r="P93" s="16">
        <v>5</v>
      </c>
      <c r="Q93" s="16">
        <v>5</v>
      </c>
      <c r="R93" s="16">
        <v>3</v>
      </c>
      <c r="S93" s="16">
        <v>2</v>
      </c>
      <c r="T93" s="16">
        <v>1</v>
      </c>
      <c r="U93" s="16">
        <v>3.5</v>
      </c>
      <c r="V93" s="16">
        <v>9</v>
      </c>
      <c r="W93" s="16">
        <v>9</v>
      </c>
      <c r="X93" s="16">
        <v>9</v>
      </c>
      <c r="Y93" s="16">
        <v>9</v>
      </c>
      <c r="Z93" s="16">
        <v>18</v>
      </c>
      <c r="AA93" s="16">
        <v>9</v>
      </c>
      <c r="AB93" s="16">
        <v>23</v>
      </c>
      <c r="AC93" s="16">
        <v>17</v>
      </c>
      <c r="AD93" s="16">
        <v>0</v>
      </c>
      <c r="AE93" s="16">
        <v>0</v>
      </c>
      <c r="AF93" s="16">
        <v>40</v>
      </c>
      <c r="AG93" s="16">
        <v>24</v>
      </c>
      <c r="AH93" s="16">
        <v>8</v>
      </c>
      <c r="AI93" s="16">
        <v>0</v>
      </c>
      <c r="AJ93" s="16">
        <v>0</v>
      </c>
      <c r="AK93" s="16">
        <v>0</v>
      </c>
      <c r="AL93" s="16">
        <v>0</v>
      </c>
      <c r="AM93" s="16">
        <v>0</v>
      </c>
      <c r="AN93" s="16">
        <v>5</v>
      </c>
      <c r="AO93" s="16">
        <v>5</v>
      </c>
      <c r="AP93" s="16">
        <v>6</v>
      </c>
      <c r="AQ93" s="16">
        <v>4</v>
      </c>
      <c r="AR93" s="16">
        <v>0</v>
      </c>
      <c r="AS93" s="16">
        <v>0</v>
      </c>
      <c r="AT93" s="16">
        <v>0</v>
      </c>
      <c r="AU93" s="16">
        <v>0</v>
      </c>
      <c r="AV93" s="16">
        <v>0</v>
      </c>
      <c r="AW93" s="16">
        <v>0</v>
      </c>
      <c r="AX93" s="16">
        <v>0</v>
      </c>
      <c r="AY93" s="16">
        <v>0</v>
      </c>
      <c r="AZ93" s="16">
        <v>0</v>
      </c>
      <c r="BA93" s="16">
        <v>0</v>
      </c>
      <c r="BB93" s="16">
        <v>0</v>
      </c>
      <c r="BC93" s="16">
        <v>0</v>
      </c>
      <c r="BD93" s="16">
        <v>0</v>
      </c>
      <c r="BE93" s="16">
        <v>0</v>
      </c>
      <c r="BF93" s="16">
        <v>0</v>
      </c>
      <c r="BG93" s="16">
        <v>0</v>
      </c>
      <c r="BH93" s="16">
        <v>0</v>
      </c>
      <c r="BI93" s="16">
        <v>0</v>
      </c>
      <c r="BJ93" s="16">
        <v>0</v>
      </c>
      <c r="BK93" s="16">
        <v>0</v>
      </c>
      <c r="BL93" s="16">
        <v>0</v>
      </c>
      <c r="BM93" s="16">
        <v>0</v>
      </c>
      <c r="BN93" s="16">
        <v>0</v>
      </c>
      <c r="BO93" s="16">
        <v>0</v>
      </c>
      <c r="BP93" s="16">
        <v>0</v>
      </c>
      <c r="BQ93" s="16">
        <v>0</v>
      </c>
      <c r="BR93" s="16">
        <v>0</v>
      </c>
      <c r="BS93" s="207">
        <f t="shared" si="36"/>
        <v>26.5</v>
      </c>
      <c r="BT93" s="207">
        <f t="shared" si="37"/>
        <v>16</v>
      </c>
      <c r="BU93" s="207">
        <f t="shared" si="34"/>
        <v>39.5</v>
      </c>
      <c r="BV93" s="207">
        <f t="shared" si="47"/>
        <v>67</v>
      </c>
      <c r="BW93" s="207">
        <f t="shared" si="38"/>
        <v>72</v>
      </c>
      <c r="BX93" s="207">
        <f t="shared" si="39"/>
        <v>0</v>
      </c>
      <c r="BY93" s="207">
        <f t="shared" si="40"/>
        <v>20</v>
      </c>
      <c r="BZ93" s="207">
        <f t="shared" si="41"/>
        <v>0</v>
      </c>
      <c r="CA93" s="207">
        <f t="shared" si="42"/>
        <v>0</v>
      </c>
      <c r="CB93" s="207">
        <f t="shared" si="43"/>
        <v>0</v>
      </c>
      <c r="CC93" s="207">
        <f t="shared" si="44"/>
        <v>0</v>
      </c>
      <c r="CD93" s="207">
        <f t="shared" si="45"/>
        <v>0</v>
      </c>
      <c r="CE93" s="207">
        <f t="shared" si="35"/>
        <v>241</v>
      </c>
    </row>
    <row r="94" spans="1:83" ht="12" customHeight="1" x14ac:dyDescent="0.2">
      <c r="A94" s="6">
        <v>2</v>
      </c>
      <c r="B94" s="49" t="str">
        <f t="shared" si="48"/>
        <v>Benito Bendezú Marco AntonioPROPUESTA</v>
      </c>
      <c r="C94" s="117" t="str">
        <f t="shared" si="49"/>
        <v>Benito Bendezú Marco Antonio</v>
      </c>
      <c r="D94" s="49" t="str">
        <f>VLOOKUP(C94,Datos!$B$13:$C$83,2,0)</f>
        <v>CESADO</v>
      </c>
      <c r="E94" s="50" t="s">
        <v>46</v>
      </c>
      <c r="F94" s="49"/>
      <c r="G94" s="49" t="str">
        <f>IFERROR(VLOOKUP(H94,Datos!$J$2:$L$60,3,0),"OBSERVACIONES")</f>
        <v>OBSERVACIONES</v>
      </c>
      <c r="H94" s="50" t="s">
        <v>46</v>
      </c>
      <c r="I94" s="49" t="s">
        <v>132</v>
      </c>
      <c r="J94" s="49" t="s">
        <v>30</v>
      </c>
      <c r="K94" s="16">
        <v>6</v>
      </c>
      <c r="L94" s="16">
        <v>6</v>
      </c>
      <c r="M94" s="16">
        <v>6</v>
      </c>
      <c r="N94" s="16">
        <v>6</v>
      </c>
      <c r="O94" s="16">
        <v>2.5</v>
      </c>
      <c r="P94" s="16">
        <v>6</v>
      </c>
      <c r="Q94" s="16">
        <v>4</v>
      </c>
      <c r="R94" s="16">
        <v>2</v>
      </c>
      <c r="S94" s="16">
        <v>3</v>
      </c>
      <c r="T94" s="16">
        <v>1</v>
      </c>
      <c r="U94" s="16">
        <v>0</v>
      </c>
      <c r="V94" s="16">
        <v>0</v>
      </c>
      <c r="W94" s="16">
        <v>0</v>
      </c>
      <c r="X94" s="16">
        <v>0</v>
      </c>
      <c r="Y94" s="16">
        <v>0</v>
      </c>
      <c r="Z94" s="16">
        <v>0</v>
      </c>
      <c r="AA94" s="16">
        <v>0</v>
      </c>
      <c r="AB94" s="16">
        <v>0</v>
      </c>
      <c r="AC94" s="16">
        <v>0</v>
      </c>
      <c r="AD94" s="16">
        <v>8</v>
      </c>
      <c r="AE94" s="16">
        <v>24</v>
      </c>
      <c r="AF94" s="16">
        <v>0</v>
      </c>
      <c r="AG94" s="16">
        <v>16</v>
      </c>
      <c r="AH94" s="16">
        <v>16</v>
      </c>
      <c r="AI94" s="16">
        <v>16</v>
      </c>
      <c r="AJ94" s="16">
        <v>40</v>
      </c>
      <c r="AK94" s="16">
        <v>29</v>
      </c>
      <c r="AL94" s="16">
        <v>8</v>
      </c>
      <c r="AM94" s="16">
        <v>4</v>
      </c>
      <c r="AN94" s="16">
        <v>0</v>
      </c>
      <c r="AO94" s="16">
        <v>0</v>
      </c>
      <c r="AP94" s="16">
        <v>0</v>
      </c>
      <c r="AQ94" s="16">
        <v>0</v>
      </c>
      <c r="AR94" s="16">
        <v>0</v>
      </c>
      <c r="AS94" s="16">
        <v>0</v>
      </c>
      <c r="AT94" s="16">
        <v>0</v>
      </c>
      <c r="AU94" s="16">
        <v>0</v>
      </c>
      <c r="AV94" s="16">
        <v>0</v>
      </c>
      <c r="AW94" s="16">
        <v>0</v>
      </c>
      <c r="AX94" s="16">
        <v>0</v>
      </c>
      <c r="AY94" s="16">
        <v>0</v>
      </c>
      <c r="AZ94" s="16">
        <v>0</v>
      </c>
      <c r="BA94" s="16">
        <v>0</v>
      </c>
      <c r="BB94" s="16">
        <v>0</v>
      </c>
      <c r="BC94" s="16">
        <v>0</v>
      </c>
      <c r="BD94" s="16">
        <v>0</v>
      </c>
      <c r="BE94" s="16">
        <v>0</v>
      </c>
      <c r="BF94" s="16">
        <v>0</v>
      </c>
      <c r="BG94" s="16">
        <v>0</v>
      </c>
      <c r="BH94" s="16">
        <v>0</v>
      </c>
      <c r="BI94" s="16">
        <v>0</v>
      </c>
      <c r="BJ94" s="16">
        <v>0</v>
      </c>
      <c r="BK94" s="16">
        <v>0</v>
      </c>
      <c r="BL94" s="16">
        <v>0</v>
      </c>
      <c r="BM94" s="16">
        <v>0</v>
      </c>
      <c r="BN94" s="16">
        <v>0</v>
      </c>
      <c r="BO94" s="16">
        <v>0</v>
      </c>
      <c r="BP94" s="16">
        <v>0</v>
      </c>
      <c r="BQ94" s="16">
        <v>0</v>
      </c>
      <c r="BR94" s="16">
        <v>0</v>
      </c>
      <c r="BS94" s="207">
        <f t="shared" si="36"/>
        <v>26.5</v>
      </c>
      <c r="BT94" s="207">
        <f t="shared" si="37"/>
        <v>16</v>
      </c>
      <c r="BU94" s="207">
        <f t="shared" si="34"/>
        <v>0</v>
      </c>
      <c r="BV94" s="207">
        <f t="shared" si="47"/>
        <v>0</v>
      </c>
      <c r="BW94" s="207">
        <f t="shared" si="38"/>
        <v>64</v>
      </c>
      <c r="BX94" s="207">
        <f t="shared" si="39"/>
        <v>97</v>
      </c>
      <c r="BY94" s="207">
        <f t="shared" si="40"/>
        <v>0</v>
      </c>
      <c r="BZ94" s="207">
        <f t="shared" si="41"/>
        <v>0</v>
      </c>
      <c r="CA94" s="207">
        <f t="shared" si="42"/>
        <v>0</v>
      </c>
      <c r="CB94" s="207">
        <f t="shared" si="43"/>
        <v>0</v>
      </c>
      <c r="CC94" s="207">
        <f t="shared" si="44"/>
        <v>0</v>
      </c>
      <c r="CD94" s="207">
        <f t="shared" si="45"/>
        <v>0</v>
      </c>
      <c r="CE94" s="207">
        <f t="shared" si="35"/>
        <v>203.5</v>
      </c>
    </row>
    <row r="95" spans="1:83" ht="12" customHeight="1" x14ac:dyDescent="0.2">
      <c r="A95" s="6">
        <v>3</v>
      </c>
      <c r="B95" s="49" t="str">
        <f t="shared" si="48"/>
        <v>Torres Brousset Pacheco, Gutenberg AlexisP0005</v>
      </c>
      <c r="C95" s="117" t="str">
        <f t="shared" si="49"/>
        <v>Torres Brousset Pacheco, Gutenberg Alexis</v>
      </c>
      <c r="D95" s="49" t="str">
        <f>VLOOKUP(C95,Datos!$B$13:$C$83,2,0)</f>
        <v>CESADO</v>
      </c>
      <c r="E95" s="49" t="s">
        <v>76</v>
      </c>
      <c r="F95" s="49" t="str">
        <f>IFERROR(VLOOKUP(H95,Datos!$J$2:$L$60,3,0),"OBSERVACIONES")</f>
        <v>CERRADO</v>
      </c>
      <c r="G95" s="49"/>
      <c r="H95" s="49" t="s">
        <v>77</v>
      </c>
      <c r="I95" s="49" t="s">
        <v>115</v>
      </c>
      <c r="J95" s="49" t="s">
        <v>39</v>
      </c>
      <c r="K95" s="16">
        <v>0</v>
      </c>
      <c r="L95" s="16">
        <v>0</v>
      </c>
      <c r="M95" s="16">
        <v>0</v>
      </c>
      <c r="N95" s="16">
        <v>0</v>
      </c>
      <c r="O95" s="16">
        <v>0</v>
      </c>
      <c r="P95" s="16">
        <v>0</v>
      </c>
      <c r="Q95" s="16">
        <v>0</v>
      </c>
      <c r="R95" s="16">
        <v>0</v>
      </c>
      <c r="S95" s="16">
        <v>0</v>
      </c>
      <c r="T95" s="16">
        <v>0</v>
      </c>
      <c r="U95" s="16">
        <v>16</v>
      </c>
      <c r="V95" s="16">
        <v>40</v>
      </c>
      <c r="W95" s="16">
        <v>40</v>
      </c>
      <c r="X95" s="16">
        <v>40</v>
      </c>
      <c r="Y95" s="16">
        <v>40</v>
      </c>
      <c r="Z95" s="16">
        <v>0</v>
      </c>
      <c r="AA95" s="16">
        <v>0</v>
      </c>
      <c r="AB95" s="16">
        <v>0</v>
      </c>
      <c r="AC95" s="16">
        <v>0</v>
      </c>
      <c r="AD95" s="16">
        <v>0</v>
      </c>
      <c r="AE95" s="16">
        <v>0</v>
      </c>
      <c r="AF95" s="16">
        <v>0</v>
      </c>
      <c r="AG95" s="16">
        <v>0</v>
      </c>
      <c r="AH95" s="16">
        <v>0</v>
      </c>
      <c r="AI95" s="16">
        <v>0</v>
      </c>
      <c r="AJ95" s="16">
        <v>0</v>
      </c>
      <c r="AK95" s="16">
        <v>0</v>
      </c>
      <c r="AL95" s="16">
        <v>0</v>
      </c>
      <c r="AM95" s="16">
        <v>0</v>
      </c>
      <c r="AN95" s="16">
        <v>0</v>
      </c>
      <c r="AO95" s="16">
        <v>40</v>
      </c>
      <c r="AP95" s="16">
        <v>40</v>
      </c>
      <c r="AQ95" s="16">
        <v>0</v>
      </c>
      <c r="AR95" s="16">
        <v>0</v>
      </c>
      <c r="AS95" s="16">
        <v>0</v>
      </c>
      <c r="AT95" s="16">
        <v>0</v>
      </c>
      <c r="AU95" s="16">
        <v>0</v>
      </c>
      <c r="AV95" s="16">
        <v>0</v>
      </c>
      <c r="AW95" s="16">
        <v>0</v>
      </c>
      <c r="AX95" s="16">
        <v>0</v>
      </c>
      <c r="AY95" s="16">
        <v>0</v>
      </c>
      <c r="AZ95" s="16">
        <v>0</v>
      </c>
      <c r="BA95" s="16">
        <v>0</v>
      </c>
      <c r="BB95" s="16">
        <v>0</v>
      </c>
      <c r="BC95" s="16">
        <v>0</v>
      </c>
      <c r="BD95" s="16">
        <v>0</v>
      </c>
      <c r="BE95" s="16">
        <v>0</v>
      </c>
      <c r="BF95" s="16">
        <v>0</v>
      </c>
      <c r="BG95" s="16">
        <v>0</v>
      </c>
      <c r="BH95" s="16">
        <v>0</v>
      </c>
      <c r="BI95" s="16">
        <v>0</v>
      </c>
      <c r="BJ95" s="16">
        <v>0</v>
      </c>
      <c r="BK95" s="16">
        <v>0</v>
      </c>
      <c r="BL95" s="16">
        <v>0</v>
      </c>
      <c r="BM95" s="16">
        <v>0</v>
      </c>
      <c r="BN95" s="16">
        <v>0</v>
      </c>
      <c r="BO95" s="16">
        <v>0</v>
      </c>
      <c r="BP95" s="16">
        <v>0</v>
      </c>
      <c r="BQ95" s="16">
        <v>0</v>
      </c>
      <c r="BR95" s="16">
        <v>0</v>
      </c>
      <c r="BS95" s="207">
        <f t="shared" si="36"/>
        <v>0</v>
      </c>
      <c r="BT95" s="207">
        <f t="shared" si="37"/>
        <v>0</v>
      </c>
      <c r="BU95" s="207">
        <f t="shared" si="34"/>
        <v>176</v>
      </c>
      <c r="BV95" s="207">
        <f t="shared" si="47"/>
        <v>0</v>
      </c>
      <c r="BW95" s="207">
        <f t="shared" si="38"/>
        <v>0</v>
      </c>
      <c r="BX95" s="207">
        <f t="shared" si="39"/>
        <v>0</v>
      </c>
      <c r="BY95" s="207">
        <f t="shared" si="40"/>
        <v>80</v>
      </c>
      <c r="BZ95" s="207">
        <f t="shared" si="41"/>
        <v>0</v>
      </c>
      <c r="CA95" s="207">
        <f t="shared" si="42"/>
        <v>0</v>
      </c>
      <c r="CB95" s="207">
        <f t="shared" si="43"/>
        <v>0</v>
      </c>
      <c r="CC95" s="207">
        <f t="shared" si="44"/>
        <v>0</v>
      </c>
      <c r="CD95" s="207">
        <f t="shared" si="45"/>
        <v>0</v>
      </c>
      <c r="CE95" s="207">
        <f t="shared" si="35"/>
        <v>256</v>
      </c>
    </row>
    <row r="96" spans="1:83" ht="12" customHeight="1" x14ac:dyDescent="0.2">
      <c r="A96" s="6">
        <v>3</v>
      </c>
      <c r="B96" s="49" t="str">
        <f t="shared" si="48"/>
        <v>Torres Brousset Pacheco, Gutenberg AlexisP0011</v>
      </c>
      <c r="C96" s="117" t="str">
        <f t="shared" si="49"/>
        <v>Torres Brousset Pacheco, Gutenberg Alexis</v>
      </c>
      <c r="D96" s="49" t="str">
        <f>VLOOKUP(C96,Datos!$B$13:$C$83,2,0)</f>
        <v>CESADO</v>
      </c>
      <c r="E96" s="49" t="s">
        <v>45</v>
      </c>
      <c r="F96" s="49" t="str">
        <f>IFERROR(VLOOKUP(H96,Datos!$J$2:$L$60,3,0),"OBSERVACIONES")</f>
        <v>CERRADO</v>
      </c>
      <c r="G96" s="49"/>
      <c r="H96" s="50" t="s">
        <v>47</v>
      </c>
      <c r="I96" s="49" t="s">
        <v>120</v>
      </c>
      <c r="J96" s="49" t="s">
        <v>39</v>
      </c>
      <c r="K96" s="16">
        <v>40</v>
      </c>
      <c r="L96" s="16">
        <v>40</v>
      </c>
      <c r="M96" s="16">
        <v>0</v>
      </c>
      <c r="N96" s="16">
        <v>0</v>
      </c>
      <c r="O96" s="16">
        <v>0</v>
      </c>
      <c r="P96" s="16">
        <v>0</v>
      </c>
      <c r="Q96" s="16">
        <v>0</v>
      </c>
      <c r="R96" s="16">
        <v>0</v>
      </c>
      <c r="S96" s="16">
        <v>0</v>
      </c>
      <c r="T96" s="16">
        <v>0</v>
      </c>
      <c r="U96" s="16">
        <v>0</v>
      </c>
      <c r="V96" s="16">
        <v>0</v>
      </c>
      <c r="W96" s="16">
        <v>0</v>
      </c>
      <c r="X96" s="16">
        <v>0</v>
      </c>
      <c r="Y96" s="16">
        <v>0</v>
      </c>
      <c r="Z96" s="16">
        <v>0</v>
      </c>
      <c r="AA96" s="16">
        <v>0</v>
      </c>
      <c r="AB96" s="16">
        <v>0</v>
      </c>
      <c r="AC96" s="16">
        <v>0</v>
      </c>
      <c r="AD96" s="16">
        <v>0</v>
      </c>
      <c r="AE96" s="16">
        <v>0</v>
      </c>
      <c r="AF96" s="16">
        <v>0</v>
      </c>
      <c r="AG96" s="16">
        <v>0</v>
      </c>
      <c r="AH96" s="16">
        <v>0</v>
      </c>
      <c r="AI96" s="16">
        <v>0</v>
      </c>
      <c r="AJ96" s="16">
        <v>0</v>
      </c>
      <c r="AK96" s="16">
        <v>0</v>
      </c>
      <c r="AL96" s="16">
        <v>0</v>
      </c>
      <c r="AM96" s="16">
        <v>0</v>
      </c>
      <c r="AN96" s="16">
        <v>0</v>
      </c>
      <c r="AO96" s="16">
        <v>0</v>
      </c>
      <c r="AP96" s="16">
        <v>0</v>
      </c>
      <c r="AQ96" s="16">
        <v>0</v>
      </c>
      <c r="AR96" s="16">
        <v>0</v>
      </c>
      <c r="AS96" s="16">
        <v>0</v>
      </c>
      <c r="AT96" s="16">
        <v>0</v>
      </c>
      <c r="AU96" s="16">
        <v>0</v>
      </c>
      <c r="AV96" s="16">
        <v>0</v>
      </c>
      <c r="AW96" s="16">
        <v>0</v>
      </c>
      <c r="AX96" s="16">
        <v>0</v>
      </c>
      <c r="AY96" s="16">
        <v>0</v>
      </c>
      <c r="AZ96" s="16">
        <v>0</v>
      </c>
      <c r="BA96" s="16">
        <v>0</v>
      </c>
      <c r="BB96" s="16">
        <v>0</v>
      </c>
      <c r="BC96" s="16">
        <v>0</v>
      </c>
      <c r="BD96" s="16">
        <v>0</v>
      </c>
      <c r="BE96" s="16">
        <v>0</v>
      </c>
      <c r="BF96" s="16">
        <v>0</v>
      </c>
      <c r="BG96" s="16">
        <v>0</v>
      </c>
      <c r="BH96" s="16">
        <v>0</v>
      </c>
      <c r="BI96" s="16">
        <v>0</v>
      </c>
      <c r="BJ96" s="16">
        <v>0</v>
      </c>
      <c r="BK96" s="16">
        <v>0</v>
      </c>
      <c r="BL96" s="16">
        <v>0</v>
      </c>
      <c r="BM96" s="16">
        <v>0</v>
      </c>
      <c r="BN96" s="16">
        <v>0</v>
      </c>
      <c r="BO96" s="16">
        <v>0</v>
      </c>
      <c r="BP96" s="16">
        <v>0</v>
      </c>
      <c r="BQ96" s="16">
        <v>0</v>
      </c>
      <c r="BR96" s="16">
        <v>0</v>
      </c>
      <c r="BS96" s="207">
        <f t="shared" si="36"/>
        <v>80</v>
      </c>
      <c r="BT96" s="207">
        <f t="shared" si="37"/>
        <v>0</v>
      </c>
      <c r="BU96" s="207">
        <f t="shared" si="34"/>
        <v>0</v>
      </c>
      <c r="BV96" s="207">
        <f t="shared" si="47"/>
        <v>0</v>
      </c>
      <c r="BW96" s="207">
        <f t="shared" si="38"/>
        <v>0</v>
      </c>
      <c r="BX96" s="207">
        <f t="shared" si="39"/>
        <v>0</v>
      </c>
      <c r="BY96" s="207">
        <f t="shared" si="40"/>
        <v>0</v>
      </c>
      <c r="BZ96" s="207">
        <f t="shared" si="41"/>
        <v>0</v>
      </c>
      <c r="CA96" s="207">
        <f t="shared" si="42"/>
        <v>0</v>
      </c>
      <c r="CB96" s="207">
        <f t="shared" si="43"/>
        <v>0</v>
      </c>
      <c r="CC96" s="207">
        <f t="shared" si="44"/>
        <v>0</v>
      </c>
      <c r="CD96" s="207">
        <f t="shared" si="45"/>
        <v>0</v>
      </c>
      <c r="CE96" s="207">
        <f t="shared" si="35"/>
        <v>80</v>
      </c>
    </row>
    <row r="97" spans="1:83" ht="12" customHeight="1" x14ac:dyDescent="0.2">
      <c r="A97" s="6">
        <v>3</v>
      </c>
      <c r="B97" s="49" t="str">
        <f t="shared" si="48"/>
        <v>Salazar Rojas Javier FernandoP0020</v>
      </c>
      <c r="C97" s="117" t="str">
        <f t="shared" si="49"/>
        <v>Salazar Rojas Javier Fernando</v>
      </c>
      <c r="D97" s="49" t="str">
        <f>VLOOKUP(C97,Datos!$B$13:$C$83,2,0)</f>
        <v>CESADO</v>
      </c>
      <c r="E97" s="49" t="s">
        <v>50</v>
      </c>
      <c r="F97" s="49" t="str">
        <f>IFERROR(VLOOKUP(H97,Datos!$J$2:$L$60,3,0),"OBSERVACIONES")</f>
        <v>CERRADO</v>
      </c>
      <c r="G97" s="49"/>
      <c r="H97" s="49" t="s">
        <v>196</v>
      </c>
      <c r="I97" s="49" t="s">
        <v>127</v>
      </c>
      <c r="J97" s="49" t="s">
        <v>38</v>
      </c>
      <c r="K97" s="16">
        <v>40</v>
      </c>
      <c r="L97" s="16">
        <v>40</v>
      </c>
      <c r="M97" s="16">
        <v>40</v>
      </c>
      <c r="N97" s="16">
        <v>40</v>
      </c>
      <c r="O97" s="16">
        <v>16</v>
      </c>
      <c r="P97" s="16">
        <v>0</v>
      </c>
      <c r="Q97" s="16">
        <v>0</v>
      </c>
      <c r="R97" s="16">
        <v>0</v>
      </c>
      <c r="S97" s="16">
        <v>0</v>
      </c>
      <c r="T97" s="16">
        <v>0</v>
      </c>
      <c r="U97" s="16">
        <v>0</v>
      </c>
      <c r="V97" s="16">
        <v>0</v>
      </c>
      <c r="W97" s="16">
        <v>0</v>
      </c>
      <c r="X97" s="16">
        <v>0</v>
      </c>
      <c r="Y97" s="16">
        <v>0</v>
      </c>
      <c r="Z97" s="16">
        <v>0</v>
      </c>
      <c r="AA97" s="16">
        <v>0</v>
      </c>
      <c r="AB97" s="16">
        <v>0</v>
      </c>
      <c r="AC97" s="16">
        <v>0</v>
      </c>
      <c r="AD97" s="16">
        <v>0</v>
      </c>
      <c r="AE97" s="16">
        <v>0</v>
      </c>
      <c r="AF97" s="16">
        <v>0</v>
      </c>
      <c r="AG97" s="16">
        <v>0</v>
      </c>
      <c r="AH97" s="16">
        <v>0</v>
      </c>
      <c r="AI97" s="16">
        <v>0</v>
      </c>
      <c r="AJ97" s="16">
        <v>0</v>
      </c>
      <c r="AK97" s="16">
        <v>0</v>
      </c>
      <c r="AL97" s="16">
        <v>0</v>
      </c>
      <c r="AM97" s="16">
        <v>0</v>
      </c>
      <c r="AN97" s="16">
        <v>0</v>
      </c>
      <c r="AO97" s="16">
        <v>0</v>
      </c>
      <c r="AP97" s="16">
        <v>0</v>
      </c>
      <c r="AQ97" s="16">
        <v>0</v>
      </c>
      <c r="AR97" s="16">
        <v>0</v>
      </c>
      <c r="AS97" s="16">
        <v>0</v>
      </c>
      <c r="AT97" s="16">
        <v>0</v>
      </c>
      <c r="AU97" s="16">
        <v>0</v>
      </c>
      <c r="AV97" s="16">
        <v>0</v>
      </c>
      <c r="AW97" s="16">
        <v>0</v>
      </c>
      <c r="AX97" s="16">
        <v>0</v>
      </c>
      <c r="AY97" s="16">
        <v>0</v>
      </c>
      <c r="AZ97" s="16">
        <v>0</v>
      </c>
      <c r="BA97" s="16">
        <v>0</v>
      </c>
      <c r="BB97" s="16">
        <v>0</v>
      </c>
      <c r="BC97" s="16">
        <v>0</v>
      </c>
      <c r="BD97" s="16">
        <v>0</v>
      </c>
      <c r="BE97" s="16">
        <v>0</v>
      </c>
      <c r="BF97" s="16">
        <v>0</v>
      </c>
      <c r="BG97" s="16">
        <v>0</v>
      </c>
      <c r="BH97" s="16">
        <v>0</v>
      </c>
      <c r="BI97" s="16">
        <v>0</v>
      </c>
      <c r="BJ97" s="16">
        <v>0</v>
      </c>
      <c r="BK97" s="16">
        <v>0</v>
      </c>
      <c r="BL97" s="16">
        <v>0</v>
      </c>
      <c r="BM97" s="16">
        <v>0</v>
      </c>
      <c r="BN97" s="16">
        <v>0</v>
      </c>
      <c r="BO97" s="16">
        <v>0</v>
      </c>
      <c r="BP97" s="16">
        <v>0</v>
      </c>
      <c r="BQ97" s="16">
        <v>0</v>
      </c>
      <c r="BR97" s="16">
        <v>0</v>
      </c>
      <c r="BS97" s="207">
        <f t="shared" si="36"/>
        <v>176</v>
      </c>
      <c r="BT97" s="207">
        <f t="shared" si="37"/>
        <v>0</v>
      </c>
      <c r="BU97" s="207">
        <f t="shared" si="34"/>
        <v>0</v>
      </c>
      <c r="BV97" s="207">
        <f t="shared" si="47"/>
        <v>0</v>
      </c>
      <c r="BW97" s="207">
        <f t="shared" si="38"/>
        <v>0</v>
      </c>
      <c r="BX97" s="207">
        <f t="shared" si="39"/>
        <v>0</v>
      </c>
      <c r="BY97" s="207">
        <f t="shared" si="40"/>
        <v>0</v>
      </c>
      <c r="BZ97" s="207">
        <f t="shared" si="41"/>
        <v>0</v>
      </c>
      <c r="CA97" s="207">
        <f t="shared" si="42"/>
        <v>0</v>
      </c>
      <c r="CB97" s="207">
        <f t="shared" si="43"/>
        <v>0</v>
      </c>
      <c r="CC97" s="207">
        <f t="shared" si="44"/>
        <v>0</v>
      </c>
      <c r="CD97" s="207">
        <f t="shared" si="45"/>
        <v>0</v>
      </c>
      <c r="CE97" s="207">
        <f t="shared" si="35"/>
        <v>176</v>
      </c>
    </row>
    <row r="98" spans="1:83" ht="12" customHeight="1" x14ac:dyDescent="0.2">
      <c r="A98" s="6">
        <v>3</v>
      </c>
      <c r="B98" s="49" t="str">
        <f t="shared" si="48"/>
        <v>Zuñiga Santillan Jose EduardoP0020</v>
      </c>
      <c r="C98" s="117" t="str">
        <f>J98</f>
        <v>Zuñiga Santillan Jose Eduardo</v>
      </c>
      <c r="D98" s="49" t="str">
        <f>VLOOKUP(C98,Datos!$B$13:$C$83,2,0)</f>
        <v>CESADO</v>
      </c>
      <c r="E98" s="49" t="s">
        <v>50</v>
      </c>
      <c r="F98" s="49" t="str">
        <f>IFERROR(VLOOKUP(H98,Datos!$J$2:$L$60,3,0),"OBSERVACIONES")</f>
        <v>CERRADO</v>
      </c>
      <c r="G98" s="49"/>
      <c r="H98" s="49" t="s">
        <v>196</v>
      </c>
      <c r="I98" s="49" t="s">
        <v>127</v>
      </c>
      <c r="J98" s="49" t="s">
        <v>427</v>
      </c>
      <c r="K98" s="16">
        <v>0</v>
      </c>
      <c r="L98" s="16">
        <v>0</v>
      </c>
      <c r="M98" s="16">
        <v>40</v>
      </c>
      <c r="N98" s="16">
        <v>40</v>
      </c>
      <c r="O98" s="16">
        <v>16</v>
      </c>
      <c r="P98" s="16">
        <v>24</v>
      </c>
      <c r="Q98" s="16">
        <v>40</v>
      </c>
      <c r="R98" s="16">
        <v>40</v>
      </c>
      <c r="S98" s="16">
        <v>40</v>
      </c>
      <c r="T98" s="16">
        <v>16</v>
      </c>
      <c r="U98" s="16">
        <v>0</v>
      </c>
      <c r="V98" s="16">
        <v>4</v>
      </c>
      <c r="W98" s="16">
        <v>0</v>
      </c>
      <c r="X98" s="16">
        <v>0</v>
      </c>
      <c r="Y98" s="16">
        <v>0</v>
      </c>
      <c r="Z98" s="16">
        <v>0</v>
      </c>
      <c r="AA98" s="16">
        <v>0</v>
      </c>
      <c r="AB98" s="16">
        <v>0</v>
      </c>
      <c r="AC98" s="16">
        <v>0</v>
      </c>
      <c r="AD98" s="16">
        <v>0</v>
      </c>
      <c r="AE98" s="16">
        <v>0</v>
      </c>
      <c r="AF98" s="16">
        <v>0</v>
      </c>
      <c r="AG98" s="16">
        <v>0</v>
      </c>
      <c r="AH98" s="16">
        <v>0</v>
      </c>
      <c r="AI98" s="16">
        <v>0</v>
      </c>
      <c r="AJ98" s="16">
        <v>0</v>
      </c>
      <c r="AK98" s="16">
        <v>0</v>
      </c>
      <c r="AL98" s="16">
        <v>0</v>
      </c>
      <c r="AM98" s="16">
        <v>0</v>
      </c>
      <c r="AN98" s="16">
        <v>0</v>
      </c>
      <c r="AO98" s="16">
        <v>0</v>
      </c>
      <c r="AP98" s="16">
        <v>0</v>
      </c>
      <c r="AQ98" s="16">
        <v>0</v>
      </c>
      <c r="AR98" s="16">
        <v>0</v>
      </c>
      <c r="AS98" s="16">
        <v>0</v>
      </c>
      <c r="AT98" s="16">
        <v>0</v>
      </c>
      <c r="AU98" s="16">
        <v>0</v>
      </c>
      <c r="AV98" s="16">
        <v>0</v>
      </c>
      <c r="AW98" s="16">
        <v>0</v>
      </c>
      <c r="AX98" s="16">
        <v>0</v>
      </c>
      <c r="AY98" s="16">
        <v>0</v>
      </c>
      <c r="AZ98" s="16">
        <v>0</v>
      </c>
      <c r="BA98" s="16">
        <v>0</v>
      </c>
      <c r="BB98" s="16">
        <v>0</v>
      </c>
      <c r="BC98" s="16">
        <v>0</v>
      </c>
      <c r="BD98" s="16">
        <v>0</v>
      </c>
      <c r="BE98" s="16">
        <v>0</v>
      </c>
      <c r="BF98" s="16">
        <v>0</v>
      </c>
      <c r="BG98" s="16">
        <v>0</v>
      </c>
      <c r="BH98" s="16">
        <v>0</v>
      </c>
      <c r="BI98" s="16">
        <v>0</v>
      </c>
      <c r="BJ98" s="16">
        <v>0</v>
      </c>
      <c r="BK98" s="16">
        <v>0</v>
      </c>
      <c r="BL98" s="16">
        <v>0</v>
      </c>
      <c r="BM98" s="16">
        <v>0</v>
      </c>
      <c r="BN98" s="16">
        <v>0</v>
      </c>
      <c r="BO98" s="16">
        <v>0</v>
      </c>
      <c r="BP98" s="16">
        <v>0</v>
      </c>
      <c r="BQ98" s="16">
        <v>0</v>
      </c>
      <c r="BR98" s="16">
        <v>0</v>
      </c>
      <c r="BS98" s="207">
        <f t="shared" si="36"/>
        <v>96</v>
      </c>
      <c r="BT98" s="207">
        <f t="shared" si="37"/>
        <v>160</v>
      </c>
      <c r="BU98" s="207">
        <f t="shared" si="34"/>
        <v>4</v>
      </c>
      <c r="BV98" s="207">
        <f t="shared" si="47"/>
        <v>0</v>
      </c>
      <c r="BW98" s="207">
        <f t="shared" si="38"/>
        <v>0</v>
      </c>
      <c r="BX98" s="207">
        <f t="shared" si="39"/>
        <v>0</v>
      </c>
      <c r="BY98" s="207">
        <f t="shared" si="40"/>
        <v>0</v>
      </c>
      <c r="BZ98" s="207">
        <f t="shared" si="41"/>
        <v>0</v>
      </c>
      <c r="CA98" s="207">
        <f t="shared" si="42"/>
        <v>0</v>
      </c>
      <c r="CB98" s="207">
        <f t="shared" si="43"/>
        <v>0</v>
      </c>
      <c r="CC98" s="207">
        <f t="shared" si="44"/>
        <v>0</v>
      </c>
      <c r="CD98" s="207">
        <f t="shared" si="45"/>
        <v>0</v>
      </c>
      <c r="CE98" s="207">
        <f t="shared" si="35"/>
        <v>260</v>
      </c>
    </row>
    <row r="99" spans="1:83" ht="12" customHeight="1" x14ac:dyDescent="0.2">
      <c r="A99" s="6">
        <v>3</v>
      </c>
      <c r="B99" s="49" t="str">
        <f t="shared" si="48"/>
        <v>Tarazona Falcon Jesus P0020</v>
      </c>
      <c r="C99" s="117" t="str">
        <f t="shared" ref="C99:C127" si="50">J99</f>
        <v xml:space="preserve">Tarazona Falcon Jesus </v>
      </c>
      <c r="D99" s="49" t="str">
        <f>VLOOKUP(C99,Datos!$B$13:$C$83,2,0)</f>
        <v>CESADO</v>
      </c>
      <c r="E99" s="49" t="s">
        <v>50</v>
      </c>
      <c r="F99" s="49" t="str">
        <f>IFERROR(VLOOKUP(H99,Datos!$J$2:$L$60,3,0),"OBSERVACIONES")</f>
        <v>CERRADO</v>
      </c>
      <c r="G99" s="49"/>
      <c r="H99" s="49" t="s">
        <v>196</v>
      </c>
      <c r="I99" s="49" t="s">
        <v>127</v>
      </c>
      <c r="J99" s="118" t="s">
        <v>425</v>
      </c>
      <c r="K99" s="16">
        <v>0</v>
      </c>
      <c r="L99" s="16">
        <v>0</v>
      </c>
      <c r="M99" s="16">
        <v>0</v>
      </c>
      <c r="N99" s="16">
        <v>0</v>
      </c>
      <c r="O99" s="16">
        <v>0</v>
      </c>
      <c r="P99" s="16">
        <v>24</v>
      </c>
      <c r="Q99" s="16">
        <v>40</v>
      </c>
      <c r="R99" s="16">
        <v>40</v>
      </c>
      <c r="S99" s="16">
        <v>40</v>
      </c>
      <c r="T99" s="16">
        <v>16</v>
      </c>
      <c r="U99" s="16">
        <v>0</v>
      </c>
      <c r="V99" s="16">
        <v>0</v>
      </c>
      <c r="W99" s="16">
        <v>0</v>
      </c>
      <c r="X99" s="16">
        <v>0</v>
      </c>
      <c r="Y99" s="16">
        <v>0</v>
      </c>
      <c r="Z99" s="16">
        <v>0</v>
      </c>
      <c r="AA99" s="16">
        <v>0</v>
      </c>
      <c r="AB99" s="16">
        <v>0</v>
      </c>
      <c r="AC99" s="16">
        <v>0</v>
      </c>
      <c r="AD99" s="16">
        <v>0</v>
      </c>
      <c r="AE99" s="16">
        <v>0</v>
      </c>
      <c r="AF99" s="16">
        <v>0</v>
      </c>
      <c r="AG99" s="16">
        <v>0</v>
      </c>
      <c r="AH99" s="16">
        <v>0</v>
      </c>
      <c r="AI99" s="16">
        <v>0</v>
      </c>
      <c r="AJ99" s="16">
        <v>0</v>
      </c>
      <c r="AK99" s="16">
        <v>0</v>
      </c>
      <c r="AL99" s="16">
        <v>0</v>
      </c>
      <c r="AM99" s="16">
        <v>0</v>
      </c>
      <c r="AN99" s="16">
        <v>0</v>
      </c>
      <c r="AO99" s="16">
        <v>0</v>
      </c>
      <c r="AP99" s="16">
        <v>0</v>
      </c>
      <c r="AQ99" s="16">
        <v>0</v>
      </c>
      <c r="AR99" s="16">
        <v>0</v>
      </c>
      <c r="AS99" s="16">
        <v>0</v>
      </c>
      <c r="AT99" s="16">
        <v>0</v>
      </c>
      <c r="AU99" s="16">
        <v>0</v>
      </c>
      <c r="AV99" s="16">
        <v>0</v>
      </c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0</v>
      </c>
      <c r="BD99" s="16">
        <v>0</v>
      </c>
      <c r="BE99" s="16">
        <v>0</v>
      </c>
      <c r="BF99" s="16">
        <v>0</v>
      </c>
      <c r="BG99" s="16">
        <v>0</v>
      </c>
      <c r="BH99" s="16">
        <v>0</v>
      </c>
      <c r="BI99" s="16">
        <v>0</v>
      </c>
      <c r="BJ99" s="16">
        <v>0</v>
      </c>
      <c r="BK99" s="16">
        <v>0</v>
      </c>
      <c r="BL99" s="16">
        <v>0</v>
      </c>
      <c r="BM99" s="16">
        <v>0</v>
      </c>
      <c r="BN99" s="16">
        <v>0</v>
      </c>
      <c r="BO99" s="16">
        <v>0</v>
      </c>
      <c r="BP99" s="16">
        <v>0</v>
      </c>
      <c r="BQ99" s="16">
        <v>0</v>
      </c>
      <c r="BR99" s="16">
        <v>0</v>
      </c>
      <c r="BS99" s="207">
        <f t="shared" si="36"/>
        <v>0</v>
      </c>
      <c r="BT99" s="207">
        <f t="shared" si="37"/>
        <v>160</v>
      </c>
      <c r="BU99" s="207">
        <f t="shared" si="34"/>
        <v>0</v>
      </c>
      <c r="BV99" s="207">
        <f t="shared" si="47"/>
        <v>0</v>
      </c>
      <c r="BW99" s="207">
        <f t="shared" si="38"/>
        <v>0</v>
      </c>
      <c r="BX99" s="207">
        <f t="shared" si="39"/>
        <v>0</v>
      </c>
      <c r="BY99" s="207">
        <f t="shared" si="40"/>
        <v>0</v>
      </c>
      <c r="BZ99" s="207">
        <f t="shared" si="41"/>
        <v>0</v>
      </c>
      <c r="CA99" s="207">
        <f t="shared" si="42"/>
        <v>0</v>
      </c>
      <c r="CB99" s="207">
        <f t="shared" si="43"/>
        <v>0</v>
      </c>
      <c r="CC99" s="207">
        <f t="shared" si="44"/>
        <v>0</v>
      </c>
      <c r="CD99" s="207">
        <f t="shared" si="45"/>
        <v>0</v>
      </c>
      <c r="CE99" s="207">
        <f t="shared" si="35"/>
        <v>160</v>
      </c>
    </row>
    <row r="100" spans="1:83" ht="12" customHeight="1" x14ac:dyDescent="0.2">
      <c r="A100" s="6">
        <v>3</v>
      </c>
      <c r="B100" s="49" t="str">
        <f t="shared" si="48"/>
        <v>Hernani Lau Patricia RosaP0030</v>
      </c>
      <c r="C100" s="117" t="str">
        <f t="shared" si="50"/>
        <v>Hernani Lau Patricia Rosa</v>
      </c>
      <c r="D100" s="49" t="str">
        <f>VLOOKUP(C100,Datos!$B$13:$C$83,2,0)</f>
        <v>VIGENTE</v>
      </c>
      <c r="E100" s="49" t="s">
        <v>50</v>
      </c>
      <c r="F100" s="49" t="str">
        <f>IFERROR(VLOOKUP(H100,Datos!$J$2:$L$60,3,0),"OBSERVACIONES")</f>
        <v>CERRADO</v>
      </c>
      <c r="G100" s="49"/>
      <c r="H100" s="49" t="s">
        <v>411</v>
      </c>
      <c r="I100" s="118" t="s">
        <v>410</v>
      </c>
      <c r="J100" s="49" t="s">
        <v>34</v>
      </c>
      <c r="K100" s="16">
        <v>0</v>
      </c>
      <c r="L100" s="16">
        <v>0</v>
      </c>
      <c r="M100" s="16">
        <v>0</v>
      </c>
      <c r="N100" s="16">
        <v>0</v>
      </c>
      <c r="O100" s="16">
        <v>0</v>
      </c>
      <c r="P100" s="16">
        <v>0</v>
      </c>
      <c r="Q100" s="16">
        <v>0</v>
      </c>
      <c r="R100" s="16">
        <v>0</v>
      </c>
      <c r="S100" s="16">
        <v>0</v>
      </c>
      <c r="T100" s="16">
        <v>0</v>
      </c>
      <c r="U100" s="16">
        <v>3</v>
      </c>
      <c r="V100" s="16">
        <v>24</v>
      </c>
      <c r="W100" s="16">
        <v>16</v>
      </c>
      <c r="X100" s="16">
        <v>40</v>
      </c>
      <c r="Y100" s="16">
        <v>40</v>
      </c>
      <c r="Z100" s="16">
        <v>16</v>
      </c>
      <c r="AA100" s="16">
        <v>2</v>
      </c>
      <c r="AB100" s="16">
        <v>0</v>
      </c>
      <c r="AC100" s="16">
        <v>0</v>
      </c>
      <c r="AD100" s="16">
        <v>0</v>
      </c>
      <c r="AE100" s="16">
        <v>0</v>
      </c>
      <c r="AF100" s="16">
        <v>0</v>
      </c>
      <c r="AG100" s="16">
        <v>0</v>
      </c>
      <c r="AH100" s="16">
        <v>0</v>
      </c>
      <c r="AI100" s="16">
        <v>0</v>
      </c>
      <c r="AJ100" s="16">
        <v>0</v>
      </c>
      <c r="AK100" s="16">
        <v>0</v>
      </c>
      <c r="AL100" s="16">
        <v>0</v>
      </c>
      <c r="AM100" s="16">
        <v>0</v>
      </c>
      <c r="AN100" s="16">
        <v>0</v>
      </c>
      <c r="AO100" s="16">
        <v>0</v>
      </c>
      <c r="AP100" s="16">
        <v>0</v>
      </c>
      <c r="AQ100" s="16">
        <v>0</v>
      </c>
      <c r="AR100" s="16">
        <v>0</v>
      </c>
      <c r="AS100" s="16">
        <v>0</v>
      </c>
      <c r="AT100" s="16">
        <v>0</v>
      </c>
      <c r="AU100" s="16">
        <v>0</v>
      </c>
      <c r="AV100" s="16">
        <v>0</v>
      </c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0</v>
      </c>
      <c r="BD100" s="16">
        <v>0</v>
      </c>
      <c r="BE100" s="16">
        <v>0</v>
      </c>
      <c r="BF100" s="16">
        <v>0</v>
      </c>
      <c r="BG100" s="16">
        <v>0</v>
      </c>
      <c r="BH100" s="16">
        <v>0</v>
      </c>
      <c r="BI100" s="16">
        <v>0</v>
      </c>
      <c r="BJ100" s="16">
        <v>0</v>
      </c>
      <c r="BK100" s="16">
        <v>0</v>
      </c>
      <c r="BL100" s="16">
        <v>0</v>
      </c>
      <c r="BM100" s="16">
        <v>0</v>
      </c>
      <c r="BN100" s="16">
        <v>0</v>
      </c>
      <c r="BO100" s="16">
        <v>0</v>
      </c>
      <c r="BP100" s="16">
        <v>0</v>
      </c>
      <c r="BQ100" s="16">
        <v>0</v>
      </c>
      <c r="BR100" s="16">
        <v>0</v>
      </c>
      <c r="BS100" s="207">
        <f t="shared" ref="BS100:BS121" si="51">SUM(K100:O100)</f>
        <v>0</v>
      </c>
      <c r="BT100" s="207">
        <f t="shared" ref="BT100:BT121" si="52">SUM(P100:T100)</f>
        <v>0</v>
      </c>
      <c r="BU100" s="207">
        <f t="shared" ref="BU100:BU121" si="53">SUM(U100:Y100)</f>
        <v>123</v>
      </c>
      <c r="BV100" s="207">
        <f t="shared" si="47"/>
        <v>18</v>
      </c>
      <c r="BW100" s="207">
        <f t="shared" ref="BW100:BW121" si="54">SUM(AD100:AH100)</f>
        <v>0</v>
      </c>
      <c r="BX100" s="207">
        <f t="shared" ref="BX100:BX121" si="55">SUM(AI100:AM100)</f>
        <v>0</v>
      </c>
      <c r="BY100" s="207">
        <f t="shared" ref="BY100:BY121" si="56">SUM(AN100:AS100)</f>
        <v>0</v>
      </c>
      <c r="BZ100" s="207">
        <f t="shared" ref="BZ100:BZ121" si="57">SUM(AT100:AX100)</f>
        <v>0</v>
      </c>
      <c r="CA100" s="207">
        <f t="shared" ref="CA100:CA121" si="58">SUM(AY100:BC100)</f>
        <v>0</v>
      </c>
      <c r="CB100" s="207">
        <f t="shared" ref="CB100:CB121" si="59">SUM(BD100:BH100)</f>
        <v>0</v>
      </c>
      <c r="CC100" s="207">
        <f t="shared" ref="CC100:CC121" si="60">SUM(BI100:BM100)</f>
        <v>0</v>
      </c>
      <c r="CD100" s="207">
        <f t="shared" ref="CD100:CD121" si="61">SUM(BN100:BR100)</f>
        <v>0</v>
      </c>
      <c r="CE100" s="207">
        <f t="shared" ref="CE100:CE121" si="62">SUM(BS100:CD100)</f>
        <v>141</v>
      </c>
    </row>
    <row r="101" spans="1:83" ht="12" customHeight="1" x14ac:dyDescent="0.2">
      <c r="A101" s="6">
        <v>3</v>
      </c>
      <c r="B101" s="49" t="str">
        <f t="shared" si="48"/>
        <v>Torres Brousset Pacheco, Gutenberg AlexisP0013</v>
      </c>
      <c r="C101" s="117" t="str">
        <f t="shared" si="50"/>
        <v>Torres Brousset Pacheco, Gutenberg Alexis</v>
      </c>
      <c r="D101" s="49" t="str">
        <f>VLOOKUP(C101,Datos!$B$13:$C$83,2,0)</f>
        <v>CESADO</v>
      </c>
      <c r="E101" s="50" t="s">
        <v>45</v>
      </c>
      <c r="F101" s="49" t="str">
        <f>IFERROR(VLOOKUP(H101,Datos!$J$2:$L$60,3,0),"OBSERVACIONES")</f>
        <v>CERRADO</v>
      </c>
      <c r="G101" s="49"/>
      <c r="H101" s="50" t="s">
        <v>51</v>
      </c>
      <c r="I101" s="49" t="s">
        <v>122</v>
      </c>
      <c r="J101" s="49" t="s">
        <v>39</v>
      </c>
      <c r="K101" s="16">
        <v>0</v>
      </c>
      <c r="L101" s="16">
        <v>0</v>
      </c>
      <c r="M101" s="16">
        <v>0</v>
      </c>
      <c r="N101" s="16">
        <v>0</v>
      </c>
      <c r="O101" s="16">
        <v>0</v>
      </c>
      <c r="P101" s="16">
        <v>0</v>
      </c>
      <c r="Q101" s="16">
        <v>0</v>
      </c>
      <c r="R101" s="16">
        <v>0</v>
      </c>
      <c r="S101" s="16">
        <v>0</v>
      </c>
      <c r="T101" s="16">
        <v>0</v>
      </c>
      <c r="U101" s="16">
        <v>0</v>
      </c>
      <c r="V101" s="16">
        <v>0</v>
      </c>
      <c r="W101" s="16">
        <v>0</v>
      </c>
      <c r="X101" s="16">
        <v>0</v>
      </c>
      <c r="Y101" s="16">
        <v>0</v>
      </c>
      <c r="Z101" s="16">
        <v>0</v>
      </c>
      <c r="AA101" s="16">
        <v>0</v>
      </c>
      <c r="AB101" s="16">
        <v>0</v>
      </c>
      <c r="AC101" s="16">
        <v>0</v>
      </c>
      <c r="AD101" s="16">
        <v>0</v>
      </c>
      <c r="AE101" s="16">
        <v>0</v>
      </c>
      <c r="AF101" s="16">
        <v>32</v>
      </c>
      <c r="AG101" s="16">
        <v>4</v>
      </c>
      <c r="AH101" s="16">
        <v>0</v>
      </c>
      <c r="AI101" s="16">
        <v>0</v>
      </c>
      <c r="AJ101" s="16">
        <v>8</v>
      </c>
      <c r="AK101" s="16">
        <v>0</v>
      </c>
      <c r="AL101" s="16">
        <v>0</v>
      </c>
      <c r="AM101" s="16">
        <v>32</v>
      </c>
      <c r="AN101" s="16">
        <v>0</v>
      </c>
      <c r="AO101" s="16">
        <v>0</v>
      </c>
      <c r="AP101" s="16">
        <v>0</v>
      </c>
      <c r="AQ101" s="16">
        <v>0</v>
      </c>
      <c r="AR101" s="16">
        <v>0</v>
      </c>
      <c r="AS101" s="16">
        <v>0</v>
      </c>
      <c r="AT101" s="16">
        <v>0</v>
      </c>
      <c r="AU101" s="16">
        <v>0</v>
      </c>
      <c r="AV101" s="16">
        <v>0</v>
      </c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0</v>
      </c>
      <c r="BD101" s="16">
        <v>0</v>
      </c>
      <c r="BE101" s="16">
        <v>0</v>
      </c>
      <c r="BF101" s="16">
        <v>0</v>
      </c>
      <c r="BG101" s="16">
        <v>0</v>
      </c>
      <c r="BH101" s="16">
        <v>0</v>
      </c>
      <c r="BI101" s="16">
        <v>0</v>
      </c>
      <c r="BJ101" s="16">
        <v>0</v>
      </c>
      <c r="BK101" s="16">
        <v>0</v>
      </c>
      <c r="BL101" s="16">
        <v>0</v>
      </c>
      <c r="BM101" s="16">
        <v>0</v>
      </c>
      <c r="BN101" s="16">
        <v>0</v>
      </c>
      <c r="BO101" s="16">
        <v>0</v>
      </c>
      <c r="BP101" s="16">
        <v>0</v>
      </c>
      <c r="BQ101" s="16">
        <v>0</v>
      </c>
      <c r="BR101" s="16">
        <v>0</v>
      </c>
      <c r="BS101" s="207">
        <f t="shared" si="51"/>
        <v>0</v>
      </c>
      <c r="BT101" s="207">
        <f t="shared" si="52"/>
        <v>0</v>
      </c>
      <c r="BU101" s="207">
        <f t="shared" si="53"/>
        <v>0</v>
      </c>
      <c r="BV101" s="207">
        <f t="shared" si="47"/>
        <v>0</v>
      </c>
      <c r="BW101" s="207">
        <f t="shared" si="54"/>
        <v>36</v>
      </c>
      <c r="BX101" s="207">
        <f t="shared" si="55"/>
        <v>40</v>
      </c>
      <c r="BY101" s="207">
        <f t="shared" si="56"/>
        <v>0</v>
      </c>
      <c r="BZ101" s="207">
        <f t="shared" si="57"/>
        <v>0</v>
      </c>
      <c r="CA101" s="207">
        <f t="shared" si="58"/>
        <v>0</v>
      </c>
      <c r="CB101" s="207">
        <f t="shared" si="59"/>
        <v>0</v>
      </c>
      <c r="CC101" s="207">
        <f t="shared" si="60"/>
        <v>0</v>
      </c>
      <c r="CD101" s="207">
        <f t="shared" si="61"/>
        <v>0</v>
      </c>
      <c r="CE101" s="207">
        <f t="shared" si="62"/>
        <v>76</v>
      </c>
    </row>
    <row r="102" spans="1:83" ht="12" customHeight="1" x14ac:dyDescent="0.2">
      <c r="A102" s="6">
        <v>3</v>
      </c>
      <c r="B102" s="49" t="str">
        <f t="shared" si="48"/>
        <v>Torres Brousset Pacheco, Gutenberg AlexisP0012</v>
      </c>
      <c r="C102" s="117" t="str">
        <f t="shared" si="50"/>
        <v>Torres Brousset Pacheco, Gutenberg Alexis</v>
      </c>
      <c r="D102" s="49" t="str">
        <f>VLOOKUP(C102,Datos!$B$13:$C$83,2,0)</f>
        <v>CESADO</v>
      </c>
      <c r="E102" s="49" t="s">
        <v>45</v>
      </c>
      <c r="F102" s="49" t="str">
        <f>IFERROR(VLOOKUP(H102,Datos!$J$2:$L$60,3,0),"OBSERVACIONES")</f>
        <v>CERRADO</v>
      </c>
      <c r="G102" s="49"/>
      <c r="H102" s="50" t="s">
        <v>88</v>
      </c>
      <c r="I102" s="49" t="s">
        <v>121</v>
      </c>
      <c r="J102" s="49" t="s">
        <v>39</v>
      </c>
      <c r="K102" s="16">
        <v>0</v>
      </c>
      <c r="L102" s="16">
        <v>0</v>
      </c>
      <c r="M102" s="16">
        <v>0</v>
      </c>
      <c r="N102" s="16">
        <v>0</v>
      </c>
      <c r="O102" s="16">
        <v>0</v>
      </c>
      <c r="P102" s="16">
        <v>0</v>
      </c>
      <c r="Q102" s="16">
        <v>0</v>
      </c>
      <c r="R102" s="16">
        <v>0</v>
      </c>
      <c r="S102" s="16">
        <v>0</v>
      </c>
      <c r="T102" s="16">
        <v>0</v>
      </c>
      <c r="U102" s="16">
        <v>0</v>
      </c>
      <c r="V102" s="16">
        <v>0</v>
      </c>
      <c r="W102" s="16">
        <v>0</v>
      </c>
      <c r="X102" s="16">
        <v>0</v>
      </c>
      <c r="Y102" s="16">
        <v>0</v>
      </c>
      <c r="Z102" s="16">
        <v>40</v>
      </c>
      <c r="AA102" s="16">
        <v>0</v>
      </c>
      <c r="AB102" s="16">
        <v>40</v>
      </c>
      <c r="AC102" s="16">
        <v>40</v>
      </c>
      <c r="AD102" s="16">
        <v>32</v>
      </c>
      <c r="AE102" s="16">
        <v>40</v>
      </c>
      <c r="AF102" s="16">
        <v>8</v>
      </c>
      <c r="AG102" s="16">
        <v>36</v>
      </c>
      <c r="AH102" s="16">
        <v>16</v>
      </c>
      <c r="AI102" s="16">
        <v>16</v>
      </c>
      <c r="AJ102" s="16">
        <v>32</v>
      </c>
      <c r="AK102" s="16">
        <v>40</v>
      </c>
      <c r="AL102" s="16">
        <v>24</v>
      </c>
      <c r="AM102" s="16">
        <v>0</v>
      </c>
      <c r="AN102" s="16">
        <v>0</v>
      </c>
      <c r="AO102" s="16">
        <v>0</v>
      </c>
      <c r="AP102" s="16">
        <v>0</v>
      </c>
      <c r="AQ102" s="16">
        <v>0</v>
      </c>
      <c r="AR102" s="16">
        <v>0</v>
      </c>
      <c r="AS102" s="16">
        <v>0</v>
      </c>
      <c r="AT102" s="16">
        <v>0</v>
      </c>
      <c r="AU102" s="16">
        <v>0</v>
      </c>
      <c r="AV102" s="16">
        <v>0</v>
      </c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0</v>
      </c>
      <c r="BD102" s="16">
        <v>0</v>
      </c>
      <c r="BE102" s="16">
        <v>0</v>
      </c>
      <c r="BF102" s="16">
        <v>0</v>
      </c>
      <c r="BG102" s="16">
        <v>0</v>
      </c>
      <c r="BH102" s="16">
        <v>0</v>
      </c>
      <c r="BI102" s="16">
        <v>0</v>
      </c>
      <c r="BJ102" s="16">
        <v>0</v>
      </c>
      <c r="BK102" s="16">
        <v>0</v>
      </c>
      <c r="BL102" s="16">
        <v>0</v>
      </c>
      <c r="BM102" s="16">
        <v>0</v>
      </c>
      <c r="BN102" s="16">
        <v>0</v>
      </c>
      <c r="BO102" s="16">
        <v>0</v>
      </c>
      <c r="BP102" s="16">
        <v>0</v>
      </c>
      <c r="BQ102" s="16">
        <v>0</v>
      </c>
      <c r="BR102" s="16">
        <v>0</v>
      </c>
      <c r="BS102" s="207">
        <f t="shared" si="51"/>
        <v>0</v>
      </c>
      <c r="BT102" s="207">
        <f t="shared" si="52"/>
        <v>0</v>
      </c>
      <c r="BU102" s="207">
        <f t="shared" si="53"/>
        <v>0</v>
      </c>
      <c r="BV102" s="207">
        <f t="shared" si="47"/>
        <v>120</v>
      </c>
      <c r="BW102" s="207">
        <f t="shared" si="54"/>
        <v>132</v>
      </c>
      <c r="BX102" s="207">
        <f t="shared" si="55"/>
        <v>112</v>
      </c>
      <c r="BY102" s="207">
        <f t="shared" si="56"/>
        <v>0</v>
      </c>
      <c r="BZ102" s="207">
        <f t="shared" si="57"/>
        <v>0</v>
      </c>
      <c r="CA102" s="207">
        <f t="shared" si="58"/>
        <v>0</v>
      </c>
      <c r="CB102" s="207">
        <f t="shared" si="59"/>
        <v>0</v>
      </c>
      <c r="CC102" s="207">
        <f t="shared" si="60"/>
        <v>0</v>
      </c>
      <c r="CD102" s="207">
        <f t="shared" si="61"/>
        <v>0</v>
      </c>
      <c r="CE102" s="207">
        <f t="shared" si="62"/>
        <v>364</v>
      </c>
    </row>
    <row r="103" spans="1:83" ht="12" customHeight="1" x14ac:dyDescent="0.2">
      <c r="A103" s="6">
        <v>3</v>
      </c>
      <c r="B103" s="49" t="str">
        <f t="shared" si="48"/>
        <v>Hernani Lau Patricia RosaP0014</v>
      </c>
      <c r="C103" s="117" t="str">
        <f t="shared" si="50"/>
        <v>Hernani Lau Patricia Rosa</v>
      </c>
      <c r="D103" s="49" t="str">
        <f>VLOOKUP(C103,Datos!$B$13:$C$83,2,0)</f>
        <v>VIGENTE</v>
      </c>
      <c r="E103" s="49" t="s">
        <v>48</v>
      </c>
      <c r="F103" s="49" t="s">
        <v>219</v>
      </c>
      <c r="G103" s="49"/>
      <c r="H103" s="50" t="s">
        <v>204</v>
      </c>
      <c r="I103" s="49" t="s">
        <v>435</v>
      </c>
      <c r="J103" s="49" t="s">
        <v>34</v>
      </c>
      <c r="K103" s="16">
        <v>0</v>
      </c>
      <c r="L103" s="16">
        <v>0</v>
      </c>
      <c r="M103" s="16">
        <v>0</v>
      </c>
      <c r="N103" s="16">
        <v>0</v>
      </c>
      <c r="O103" s="16">
        <v>0</v>
      </c>
      <c r="P103" s="16">
        <v>0</v>
      </c>
      <c r="Q103" s="16">
        <v>0</v>
      </c>
      <c r="R103" s="16">
        <v>0</v>
      </c>
      <c r="S103" s="16">
        <v>0</v>
      </c>
      <c r="T103" s="16">
        <v>0</v>
      </c>
      <c r="U103" s="16">
        <v>0</v>
      </c>
      <c r="V103" s="16">
        <v>0</v>
      </c>
      <c r="W103" s="16">
        <v>24</v>
      </c>
      <c r="X103" s="16">
        <v>0</v>
      </c>
      <c r="Y103" s="16">
        <v>0</v>
      </c>
      <c r="Z103" s="16">
        <v>2</v>
      </c>
      <c r="AA103" s="16">
        <v>0</v>
      </c>
      <c r="AB103" s="16">
        <v>0</v>
      </c>
      <c r="AC103" s="16">
        <v>0</v>
      </c>
      <c r="AD103" s="16">
        <v>0</v>
      </c>
      <c r="AE103" s="16">
        <v>0</v>
      </c>
      <c r="AF103" s="16">
        <v>0</v>
      </c>
      <c r="AG103" s="16">
        <v>0</v>
      </c>
      <c r="AH103" s="16">
        <v>0</v>
      </c>
      <c r="AI103" s="16">
        <v>0</v>
      </c>
      <c r="AJ103" s="16">
        <v>0</v>
      </c>
      <c r="AK103" s="16">
        <v>0</v>
      </c>
      <c r="AL103" s="16">
        <v>0</v>
      </c>
      <c r="AM103" s="16">
        <v>0</v>
      </c>
      <c r="AN103" s="16">
        <v>0</v>
      </c>
      <c r="AO103" s="16">
        <v>0</v>
      </c>
      <c r="AP103" s="16">
        <v>0</v>
      </c>
      <c r="AQ103" s="16">
        <v>0</v>
      </c>
      <c r="AR103" s="16">
        <v>0</v>
      </c>
      <c r="AS103" s="16">
        <v>0</v>
      </c>
      <c r="AT103" s="16">
        <v>0</v>
      </c>
      <c r="AU103" s="16">
        <v>0</v>
      </c>
      <c r="AV103" s="16">
        <v>0</v>
      </c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0</v>
      </c>
      <c r="BD103" s="16">
        <v>0</v>
      </c>
      <c r="BE103" s="16">
        <v>0</v>
      </c>
      <c r="BF103" s="16">
        <v>0</v>
      </c>
      <c r="BG103" s="16">
        <v>0</v>
      </c>
      <c r="BH103" s="16">
        <v>0</v>
      </c>
      <c r="BI103" s="16">
        <v>0</v>
      </c>
      <c r="BJ103" s="16">
        <v>0</v>
      </c>
      <c r="BK103" s="16">
        <v>0</v>
      </c>
      <c r="BL103" s="16">
        <v>0</v>
      </c>
      <c r="BM103" s="16">
        <v>0</v>
      </c>
      <c r="BN103" s="16">
        <v>0</v>
      </c>
      <c r="BO103" s="16">
        <v>0</v>
      </c>
      <c r="BP103" s="16">
        <v>0</v>
      </c>
      <c r="BQ103" s="16">
        <v>0</v>
      </c>
      <c r="BR103" s="16">
        <v>0</v>
      </c>
      <c r="BS103" s="207">
        <f t="shared" si="51"/>
        <v>0</v>
      </c>
      <c r="BT103" s="207">
        <f t="shared" si="52"/>
        <v>0</v>
      </c>
      <c r="BU103" s="207">
        <f t="shared" si="53"/>
        <v>24</v>
      </c>
      <c r="BV103" s="207">
        <f>SUM(Z103:AC103)</f>
        <v>2</v>
      </c>
      <c r="BW103" s="207">
        <f t="shared" si="54"/>
        <v>0</v>
      </c>
      <c r="BX103" s="207">
        <f t="shared" si="55"/>
        <v>0</v>
      </c>
      <c r="BY103" s="207">
        <f t="shared" si="56"/>
        <v>0</v>
      </c>
      <c r="BZ103" s="207">
        <f t="shared" si="57"/>
        <v>0</v>
      </c>
      <c r="CA103" s="207">
        <f t="shared" si="58"/>
        <v>0</v>
      </c>
      <c r="CB103" s="207">
        <f t="shared" si="59"/>
        <v>0</v>
      </c>
      <c r="CC103" s="207">
        <f t="shared" si="60"/>
        <v>0</v>
      </c>
      <c r="CD103" s="207">
        <f t="shared" si="61"/>
        <v>0</v>
      </c>
      <c r="CE103" s="207">
        <f t="shared" si="62"/>
        <v>26</v>
      </c>
    </row>
    <row r="104" spans="1:83" ht="12" customHeight="1" x14ac:dyDescent="0.2">
      <c r="A104" s="6">
        <v>6</v>
      </c>
      <c r="B104" s="49" t="str">
        <f t="shared" ref="B104" si="63">C104&amp;H104</f>
        <v>Hernani Lau Patricia RosaINASISTENCIAS JUSTIFICADAS</v>
      </c>
      <c r="C104" s="117" t="str">
        <f>J104</f>
        <v>Hernani Lau Patricia Rosa</v>
      </c>
      <c r="D104" s="49" t="str">
        <f>VLOOKUP(C104,Datos!$B$13:$C$83,2,0)</f>
        <v>VIGENTE</v>
      </c>
      <c r="E104" s="49" t="s">
        <v>855</v>
      </c>
      <c r="F104" s="49"/>
      <c r="G104" s="49" t="str">
        <f>IFERROR(VLOOKUP(H104,Datos!$J$2:$L$60,3,0),"OBSERVACIONES")</f>
        <v>OBSERVACIONES</v>
      </c>
      <c r="H104" s="50" t="s">
        <v>855</v>
      </c>
      <c r="I104" s="49" t="s">
        <v>856</v>
      </c>
      <c r="J104" s="49" t="s">
        <v>34</v>
      </c>
      <c r="K104" s="16">
        <v>0</v>
      </c>
      <c r="L104" s="16">
        <v>0</v>
      </c>
      <c r="M104" s="16">
        <v>0</v>
      </c>
      <c r="N104" s="16">
        <v>0</v>
      </c>
      <c r="O104" s="16">
        <v>0</v>
      </c>
      <c r="P104" s="16">
        <v>0</v>
      </c>
      <c r="Q104" s="16">
        <v>0</v>
      </c>
      <c r="R104" s="16">
        <v>0</v>
      </c>
      <c r="S104" s="16">
        <v>0</v>
      </c>
      <c r="T104" s="16">
        <v>0</v>
      </c>
      <c r="U104" s="16">
        <v>0</v>
      </c>
      <c r="V104" s="16">
        <v>0</v>
      </c>
      <c r="W104" s="16">
        <v>0</v>
      </c>
      <c r="X104" s="16">
        <v>0</v>
      </c>
      <c r="Y104" s="16">
        <v>0</v>
      </c>
      <c r="Z104" s="16">
        <v>0</v>
      </c>
      <c r="AA104" s="16">
        <v>0</v>
      </c>
      <c r="AB104" s="16">
        <v>0</v>
      </c>
      <c r="AC104" s="16">
        <v>0</v>
      </c>
      <c r="AD104" s="16">
        <v>0</v>
      </c>
      <c r="AE104" s="16">
        <v>0</v>
      </c>
      <c r="AF104" s="16">
        <v>0</v>
      </c>
      <c r="AG104" s="16">
        <v>0</v>
      </c>
      <c r="AH104" s="16">
        <v>0</v>
      </c>
      <c r="AI104" s="16">
        <v>0</v>
      </c>
      <c r="AJ104" s="16">
        <v>0</v>
      </c>
      <c r="AK104" s="16">
        <v>0</v>
      </c>
      <c r="AL104" s="16">
        <v>0</v>
      </c>
      <c r="AM104" s="16">
        <v>0</v>
      </c>
      <c r="AN104" s="16">
        <v>0</v>
      </c>
      <c r="AO104" s="16">
        <v>0</v>
      </c>
      <c r="AP104" s="16">
        <v>0</v>
      </c>
      <c r="AQ104" s="16">
        <v>0</v>
      </c>
      <c r="AR104" s="16">
        <v>0</v>
      </c>
      <c r="AS104" s="16">
        <v>0</v>
      </c>
      <c r="AT104" s="16">
        <v>0</v>
      </c>
      <c r="AU104" s="16">
        <v>0</v>
      </c>
      <c r="AV104" s="16">
        <v>0</v>
      </c>
      <c r="AW104" s="16">
        <v>0</v>
      </c>
      <c r="AX104" s="16">
        <v>0</v>
      </c>
      <c r="AY104" s="16">
        <v>0</v>
      </c>
      <c r="AZ104" s="16">
        <v>0</v>
      </c>
      <c r="BA104" s="16">
        <v>8</v>
      </c>
      <c r="BB104" s="16">
        <v>0</v>
      </c>
      <c r="BC104" s="16">
        <v>0</v>
      </c>
      <c r="BD104" s="16">
        <v>0</v>
      </c>
      <c r="BE104" s="16">
        <v>0</v>
      </c>
      <c r="BF104" s="16">
        <v>0</v>
      </c>
      <c r="BG104" s="16">
        <v>0</v>
      </c>
      <c r="BH104" s="16">
        <v>0</v>
      </c>
      <c r="BI104" s="16">
        <v>0</v>
      </c>
      <c r="BJ104" s="16">
        <v>0</v>
      </c>
      <c r="BK104" s="16">
        <v>0</v>
      </c>
      <c r="BL104" s="16">
        <v>0</v>
      </c>
      <c r="BM104" s="16">
        <v>0</v>
      </c>
      <c r="BN104" s="16">
        <v>0</v>
      </c>
      <c r="BO104" s="16">
        <v>0</v>
      </c>
      <c r="BP104" s="16">
        <v>0</v>
      </c>
      <c r="BQ104" s="16">
        <v>0</v>
      </c>
      <c r="BR104" s="16">
        <v>0</v>
      </c>
      <c r="BS104" s="207">
        <f t="shared" si="51"/>
        <v>0</v>
      </c>
      <c r="BT104" s="207">
        <f t="shared" si="52"/>
        <v>0</v>
      </c>
      <c r="BU104" s="207">
        <f t="shared" si="53"/>
        <v>0</v>
      </c>
      <c r="BV104" s="207">
        <f>SUM(Z104:AC104)</f>
        <v>0</v>
      </c>
      <c r="BW104" s="207">
        <f t="shared" si="54"/>
        <v>0</v>
      </c>
      <c r="BX104" s="207">
        <f t="shared" si="55"/>
        <v>0</v>
      </c>
      <c r="BY104" s="207">
        <f t="shared" si="56"/>
        <v>0</v>
      </c>
      <c r="BZ104" s="207">
        <f t="shared" si="57"/>
        <v>0</v>
      </c>
      <c r="CA104" s="207">
        <f t="shared" si="58"/>
        <v>8</v>
      </c>
      <c r="CB104" s="207">
        <f t="shared" si="59"/>
        <v>0</v>
      </c>
      <c r="CC104" s="207">
        <f t="shared" si="60"/>
        <v>0</v>
      </c>
      <c r="CD104" s="207">
        <f t="shared" si="61"/>
        <v>0</v>
      </c>
      <c r="CE104" s="207">
        <f t="shared" si="62"/>
        <v>8</v>
      </c>
    </row>
    <row r="105" spans="1:83" ht="12" customHeight="1" x14ac:dyDescent="0.2">
      <c r="A105" s="6">
        <v>3</v>
      </c>
      <c r="B105" s="49" t="str">
        <f t="shared" si="48"/>
        <v>Hernani Lau Patricia RosaP0017</v>
      </c>
      <c r="C105" s="117" t="str">
        <f>J105</f>
        <v>Hernani Lau Patricia Rosa</v>
      </c>
      <c r="D105" s="49" t="str">
        <f>VLOOKUP(C105,Datos!$B$13:$C$83,2,0)</f>
        <v>VIGENTE</v>
      </c>
      <c r="E105" s="49" t="s">
        <v>48</v>
      </c>
      <c r="F105" s="49" t="str">
        <f>IFERROR(VLOOKUP(H105,Datos!$J$2:$L$60,3,0),"OBSERVACIONES")</f>
        <v>CERRADO</v>
      </c>
      <c r="G105" s="49"/>
      <c r="H105" s="50" t="s">
        <v>433</v>
      </c>
      <c r="I105" s="49" t="s">
        <v>434</v>
      </c>
      <c r="J105" s="49" t="s">
        <v>34</v>
      </c>
      <c r="K105" s="16">
        <v>0</v>
      </c>
      <c r="L105" s="16">
        <v>0</v>
      </c>
      <c r="M105" s="16">
        <v>0</v>
      </c>
      <c r="N105" s="16">
        <v>0</v>
      </c>
      <c r="O105" s="16">
        <v>0</v>
      </c>
      <c r="P105" s="16">
        <v>0</v>
      </c>
      <c r="Q105" s="16">
        <v>0</v>
      </c>
      <c r="R105" s="16">
        <v>0</v>
      </c>
      <c r="S105" s="16">
        <v>0</v>
      </c>
      <c r="T105" s="16">
        <v>0</v>
      </c>
      <c r="U105" s="16">
        <v>0</v>
      </c>
      <c r="V105" s="16">
        <v>0</v>
      </c>
      <c r="W105" s="16">
        <v>0</v>
      </c>
      <c r="X105" s="16">
        <v>0</v>
      </c>
      <c r="Y105" s="16">
        <v>0</v>
      </c>
      <c r="Z105" s="16">
        <v>0</v>
      </c>
      <c r="AA105" s="16">
        <v>0</v>
      </c>
      <c r="AB105" s="16">
        <v>0</v>
      </c>
      <c r="AC105" s="16">
        <v>0</v>
      </c>
      <c r="AD105" s="16">
        <v>0</v>
      </c>
      <c r="AE105" s="16">
        <v>0</v>
      </c>
      <c r="AF105" s="16">
        <v>20</v>
      </c>
      <c r="AG105" s="16">
        <v>4</v>
      </c>
      <c r="AH105" s="16">
        <v>0</v>
      </c>
      <c r="AI105" s="16">
        <v>3</v>
      </c>
      <c r="AJ105" s="16">
        <v>0</v>
      </c>
      <c r="AK105" s="16">
        <v>0</v>
      </c>
      <c r="AL105" s="16">
        <v>32</v>
      </c>
      <c r="AM105" s="16">
        <v>29</v>
      </c>
      <c r="AN105" s="16">
        <v>40</v>
      </c>
      <c r="AO105" s="16">
        <v>16</v>
      </c>
      <c r="AP105" s="16">
        <v>1.5</v>
      </c>
      <c r="AQ105" s="16">
        <v>0</v>
      </c>
      <c r="AR105" s="16">
        <v>0</v>
      </c>
      <c r="AS105" s="16">
        <v>0</v>
      </c>
      <c r="AT105" s="16">
        <v>0</v>
      </c>
      <c r="AU105" s="16">
        <v>0</v>
      </c>
      <c r="AV105" s="16">
        <v>0</v>
      </c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0</v>
      </c>
      <c r="BD105" s="16">
        <v>0</v>
      </c>
      <c r="BE105" s="16">
        <v>0</v>
      </c>
      <c r="BF105" s="16">
        <v>0</v>
      </c>
      <c r="BG105" s="16">
        <v>0</v>
      </c>
      <c r="BH105" s="16">
        <v>0</v>
      </c>
      <c r="BI105" s="16">
        <v>0</v>
      </c>
      <c r="BJ105" s="16">
        <v>0</v>
      </c>
      <c r="BK105" s="16">
        <v>0</v>
      </c>
      <c r="BL105" s="16">
        <v>0</v>
      </c>
      <c r="BM105" s="16">
        <v>0</v>
      </c>
      <c r="BN105" s="16">
        <v>0</v>
      </c>
      <c r="BO105" s="16">
        <v>0</v>
      </c>
      <c r="BP105" s="16">
        <v>0</v>
      </c>
      <c r="BQ105" s="16">
        <v>0</v>
      </c>
      <c r="BR105" s="16">
        <v>0</v>
      </c>
      <c r="BS105" s="207">
        <f t="shared" si="51"/>
        <v>0</v>
      </c>
      <c r="BT105" s="207">
        <f t="shared" si="52"/>
        <v>0</v>
      </c>
      <c r="BU105" s="207">
        <f t="shared" si="53"/>
        <v>0</v>
      </c>
      <c r="BV105" s="207">
        <f>SUM(Z105:AC105)</f>
        <v>0</v>
      </c>
      <c r="BW105" s="207">
        <f t="shared" si="54"/>
        <v>24</v>
      </c>
      <c r="BX105" s="207">
        <f t="shared" si="55"/>
        <v>64</v>
      </c>
      <c r="BY105" s="207">
        <f t="shared" si="56"/>
        <v>57.5</v>
      </c>
      <c r="BZ105" s="207">
        <f t="shared" si="57"/>
        <v>0</v>
      </c>
      <c r="CA105" s="207">
        <f t="shared" si="58"/>
        <v>0</v>
      </c>
      <c r="CB105" s="207">
        <f t="shared" si="59"/>
        <v>0</v>
      </c>
      <c r="CC105" s="207">
        <f t="shared" si="60"/>
        <v>0</v>
      </c>
      <c r="CD105" s="207">
        <f t="shared" si="61"/>
        <v>0</v>
      </c>
      <c r="CE105" s="207">
        <f t="shared" si="62"/>
        <v>145.5</v>
      </c>
    </row>
    <row r="106" spans="1:83" ht="12" customHeight="1" x14ac:dyDescent="0.2">
      <c r="A106" s="6">
        <v>3</v>
      </c>
      <c r="B106" s="49" t="str">
        <f t="shared" si="48"/>
        <v>Marin Soriano Olga BeatrizP0001</v>
      </c>
      <c r="C106" s="117" t="str">
        <f t="shared" si="50"/>
        <v>Marin Soriano Olga Beatriz</v>
      </c>
      <c r="D106" s="49" t="str">
        <f>VLOOKUP(C106,Datos!$B$13:$C$83,2,0)</f>
        <v>CESADO</v>
      </c>
      <c r="E106" s="49" t="s">
        <v>48</v>
      </c>
      <c r="F106" s="49" t="str">
        <f>IFERROR(VLOOKUP(H106,Datos!$J$2:$L$60,3,0),"OBSERVACIONES")</f>
        <v>CERRADO</v>
      </c>
      <c r="G106" s="49"/>
      <c r="H106" s="49" t="s">
        <v>43</v>
      </c>
      <c r="I106" s="49" t="s">
        <v>128</v>
      </c>
      <c r="J106" s="118" t="s">
        <v>421</v>
      </c>
      <c r="K106" s="16">
        <v>12</v>
      </c>
      <c r="L106" s="16">
        <v>4</v>
      </c>
      <c r="M106" s="16">
        <v>30</v>
      </c>
      <c r="N106" s="16">
        <v>22</v>
      </c>
      <c r="O106" s="16">
        <v>8</v>
      </c>
      <c r="P106" s="16">
        <v>12</v>
      </c>
      <c r="Q106" s="16">
        <v>20</v>
      </c>
      <c r="R106" s="16">
        <v>20</v>
      </c>
      <c r="S106" s="16">
        <v>10</v>
      </c>
      <c r="T106" s="16">
        <v>4</v>
      </c>
      <c r="U106" s="16">
        <v>0</v>
      </c>
      <c r="V106" s="16">
        <v>0</v>
      </c>
      <c r="W106" s="16">
        <v>0</v>
      </c>
      <c r="X106" s="16">
        <v>0</v>
      </c>
      <c r="Y106" s="16">
        <v>0</v>
      </c>
      <c r="Z106" s="16">
        <v>0</v>
      </c>
      <c r="AA106" s="16">
        <v>0</v>
      </c>
      <c r="AB106" s="16">
        <v>0</v>
      </c>
      <c r="AC106" s="16">
        <v>0</v>
      </c>
      <c r="AD106" s="16">
        <v>0</v>
      </c>
      <c r="AE106" s="16">
        <v>0</v>
      </c>
      <c r="AF106" s="16">
        <v>0</v>
      </c>
      <c r="AG106" s="16">
        <v>0</v>
      </c>
      <c r="AH106" s="16">
        <v>0</v>
      </c>
      <c r="AI106" s="16">
        <v>0</v>
      </c>
      <c r="AJ106" s="16">
        <v>0</v>
      </c>
      <c r="AK106" s="16">
        <v>0</v>
      </c>
      <c r="AL106" s="16">
        <v>0</v>
      </c>
      <c r="AM106" s="16">
        <v>0</v>
      </c>
      <c r="AN106" s="16">
        <v>0</v>
      </c>
      <c r="AO106" s="16">
        <v>0</v>
      </c>
      <c r="AP106" s="16">
        <v>0</v>
      </c>
      <c r="AQ106" s="16">
        <v>0</v>
      </c>
      <c r="AR106" s="16">
        <v>0</v>
      </c>
      <c r="AS106" s="16">
        <v>0</v>
      </c>
      <c r="AT106" s="16">
        <v>0</v>
      </c>
      <c r="AU106" s="16">
        <v>0</v>
      </c>
      <c r="AV106" s="16">
        <v>0</v>
      </c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0</v>
      </c>
      <c r="BD106" s="16">
        <v>0</v>
      </c>
      <c r="BE106" s="16">
        <v>0</v>
      </c>
      <c r="BF106" s="16">
        <v>0</v>
      </c>
      <c r="BG106" s="16">
        <v>0</v>
      </c>
      <c r="BH106" s="16">
        <v>0</v>
      </c>
      <c r="BI106" s="16">
        <v>0</v>
      </c>
      <c r="BJ106" s="16">
        <v>0</v>
      </c>
      <c r="BK106" s="16">
        <v>0</v>
      </c>
      <c r="BL106" s="16">
        <v>0</v>
      </c>
      <c r="BM106" s="16">
        <v>0</v>
      </c>
      <c r="BN106" s="16">
        <v>0</v>
      </c>
      <c r="BO106" s="16">
        <v>0</v>
      </c>
      <c r="BP106" s="16">
        <v>0</v>
      </c>
      <c r="BQ106" s="16">
        <v>0</v>
      </c>
      <c r="BR106" s="16">
        <v>0</v>
      </c>
      <c r="BS106" s="207">
        <f t="shared" si="51"/>
        <v>76</v>
      </c>
      <c r="BT106" s="207">
        <f t="shared" si="52"/>
        <v>66</v>
      </c>
      <c r="BU106" s="207">
        <f t="shared" si="53"/>
        <v>0</v>
      </c>
      <c r="BV106" s="207">
        <f t="shared" si="47"/>
        <v>0</v>
      </c>
      <c r="BW106" s="207">
        <f t="shared" si="54"/>
        <v>0</v>
      </c>
      <c r="BX106" s="207">
        <f t="shared" si="55"/>
        <v>0</v>
      </c>
      <c r="BY106" s="207">
        <f t="shared" si="56"/>
        <v>0</v>
      </c>
      <c r="BZ106" s="207">
        <f t="shared" si="57"/>
        <v>0</v>
      </c>
      <c r="CA106" s="207">
        <f t="shared" si="58"/>
        <v>0</v>
      </c>
      <c r="CB106" s="207">
        <f t="shared" si="59"/>
        <v>0</v>
      </c>
      <c r="CC106" s="207">
        <f t="shared" si="60"/>
        <v>0</v>
      </c>
      <c r="CD106" s="207">
        <f t="shared" si="61"/>
        <v>0</v>
      </c>
      <c r="CE106" s="207">
        <f t="shared" si="62"/>
        <v>142</v>
      </c>
    </row>
    <row r="107" spans="1:83" ht="12" customHeight="1" x14ac:dyDescent="0.2">
      <c r="A107" s="6">
        <v>3</v>
      </c>
      <c r="B107" s="49" t="str">
        <f t="shared" si="48"/>
        <v>Torres Brousset Pacheco, Gutenberg AlexisP0002</v>
      </c>
      <c r="C107" s="117" t="str">
        <f t="shared" si="50"/>
        <v>Torres Brousset Pacheco, Gutenberg Alexis</v>
      </c>
      <c r="D107" s="49" t="str">
        <f>VLOOKUP(C107,Datos!$B$13:$C$83,2,0)</f>
        <v>CESADO</v>
      </c>
      <c r="E107" s="49" t="s">
        <v>89</v>
      </c>
      <c r="F107" s="49" t="str">
        <f>IFERROR(VLOOKUP(H107,Datos!$J$2:$L$60,3,0),"OBSERVACIONES")</f>
        <v>CERRADO</v>
      </c>
      <c r="G107" s="49"/>
      <c r="H107" s="49" t="s">
        <v>90</v>
      </c>
      <c r="I107" s="49" t="s">
        <v>113</v>
      </c>
      <c r="J107" s="49" t="s">
        <v>39</v>
      </c>
      <c r="K107" s="16">
        <v>0</v>
      </c>
      <c r="L107" s="16">
        <v>0</v>
      </c>
      <c r="M107" s="16">
        <v>40</v>
      </c>
      <c r="N107" s="16">
        <v>40</v>
      </c>
      <c r="O107" s="16">
        <v>8</v>
      </c>
      <c r="P107" s="16">
        <v>0</v>
      </c>
      <c r="Q107" s="16">
        <v>0</v>
      </c>
      <c r="R107" s="16">
        <v>0</v>
      </c>
      <c r="S107" s="16">
        <v>0</v>
      </c>
      <c r="T107" s="16">
        <v>0</v>
      </c>
      <c r="U107" s="16">
        <v>0</v>
      </c>
      <c r="V107" s="16">
        <v>0</v>
      </c>
      <c r="W107" s="16">
        <v>0</v>
      </c>
      <c r="X107" s="16">
        <v>0</v>
      </c>
      <c r="Y107" s="16">
        <v>0</v>
      </c>
      <c r="Z107" s="16">
        <v>0</v>
      </c>
      <c r="AA107" s="16">
        <v>0</v>
      </c>
      <c r="AB107" s="16">
        <v>0</v>
      </c>
      <c r="AC107" s="16">
        <v>0</v>
      </c>
      <c r="AD107" s="16">
        <v>0</v>
      </c>
      <c r="AE107" s="16">
        <v>0</v>
      </c>
      <c r="AF107" s="16">
        <v>0</v>
      </c>
      <c r="AG107" s="16">
        <v>0</v>
      </c>
      <c r="AH107" s="16">
        <v>0</v>
      </c>
      <c r="AI107" s="16">
        <v>0</v>
      </c>
      <c r="AJ107" s="16">
        <v>0</v>
      </c>
      <c r="AK107" s="16">
        <v>0</v>
      </c>
      <c r="AL107" s="16">
        <v>0</v>
      </c>
      <c r="AM107" s="16">
        <v>0</v>
      </c>
      <c r="AN107" s="16">
        <v>0</v>
      </c>
      <c r="AO107" s="16">
        <v>0</v>
      </c>
      <c r="AP107" s="16">
        <v>0</v>
      </c>
      <c r="AQ107" s="16">
        <v>0</v>
      </c>
      <c r="AR107" s="16">
        <v>0</v>
      </c>
      <c r="AS107" s="16">
        <v>0</v>
      </c>
      <c r="AT107" s="16">
        <v>0</v>
      </c>
      <c r="AU107" s="16">
        <v>0</v>
      </c>
      <c r="AV107" s="16">
        <v>0</v>
      </c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0</v>
      </c>
      <c r="BD107" s="16">
        <v>0</v>
      </c>
      <c r="BE107" s="16">
        <v>0</v>
      </c>
      <c r="BF107" s="16">
        <v>0</v>
      </c>
      <c r="BG107" s="16">
        <v>0</v>
      </c>
      <c r="BH107" s="16">
        <v>0</v>
      </c>
      <c r="BI107" s="16">
        <v>0</v>
      </c>
      <c r="BJ107" s="16">
        <v>0</v>
      </c>
      <c r="BK107" s="16">
        <v>0</v>
      </c>
      <c r="BL107" s="16">
        <v>0</v>
      </c>
      <c r="BM107" s="16">
        <v>0</v>
      </c>
      <c r="BN107" s="16">
        <v>0</v>
      </c>
      <c r="BO107" s="16">
        <v>0</v>
      </c>
      <c r="BP107" s="16">
        <v>0</v>
      </c>
      <c r="BQ107" s="16">
        <v>0</v>
      </c>
      <c r="BR107" s="16">
        <v>0</v>
      </c>
      <c r="BS107" s="207">
        <f t="shared" si="51"/>
        <v>88</v>
      </c>
      <c r="BT107" s="207">
        <f t="shared" si="52"/>
        <v>0</v>
      </c>
      <c r="BU107" s="207">
        <f t="shared" si="53"/>
        <v>0</v>
      </c>
      <c r="BV107" s="207">
        <f t="shared" si="47"/>
        <v>0</v>
      </c>
      <c r="BW107" s="207">
        <f t="shared" si="54"/>
        <v>0</v>
      </c>
      <c r="BX107" s="207">
        <f t="shared" si="55"/>
        <v>0</v>
      </c>
      <c r="BY107" s="207">
        <f t="shared" si="56"/>
        <v>0</v>
      </c>
      <c r="BZ107" s="207">
        <f t="shared" si="57"/>
        <v>0</v>
      </c>
      <c r="CA107" s="207">
        <f t="shared" si="58"/>
        <v>0</v>
      </c>
      <c r="CB107" s="207">
        <f t="shared" si="59"/>
        <v>0</v>
      </c>
      <c r="CC107" s="207">
        <f t="shared" si="60"/>
        <v>0</v>
      </c>
      <c r="CD107" s="207">
        <f t="shared" si="61"/>
        <v>0</v>
      </c>
      <c r="CE107" s="207">
        <f t="shared" si="62"/>
        <v>88</v>
      </c>
    </row>
    <row r="108" spans="1:83" ht="12" customHeight="1" x14ac:dyDescent="0.2">
      <c r="A108" s="6">
        <v>3</v>
      </c>
      <c r="B108" s="49" t="str">
        <f t="shared" si="48"/>
        <v>Torres Brousset Pacheco, Gutenberg AlexisP0032</v>
      </c>
      <c r="C108" s="117" t="str">
        <f t="shared" si="50"/>
        <v>Torres Brousset Pacheco, Gutenberg Alexis</v>
      </c>
      <c r="D108" s="49" t="str">
        <f>VLOOKUP(C108,Datos!$B$13:$C$83,2,0)</f>
        <v>CESADO</v>
      </c>
      <c r="E108" s="49" t="s">
        <v>45</v>
      </c>
      <c r="F108" s="49" t="str">
        <f>IFERROR(VLOOKUP(H108,Datos!$J$2:$L$60,3,0),"OBSERVACIONES")</f>
        <v>CERRADO</v>
      </c>
      <c r="G108" s="49"/>
      <c r="H108" s="49" t="s">
        <v>415</v>
      </c>
      <c r="I108" s="49" t="s">
        <v>416</v>
      </c>
      <c r="J108" s="49" t="s">
        <v>39</v>
      </c>
      <c r="K108" s="16">
        <v>0</v>
      </c>
      <c r="L108" s="16">
        <v>0</v>
      </c>
      <c r="M108" s="16">
        <v>0</v>
      </c>
      <c r="N108" s="16">
        <v>0</v>
      </c>
      <c r="O108" s="16">
        <v>0</v>
      </c>
      <c r="P108" s="16">
        <v>0</v>
      </c>
      <c r="Q108" s="16">
        <v>0</v>
      </c>
      <c r="R108" s="16">
        <v>0</v>
      </c>
      <c r="S108" s="16">
        <v>0</v>
      </c>
      <c r="T108" s="16">
        <v>0</v>
      </c>
      <c r="U108" s="16">
        <v>0</v>
      </c>
      <c r="V108" s="16">
        <v>0</v>
      </c>
      <c r="W108" s="16">
        <v>0</v>
      </c>
      <c r="X108" s="16">
        <v>0</v>
      </c>
      <c r="Y108" s="16">
        <v>0</v>
      </c>
      <c r="Z108" s="16">
        <v>0</v>
      </c>
      <c r="AA108" s="16">
        <v>0</v>
      </c>
      <c r="AB108" s="16">
        <v>0</v>
      </c>
      <c r="AC108" s="16">
        <v>0</v>
      </c>
      <c r="AD108" s="16">
        <v>0</v>
      </c>
      <c r="AE108" s="16">
        <v>0</v>
      </c>
      <c r="AF108" s="16">
        <v>0</v>
      </c>
      <c r="AG108" s="16">
        <v>0</v>
      </c>
      <c r="AH108" s="16">
        <v>0</v>
      </c>
      <c r="AI108" s="16">
        <v>0</v>
      </c>
      <c r="AJ108" s="16">
        <v>0</v>
      </c>
      <c r="AK108" s="16">
        <v>0</v>
      </c>
      <c r="AL108" s="16">
        <v>0</v>
      </c>
      <c r="AM108" s="16">
        <v>0</v>
      </c>
      <c r="AN108" s="16">
        <v>0</v>
      </c>
      <c r="AO108" s="16">
        <v>0</v>
      </c>
      <c r="AP108" s="16">
        <v>0</v>
      </c>
      <c r="AQ108" s="16">
        <v>32</v>
      </c>
      <c r="AR108" s="16">
        <v>0</v>
      </c>
      <c r="AS108" s="16">
        <v>8</v>
      </c>
      <c r="AT108" s="16">
        <v>32</v>
      </c>
      <c r="AU108" s="16">
        <v>40</v>
      </c>
      <c r="AV108" s="16">
        <v>40</v>
      </c>
      <c r="AW108" s="16">
        <v>24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0</v>
      </c>
      <c r="BD108" s="16">
        <v>0</v>
      </c>
      <c r="BE108" s="16">
        <v>0</v>
      </c>
      <c r="BF108" s="16">
        <v>0</v>
      </c>
      <c r="BG108" s="16">
        <v>0</v>
      </c>
      <c r="BH108" s="16">
        <v>0</v>
      </c>
      <c r="BI108" s="16">
        <v>0</v>
      </c>
      <c r="BJ108" s="16">
        <v>0</v>
      </c>
      <c r="BK108" s="16">
        <v>0</v>
      </c>
      <c r="BL108" s="16">
        <v>0</v>
      </c>
      <c r="BM108" s="16">
        <v>0</v>
      </c>
      <c r="BN108" s="16">
        <v>0</v>
      </c>
      <c r="BO108" s="16">
        <v>0</v>
      </c>
      <c r="BP108" s="16">
        <v>0</v>
      </c>
      <c r="BQ108" s="16">
        <v>0</v>
      </c>
      <c r="BR108" s="16">
        <v>0</v>
      </c>
      <c r="BS108" s="207">
        <f t="shared" si="51"/>
        <v>0</v>
      </c>
      <c r="BT108" s="207">
        <f t="shared" si="52"/>
        <v>0</v>
      </c>
      <c r="BU108" s="207">
        <f t="shared" si="53"/>
        <v>0</v>
      </c>
      <c r="BV108" s="207">
        <f t="shared" si="47"/>
        <v>0</v>
      </c>
      <c r="BW108" s="207">
        <f t="shared" si="54"/>
        <v>0</v>
      </c>
      <c r="BX108" s="207">
        <f t="shared" si="55"/>
        <v>0</v>
      </c>
      <c r="BY108" s="207">
        <f t="shared" si="56"/>
        <v>40</v>
      </c>
      <c r="BZ108" s="207">
        <f t="shared" si="57"/>
        <v>136</v>
      </c>
      <c r="CA108" s="207">
        <f t="shared" si="58"/>
        <v>0</v>
      </c>
      <c r="CB108" s="207">
        <f t="shared" si="59"/>
        <v>0</v>
      </c>
      <c r="CC108" s="207">
        <f t="shared" si="60"/>
        <v>0</v>
      </c>
      <c r="CD108" s="207">
        <f t="shared" si="61"/>
        <v>0</v>
      </c>
      <c r="CE108" s="207">
        <f t="shared" si="62"/>
        <v>176</v>
      </c>
    </row>
    <row r="109" spans="1:83" ht="12" customHeight="1" x14ac:dyDescent="0.2">
      <c r="A109" s="6">
        <v>5</v>
      </c>
      <c r="B109" s="49" t="str">
        <f t="shared" si="48"/>
        <v>Torres Brousset Pacheco, Gutenberg AlexisINASISTENCIAS</v>
      </c>
      <c r="C109" s="117" t="str">
        <f>J109</f>
        <v>Torres Brousset Pacheco, Gutenberg Alexis</v>
      </c>
      <c r="D109" s="49" t="str">
        <f>VLOOKUP(C109,Datos!$B$13:$C$83,2,0)</f>
        <v>CESADO</v>
      </c>
      <c r="E109" s="49" t="s">
        <v>208</v>
      </c>
      <c r="F109" s="49"/>
      <c r="G109" s="49" t="str">
        <f>IFERROR(VLOOKUP(I109,Datos!$J$2:$L$60,3,0),"OBSERVACIONES")</f>
        <v>OBSERVACIONES</v>
      </c>
      <c r="H109" s="49" t="s">
        <v>208</v>
      </c>
      <c r="I109" s="49" t="s">
        <v>210</v>
      </c>
      <c r="J109" s="49" t="s">
        <v>39</v>
      </c>
      <c r="K109" s="16">
        <v>0</v>
      </c>
      <c r="L109" s="16">
        <v>0</v>
      </c>
      <c r="M109" s="16">
        <v>0</v>
      </c>
      <c r="N109" s="16">
        <v>0</v>
      </c>
      <c r="O109" s="16">
        <v>0</v>
      </c>
      <c r="P109" s="16">
        <v>0</v>
      </c>
      <c r="Q109" s="16">
        <v>0</v>
      </c>
      <c r="R109" s="16">
        <v>0</v>
      </c>
      <c r="S109" s="16">
        <v>0</v>
      </c>
      <c r="T109" s="16">
        <v>0</v>
      </c>
      <c r="U109" s="16">
        <v>0</v>
      </c>
      <c r="V109" s="16">
        <v>0</v>
      </c>
      <c r="W109" s="16">
        <v>0</v>
      </c>
      <c r="X109" s="16">
        <v>0</v>
      </c>
      <c r="Y109" s="16">
        <v>0</v>
      </c>
      <c r="Z109" s="16">
        <v>0</v>
      </c>
      <c r="AA109" s="16">
        <v>0</v>
      </c>
      <c r="AB109" s="16">
        <v>0</v>
      </c>
      <c r="AC109" s="16">
        <v>0</v>
      </c>
      <c r="AD109" s="16">
        <v>0</v>
      </c>
      <c r="AE109" s="16">
        <v>0</v>
      </c>
      <c r="AF109" s="16">
        <v>0</v>
      </c>
      <c r="AG109" s="16">
        <v>0</v>
      </c>
      <c r="AH109" s="16">
        <v>0</v>
      </c>
      <c r="AI109" s="16">
        <v>0</v>
      </c>
      <c r="AJ109" s="16">
        <v>0</v>
      </c>
      <c r="AK109" s="16">
        <v>0</v>
      </c>
      <c r="AL109" s="16">
        <v>0</v>
      </c>
      <c r="AM109" s="16">
        <v>0</v>
      </c>
      <c r="AN109" s="16">
        <v>32</v>
      </c>
      <c r="AO109" s="16">
        <v>0</v>
      </c>
      <c r="AP109" s="16">
        <v>0</v>
      </c>
      <c r="AQ109" s="16">
        <v>0</v>
      </c>
      <c r="AR109" s="16">
        <v>0</v>
      </c>
      <c r="AS109" s="16">
        <v>0</v>
      </c>
      <c r="AT109" s="16">
        <v>0</v>
      </c>
      <c r="AU109" s="16">
        <v>0</v>
      </c>
      <c r="AV109" s="16">
        <v>0</v>
      </c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0</v>
      </c>
      <c r="BD109" s="16">
        <v>0</v>
      </c>
      <c r="BE109" s="16">
        <v>0</v>
      </c>
      <c r="BF109" s="16">
        <v>0</v>
      </c>
      <c r="BG109" s="16">
        <v>0</v>
      </c>
      <c r="BH109" s="16">
        <v>0</v>
      </c>
      <c r="BI109" s="16">
        <v>0</v>
      </c>
      <c r="BJ109" s="16">
        <v>0</v>
      </c>
      <c r="BK109" s="16">
        <v>0</v>
      </c>
      <c r="BL109" s="16">
        <v>0</v>
      </c>
      <c r="BM109" s="16">
        <v>0</v>
      </c>
      <c r="BN109" s="16">
        <v>0</v>
      </c>
      <c r="BO109" s="16">
        <v>0</v>
      </c>
      <c r="BP109" s="16">
        <v>0</v>
      </c>
      <c r="BQ109" s="16">
        <v>0</v>
      </c>
      <c r="BR109" s="16">
        <v>0</v>
      </c>
      <c r="BS109" s="207">
        <f t="shared" si="51"/>
        <v>0</v>
      </c>
      <c r="BT109" s="207">
        <f t="shared" si="52"/>
        <v>0</v>
      </c>
      <c r="BU109" s="207">
        <f t="shared" si="53"/>
        <v>0</v>
      </c>
      <c r="BV109" s="207">
        <f t="shared" si="47"/>
        <v>0</v>
      </c>
      <c r="BW109" s="207">
        <f t="shared" si="54"/>
        <v>0</v>
      </c>
      <c r="BX109" s="207">
        <f t="shared" si="55"/>
        <v>0</v>
      </c>
      <c r="BY109" s="207">
        <f t="shared" si="56"/>
        <v>32</v>
      </c>
      <c r="BZ109" s="207">
        <f t="shared" si="57"/>
        <v>0</v>
      </c>
      <c r="CA109" s="207">
        <f t="shared" si="58"/>
        <v>0</v>
      </c>
      <c r="CB109" s="207">
        <f t="shared" si="59"/>
        <v>0</v>
      </c>
      <c r="CC109" s="207">
        <f t="shared" si="60"/>
        <v>0</v>
      </c>
      <c r="CD109" s="207">
        <f t="shared" si="61"/>
        <v>0</v>
      </c>
      <c r="CE109" s="207">
        <f t="shared" si="62"/>
        <v>32</v>
      </c>
    </row>
    <row r="110" spans="1:83" ht="12" customHeight="1" x14ac:dyDescent="0.2">
      <c r="A110" s="6">
        <v>4</v>
      </c>
      <c r="B110" s="49" t="str">
        <f t="shared" si="48"/>
        <v>Torres Brousset Pacheco, Gutenberg AlexisVACACIONES</v>
      </c>
      <c r="C110" s="117" t="str">
        <f>J110</f>
        <v>Torres Brousset Pacheco, Gutenberg Alexis</v>
      </c>
      <c r="D110" s="49" t="str">
        <f>VLOOKUP(C110,Datos!$B$13:$C$83,2,0)</f>
        <v>CESADO</v>
      </c>
      <c r="E110" s="49" t="s">
        <v>209</v>
      </c>
      <c r="F110" s="49"/>
      <c r="G110" s="49" t="str">
        <f>IFERROR(VLOOKUP(I110,Datos!$J$2:$L$60,3,0),"OBSERVACIONES")</f>
        <v>OBSERVACIONES</v>
      </c>
      <c r="H110" s="49" t="s">
        <v>209</v>
      </c>
      <c r="I110" s="49" t="s">
        <v>243</v>
      </c>
      <c r="J110" s="49" t="s">
        <v>39</v>
      </c>
      <c r="K110" s="16">
        <v>0</v>
      </c>
      <c r="L110" s="16">
        <v>0</v>
      </c>
      <c r="M110" s="16">
        <v>0</v>
      </c>
      <c r="N110" s="16">
        <v>0</v>
      </c>
      <c r="O110" s="16">
        <v>0</v>
      </c>
      <c r="P110" s="16">
        <v>0</v>
      </c>
      <c r="Q110" s="16">
        <v>0</v>
      </c>
      <c r="R110" s="16">
        <v>0</v>
      </c>
      <c r="S110" s="16">
        <v>0</v>
      </c>
      <c r="T110" s="16">
        <v>0</v>
      </c>
      <c r="U110" s="16">
        <v>0</v>
      </c>
      <c r="V110" s="16">
        <v>0</v>
      </c>
      <c r="W110" s="16">
        <v>0</v>
      </c>
      <c r="X110" s="16">
        <v>0</v>
      </c>
      <c r="Y110" s="16">
        <v>0</v>
      </c>
      <c r="Z110" s="16">
        <v>0</v>
      </c>
      <c r="AA110" s="16">
        <v>24</v>
      </c>
      <c r="AB110" s="16">
        <v>0</v>
      </c>
      <c r="AC110" s="16">
        <v>0</v>
      </c>
      <c r="AD110" s="16">
        <v>0</v>
      </c>
      <c r="AE110" s="16">
        <v>0</v>
      </c>
      <c r="AF110" s="16">
        <v>0</v>
      </c>
      <c r="AG110" s="16">
        <v>0</v>
      </c>
      <c r="AH110" s="16">
        <v>0</v>
      </c>
      <c r="AI110" s="16">
        <v>0</v>
      </c>
      <c r="AJ110" s="16">
        <v>0</v>
      </c>
      <c r="AK110" s="16">
        <v>0</v>
      </c>
      <c r="AL110" s="16">
        <v>0</v>
      </c>
      <c r="AM110" s="16">
        <v>0</v>
      </c>
      <c r="AN110" s="16">
        <v>0</v>
      </c>
      <c r="AO110" s="16">
        <v>0</v>
      </c>
      <c r="AP110" s="16">
        <v>0</v>
      </c>
      <c r="AQ110" s="16">
        <v>0</v>
      </c>
      <c r="AR110" s="16">
        <v>0</v>
      </c>
      <c r="AS110" s="16">
        <v>0</v>
      </c>
      <c r="AT110" s="16">
        <v>0</v>
      </c>
      <c r="AU110" s="16">
        <v>0</v>
      </c>
      <c r="AV110" s="16">
        <v>0</v>
      </c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0</v>
      </c>
      <c r="BD110" s="16">
        <v>0</v>
      </c>
      <c r="BE110" s="16">
        <v>0</v>
      </c>
      <c r="BF110" s="16">
        <v>0</v>
      </c>
      <c r="BG110" s="16">
        <v>0</v>
      </c>
      <c r="BH110" s="16">
        <v>0</v>
      </c>
      <c r="BI110" s="16">
        <v>0</v>
      </c>
      <c r="BJ110" s="16">
        <v>0</v>
      </c>
      <c r="BK110" s="16">
        <v>0</v>
      </c>
      <c r="BL110" s="16">
        <v>0</v>
      </c>
      <c r="BM110" s="16">
        <v>0</v>
      </c>
      <c r="BN110" s="16">
        <v>0</v>
      </c>
      <c r="BO110" s="16">
        <v>0</v>
      </c>
      <c r="BP110" s="16">
        <v>0</v>
      </c>
      <c r="BQ110" s="16">
        <v>0</v>
      </c>
      <c r="BR110" s="16">
        <v>0</v>
      </c>
      <c r="BS110" s="207">
        <f t="shared" si="51"/>
        <v>0</v>
      </c>
      <c r="BT110" s="207">
        <f t="shared" si="52"/>
        <v>0</v>
      </c>
      <c r="BU110" s="207">
        <f t="shared" si="53"/>
        <v>0</v>
      </c>
      <c r="BV110" s="207">
        <f t="shared" si="47"/>
        <v>24</v>
      </c>
      <c r="BW110" s="207">
        <f t="shared" si="54"/>
        <v>0</v>
      </c>
      <c r="BX110" s="207">
        <f t="shared" si="55"/>
        <v>0</v>
      </c>
      <c r="BY110" s="207">
        <f t="shared" si="56"/>
        <v>0</v>
      </c>
      <c r="BZ110" s="207">
        <f t="shared" si="57"/>
        <v>0</v>
      </c>
      <c r="CA110" s="207">
        <f t="shared" si="58"/>
        <v>0</v>
      </c>
      <c r="CB110" s="207">
        <f t="shared" si="59"/>
        <v>0</v>
      </c>
      <c r="CC110" s="207">
        <f t="shared" si="60"/>
        <v>0</v>
      </c>
      <c r="CD110" s="207">
        <f t="shared" si="61"/>
        <v>0</v>
      </c>
      <c r="CE110" s="207">
        <f t="shared" si="62"/>
        <v>24</v>
      </c>
    </row>
    <row r="111" spans="1:83" ht="12" customHeight="1" x14ac:dyDescent="0.2">
      <c r="A111" s="6">
        <v>1</v>
      </c>
      <c r="B111" s="49" t="str">
        <f t="shared" si="48"/>
        <v>Torres Brousset Pacheco, Gutenberg AlexisNO FACT.</v>
      </c>
      <c r="C111" s="117" t="str">
        <f t="shared" si="50"/>
        <v>Torres Brousset Pacheco, Gutenberg Alexis</v>
      </c>
      <c r="D111" s="49" t="str">
        <f>VLOOKUP(C111,Datos!$B$13:$C$83,2,0)</f>
        <v>CESADO</v>
      </c>
      <c r="E111" s="50" t="s">
        <v>75</v>
      </c>
      <c r="F111" s="49"/>
      <c r="G111" s="49" t="str">
        <f>IFERROR(VLOOKUP(I111,Datos!$J$2:$L$60,3,0),"OBSERVACIONES")</f>
        <v>OBSERVACIONES</v>
      </c>
      <c r="H111" s="50" t="s">
        <v>75</v>
      </c>
      <c r="I111" s="49" t="s">
        <v>131</v>
      </c>
      <c r="J111" s="49" t="s">
        <v>39</v>
      </c>
      <c r="K111" s="16">
        <v>0</v>
      </c>
      <c r="L111" s="16">
        <v>0</v>
      </c>
      <c r="M111" s="16">
        <v>0</v>
      </c>
      <c r="N111" s="16">
        <v>0</v>
      </c>
      <c r="O111" s="16">
        <v>8</v>
      </c>
      <c r="P111" s="16">
        <v>24</v>
      </c>
      <c r="Q111" s="16">
        <v>40</v>
      </c>
      <c r="R111" s="16">
        <v>40</v>
      </c>
      <c r="S111" s="16">
        <v>40</v>
      </c>
      <c r="T111" s="16">
        <v>16</v>
      </c>
      <c r="U111" s="16">
        <v>8</v>
      </c>
      <c r="V111" s="16">
        <v>0</v>
      </c>
      <c r="W111" s="16">
        <v>0</v>
      </c>
      <c r="X111" s="16">
        <v>0</v>
      </c>
      <c r="Y111" s="16">
        <v>0</v>
      </c>
      <c r="Z111" s="16">
        <v>0</v>
      </c>
      <c r="AA111" s="16">
        <v>0</v>
      </c>
      <c r="AB111" s="16">
        <v>0</v>
      </c>
      <c r="AC111" s="16">
        <v>0</v>
      </c>
      <c r="AD111" s="16">
        <v>8</v>
      </c>
      <c r="AE111" s="16">
        <v>0</v>
      </c>
      <c r="AF111" s="16">
        <v>0</v>
      </c>
      <c r="AG111" s="16">
        <v>0</v>
      </c>
      <c r="AH111" s="16">
        <v>0</v>
      </c>
      <c r="AI111" s="16">
        <v>0</v>
      </c>
      <c r="AJ111" s="16">
        <v>0</v>
      </c>
      <c r="AK111" s="16">
        <v>0</v>
      </c>
      <c r="AL111" s="16">
        <v>16</v>
      </c>
      <c r="AM111" s="16">
        <v>0</v>
      </c>
      <c r="AN111" s="16">
        <v>8</v>
      </c>
      <c r="AO111" s="16">
        <v>0</v>
      </c>
      <c r="AP111" s="16">
        <v>0</v>
      </c>
      <c r="AQ111" s="16">
        <v>0</v>
      </c>
      <c r="AR111" s="16">
        <v>0</v>
      </c>
      <c r="AS111" s="16">
        <v>0</v>
      </c>
      <c r="AT111" s="16">
        <v>0</v>
      </c>
      <c r="AU111" s="16">
        <v>0</v>
      </c>
      <c r="AV111" s="16">
        <v>0</v>
      </c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0</v>
      </c>
      <c r="BD111" s="16">
        <v>0</v>
      </c>
      <c r="BE111" s="16">
        <v>0</v>
      </c>
      <c r="BF111" s="16">
        <v>0</v>
      </c>
      <c r="BG111" s="16">
        <v>0</v>
      </c>
      <c r="BH111" s="16">
        <v>0</v>
      </c>
      <c r="BI111" s="16">
        <v>0</v>
      </c>
      <c r="BJ111" s="16">
        <v>0</v>
      </c>
      <c r="BK111" s="16">
        <v>0</v>
      </c>
      <c r="BL111" s="16">
        <v>0</v>
      </c>
      <c r="BM111" s="16">
        <v>0</v>
      </c>
      <c r="BN111" s="16">
        <v>0</v>
      </c>
      <c r="BO111" s="16">
        <v>0</v>
      </c>
      <c r="BP111" s="16">
        <v>0</v>
      </c>
      <c r="BQ111" s="16">
        <v>0</v>
      </c>
      <c r="BR111" s="16">
        <v>0</v>
      </c>
      <c r="BS111" s="207">
        <f t="shared" si="51"/>
        <v>8</v>
      </c>
      <c r="BT111" s="207">
        <f t="shared" si="52"/>
        <v>160</v>
      </c>
      <c r="BU111" s="207">
        <f t="shared" si="53"/>
        <v>8</v>
      </c>
      <c r="BV111" s="207">
        <f t="shared" si="47"/>
        <v>0</v>
      </c>
      <c r="BW111" s="207">
        <f t="shared" si="54"/>
        <v>8</v>
      </c>
      <c r="BX111" s="207">
        <f t="shared" si="55"/>
        <v>16</v>
      </c>
      <c r="BY111" s="207">
        <f t="shared" si="56"/>
        <v>8</v>
      </c>
      <c r="BZ111" s="207">
        <f t="shared" si="57"/>
        <v>0</v>
      </c>
      <c r="CA111" s="207">
        <f t="shared" si="58"/>
        <v>0</v>
      </c>
      <c r="CB111" s="207">
        <f t="shared" si="59"/>
        <v>0</v>
      </c>
      <c r="CC111" s="207">
        <f t="shared" si="60"/>
        <v>0</v>
      </c>
      <c r="CD111" s="207">
        <f t="shared" si="61"/>
        <v>0</v>
      </c>
      <c r="CE111" s="207">
        <f t="shared" si="62"/>
        <v>208</v>
      </c>
    </row>
    <row r="112" spans="1:83" ht="12" customHeight="1" x14ac:dyDescent="0.2">
      <c r="A112" s="6">
        <v>3</v>
      </c>
      <c r="B112" s="49" t="str">
        <f>C112&amp;H112</f>
        <v>Castillo Cardenas Jose HildebrandoP0005</v>
      </c>
      <c r="C112" s="117" t="str">
        <f>J112</f>
        <v>Castillo Cardenas Jose Hildebrando</v>
      </c>
      <c r="D112" s="49" t="str">
        <f>VLOOKUP(C112,Datos!$B$13:$C$83,2,0)</f>
        <v>CESADO</v>
      </c>
      <c r="E112" s="49" t="s">
        <v>76</v>
      </c>
      <c r="F112" s="49" t="str">
        <f>IFERROR(VLOOKUP(H112,Datos!$J$2:$L$60,3,0),"OBSERVACIONES")</f>
        <v>CERRADO</v>
      </c>
      <c r="G112" s="49"/>
      <c r="H112" s="49" t="s">
        <v>77</v>
      </c>
      <c r="I112" s="49" t="s">
        <v>115</v>
      </c>
      <c r="J112" s="49" t="s">
        <v>944</v>
      </c>
      <c r="K112" s="16">
        <v>0</v>
      </c>
      <c r="L112" s="16">
        <v>0</v>
      </c>
      <c r="M112" s="16">
        <v>0</v>
      </c>
      <c r="N112" s="16">
        <v>0</v>
      </c>
      <c r="O112" s="16">
        <v>0</v>
      </c>
      <c r="P112" s="16">
        <v>0</v>
      </c>
      <c r="Q112" s="16">
        <v>0</v>
      </c>
      <c r="R112" s="16">
        <v>0</v>
      </c>
      <c r="S112" s="16">
        <v>0</v>
      </c>
      <c r="T112" s="16">
        <v>0</v>
      </c>
      <c r="U112" s="16">
        <v>0</v>
      </c>
      <c r="V112" s="16">
        <v>0</v>
      </c>
      <c r="W112" s="16">
        <v>0</v>
      </c>
      <c r="X112" s="16">
        <v>0</v>
      </c>
      <c r="Y112" s="16">
        <v>0</v>
      </c>
      <c r="Z112" s="16">
        <v>0</v>
      </c>
      <c r="AA112" s="16">
        <v>0</v>
      </c>
      <c r="AB112" s="16">
        <v>0</v>
      </c>
      <c r="AC112" s="16">
        <v>0</v>
      </c>
      <c r="AD112" s="16">
        <v>0</v>
      </c>
      <c r="AE112" s="16">
        <v>0</v>
      </c>
      <c r="AF112" s="16">
        <v>0</v>
      </c>
      <c r="AG112" s="16">
        <v>0</v>
      </c>
      <c r="AH112" s="16">
        <v>0</v>
      </c>
      <c r="AI112" s="16">
        <v>0</v>
      </c>
      <c r="AJ112" s="16">
        <v>0</v>
      </c>
      <c r="AK112" s="16">
        <v>0</v>
      </c>
      <c r="AL112" s="16">
        <v>0</v>
      </c>
      <c r="AM112" s="16">
        <v>0</v>
      </c>
      <c r="AN112" s="16">
        <v>0</v>
      </c>
      <c r="AO112" s="16">
        <v>0</v>
      </c>
      <c r="AP112" s="16">
        <v>0</v>
      </c>
      <c r="AQ112" s="16">
        <v>0</v>
      </c>
      <c r="AR112" s="16">
        <v>0</v>
      </c>
      <c r="AS112" s="16">
        <v>0</v>
      </c>
      <c r="AT112" s="16">
        <v>0</v>
      </c>
      <c r="AU112" s="16">
        <v>0</v>
      </c>
      <c r="AV112" s="16">
        <v>0</v>
      </c>
      <c r="AW112" s="16">
        <v>0</v>
      </c>
      <c r="AX112" s="16">
        <v>0</v>
      </c>
      <c r="AY112" s="16">
        <v>0</v>
      </c>
      <c r="AZ112" s="16">
        <v>36</v>
      </c>
      <c r="BA112" s="16">
        <v>0</v>
      </c>
      <c r="BB112" s="16">
        <v>6</v>
      </c>
      <c r="BC112" s="16">
        <v>6</v>
      </c>
      <c r="BD112" s="16">
        <v>0</v>
      </c>
      <c r="BE112" s="16">
        <v>0</v>
      </c>
      <c r="BF112" s="16">
        <v>0</v>
      </c>
      <c r="BG112" s="16">
        <v>0</v>
      </c>
      <c r="BH112" s="16">
        <v>0</v>
      </c>
      <c r="BI112" s="16">
        <v>0</v>
      </c>
      <c r="BJ112" s="16">
        <v>0</v>
      </c>
      <c r="BK112" s="16">
        <v>0</v>
      </c>
      <c r="BL112" s="16">
        <v>0</v>
      </c>
      <c r="BM112" s="16">
        <v>0</v>
      </c>
      <c r="BN112" s="16">
        <v>0</v>
      </c>
      <c r="BO112" s="16">
        <v>0</v>
      </c>
      <c r="BP112" s="16">
        <v>0</v>
      </c>
      <c r="BQ112" s="16">
        <v>0</v>
      </c>
      <c r="BR112" s="16">
        <v>0</v>
      </c>
      <c r="BS112" s="207">
        <f t="shared" si="51"/>
        <v>0</v>
      </c>
      <c r="BT112" s="207">
        <f t="shared" si="52"/>
        <v>0</v>
      </c>
      <c r="BU112" s="207">
        <f t="shared" si="53"/>
        <v>0</v>
      </c>
      <c r="BV112" s="207">
        <f t="shared" si="47"/>
        <v>0</v>
      </c>
      <c r="BW112" s="207">
        <f t="shared" si="54"/>
        <v>0</v>
      </c>
      <c r="BX112" s="207">
        <f t="shared" si="55"/>
        <v>0</v>
      </c>
      <c r="BY112" s="207">
        <f t="shared" si="56"/>
        <v>0</v>
      </c>
      <c r="BZ112" s="207">
        <f t="shared" si="57"/>
        <v>0</v>
      </c>
      <c r="CA112" s="207">
        <f t="shared" si="58"/>
        <v>48</v>
      </c>
      <c r="CB112" s="207">
        <f t="shared" si="59"/>
        <v>0</v>
      </c>
      <c r="CC112" s="207">
        <f t="shared" si="60"/>
        <v>0</v>
      </c>
      <c r="CD112" s="207">
        <f t="shared" si="61"/>
        <v>0</v>
      </c>
      <c r="CE112" s="207">
        <f t="shared" si="62"/>
        <v>48</v>
      </c>
    </row>
    <row r="113" spans="1:83" ht="12" customHeight="1" x14ac:dyDescent="0.2">
      <c r="A113" s="6">
        <v>3</v>
      </c>
      <c r="B113" s="49" t="str">
        <f t="shared" si="48"/>
        <v>Salazar Rojas Javier FernandoP0005</v>
      </c>
      <c r="C113" s="117" t="str">
        <f t="shared" si="50"/>
        <v>Salazar Rojas Javier Fernando</v>
      </c>
      <c r="D113" s="49" t="str">
        <f>VLOOKUP(C113,Datos!$B$13:$C$83,2,0)</f>
        <v>CESADO</v>
      </c>
      <c r="E113" s="49" t="s">
        <v>76</v>
      </c>
      <c r="F113" s="49" t="str">
        <f>IFERROR(VLOOKUP(H113,Datos!$J$2:$L$60,3,0),"OBSERVACIONES")</f>
        <v>CERRADO</v>
      </c>
      <c r="G113" s="49"/>
      <c r="H113" s="49" t="s">
        <v>77</v>
      </c>
      <c r="I113" s="49" t="s">
        <v>115</v>
      </c>
      <c r="J113" s="49" t="s">
        <v>38</v>
      </c>
      <c r="K113" s="16">
        <v>0</v>
      </c>
      <c r="L113" s="16">
        <v>0</v>
      </c>
      <c r="M113" s="16">
        <v>0</v>
      </c>
      <c r="N113" s="16">
        <v>0</v>
      </c>
      <c r="O113" s="16">
        <v>0</v>
      </c>
      <c r="P113" s="16">
        <v>24</v>
      </c>
      <c r="Q113" s="16">
        <v>40</v>
      </c>
      <c r="R113" s="16">
        <v>40</v>
      </c>
      <c r="S113" s="16">
        <v>40</v>
      </c>
      <c r="T113" s="16">
        <v>16</v>
      </c>
      <c r="U113" s="16">
        <v>24</v>
      </c>
      <c r="V113" s="16">
        <v>40</v>
      </c>
      <c r="W113" s="16">
        <v>40</v>
      </c>
      <c r="X113" s="16">
        <v>40</v>
      </c>
      <c r="Y113" s="16">
        <v>40</v>
      </c>
      <c r="Z113" s="16">
        <v>40</v>
      </c>
      <c r="AA113" s="16">
        <v>24</v>
      </c>
      <c r="AB113" s="16">
        <v>16</v>
      </c>
      <c r="AC113" s="16">
        <v>32</v>
      </c>
      <c r="AD113" s="16">
        <v>32</v>
      </c>
      <c r="AE113" s="16">
        <v>40</v>
      </c>
      <c r="AF113" s="16">
        <v>24</v>
      </c>
      <c r="AG113" s="16">
        <v>0</v>
      </c>
      <c r="AH113" s="16">
        <v>0</v>
      </c>
      <c r="AI113" s="16">
        <v>0</v>
      </c>
      <c r="AJ113" s="16">
        <v>0</v>
      </c>
      <c r="AK113" s="16">
        <v>0</v>
      </c>
      <c r="AL113" s="16">
        <v>0</v>
      </c>
      <c r="AM113" s="16">
        <v>0</v>
      </c>
      <c r="AN113" s="16">
        <v>0</v>
      </c>
      <c r="AO113" s="16">
        <v>0</v>
      </c>
      <c r="AP113" s="16">
        <v>0</v>
      </c>
      <c r="AQ113" s="16">
        <v>0</v>
      </c>
      <c r="AR113" s="16">
        <v>0</v>
      </c>
      <c r="AS113" s="16">
        <v>0</v>
      </c>
      <c r="AT113" s="16">
        <v>0</v>
      </c>
      <c r="AU113" s="16">
        <v>0</v>
      </c>
      <c r="AV113" s="16">
        <v>0</v>
      </c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0</v>
      </c>
      <c r="BD113" s="16">
        <v>0</v>
      </c>
      <c r="BE113" s="16">
        <v>0</v>
      </c>
      <c r="BF113" s="16">
        <v>0</v>
      </c>
      <c r="BG113" s="16">
        <v>0</v>
      </c>
      <c r="BH113" s="16">
        <v>0</v>
      </c>
      <c r="BI113" s="16">
        <v>0</v>
      </c>
      <c r="BJ113" s="16">
        <v>0</v>
      </c>
      <c r="BK113" s="16">
        <v>0</v>
      </c>
      <c r="BL113" s="16">
        <v>0</v>
      </c>
      <c r="BM113" s="16">
        <v>0</v>
      </c>
      <c r="BN113" s="16">
        <v>0</v>
      </c>
      <c r="BO113" s="16">
        <v>0</v>
      </c>
      <c r="BP113" s="16">
        <v>0</v>
      </c>
      <c r="BQ113" s="16">
        <v>0</v>
      </c>
      <c r="BR113" s="16">
        <v>0</v>
      </c>
      <c r="BS113" s="207">
        <f t="shared" si="51"/>
        <v>0</v>
      </c>
      <c r="BT113" s="207">
        <f t="shared" si="52"/>
        <v>160</v>
      </c>
      <c r="BU113" s="207">
        <f t="shared" si="53"/>
        <v>184</v>
      </c>
      <c r="BV113" s="207">
        <f t="shared" si="47"/>
        <v>112</v>
      </c>
      <c r="BW113" s="207">
        <f t="shared" si="54"/>
        <v>96</v>
      </c>
      <c r="BX113" s="207">
        <f t="shared" si="55"/>
        <v>0</v>
      </c>
      <c r="BY113" s="207">
        <f t="shared" si="56"/>
        <v>0</v>
      </c>
      <c r="BZ113" s="207">
        <f t="shared" si="57"/>
        <v>0</v>
      </c>
      <c r="CA113" s="207">
        <f t="shared" si="58"/>
        <v>0</v>
      </c>
      <c r="CB113" s="207">
        <f t="shared" si="59"/>
        <v>0</v>
      </c>
      <c r="CC113" s="207">
        <f t="shared" si="60"/>
        <v>0</v>
      </c>
      <c r="CD113" s="207">
        <f t="shared" si="61"/>
        <v>0</v>
      </c>
      <c r="CE113" s="207">
        <f t="shared" si="62"/>
        <v>552</v>
      </c>
    </row>
    <row r="114" spans="1:83" ht="12" customHeight="1" x14ac:dyDescent="0.2">
      <c r="A114" s="6">
        <v>3</v>
      </c>
      <c r="B114" s="49" t="str">
        <f t="shared" si="48"/>
        <v>Salazar Rojas Javier FernandoMP004</v>
      </c>
      <c r="C114" s="117" t="str">
        <f>J114</f>
        <v>Salazar Rojas Javier Fernando</v>
      </c>
      <c r="D114" s="49" t="str">
        <f>VLOOKUP(C114,Datos!$B$13:$C$83,2,0)</f>
        <v>CESADO</v>
      </c>
      <c r="E114" s="49" t="s">
        <v>44</v>
      </c>
      <c r="F114" s="49" t="str">
        <f>IFERROR(VLOOKUP(H114,Datos!$J$2:$L$60,3,0),"OBSERVACIONES")</f>
        <v>PROCESO</v>
      </c>
      <c r="G114" s="49"/>
      <c r="H114" s="49" t="s">
        <v>42</v>
      </c>
      <c r="I114" s="49" t="s">
        <v>304</v>
      </c>
      <c r="J114" s="49" t="s">
        <v>38</v>
      </c>
      <c r="K114" s="16">
        <v>0</v>
      </c>
      <c r="L114" s="16">
        <v>0</v>
      </c>
      <c r="M114" s="16">
        <v>0</v>
      </c>
      <c r="N114" s="16">
        <v>0</v>
      </c>
      <c r="O114" s="16">
        <v>0</v>
      </c>
      <c r="P114" s="16">
        <v>0</v>
      </c>
      <c r="Q114" s="16">
        <v>0</v>
      </c>
      <c r="R114" s="16">
        <v>0</v>
      </c>
      <c r="S114" s="16">
        <v>0</v>
      </c>
      <c r="T114" s="16">
        <v>0</v>
      </c>
      <c r="U114" s="16">
        <v>0</v>
      </c>
      <c r="V114" s="16">
        <v>0</v>
      </c>
      <c r="W114" s="16">
        <v>0</v>
      </c>
      <c r="X114" s="16">
        <v>0</v>
      </c>
      <c r="Y114" s="16">
        <v>0</v>
      </c>
      <c r="Z114" s="16">
        <v>0</v>
      </c>
      <c r="AA114" s="16">
        <v>0</v>
      </c>
      <c r="AB114" s="16">
        <v>0</v>
      </c>
      <c r="AC114" s="16">
        <v>0</v>
      </c>
      <c r="AD114" s="16">
        <v>0</v>
      </c>
      <c r="AE114" s="16">
        <v>0</v>
      </c>
      <c r="AF114" s="16">
        <v>0</v>
      </c>
      <c r="AG114" s="16">
        <v>40</v>
      </c>
      <c r="AH114" s="16">
        <v>24</v>
      </c>
      <c r="AI114" s="16">
        <v>16</v>
      </c>
      <c r="AJ114" s="16">
        <v>0</v>
      </c>
      <c r="AK114" s="16">
        <v>0</v>
      </c>
      <c r="AL114" s="16">
        <v>0</v>
      </c>
      <c r="AM114" s="16">
        <v>0</v>
      </c>
      <c r="AN114" s="16">
        <v>0</v>
      </c>
      <c r="AO114" s="16">
        <v>0</v>
      </c>
      <c r="AP114" s="16">
        <v>0</v>
      </c>
      <c r="AQ114" s="16">
        <v>0</v>
      </c>
      <c r="AR114" s="16">
        <v>0</v>
      </c>
      <c r="AS114" s="16">
        <v>0</v>
      </c>
      <c r="AT114" s="16">
        <v>0</v>
      </c>
      <c r="AU114" s="16">
        <v>0</v>
      </c>
      <c r="AV114" s="16">
        <v>0</v>
      </c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0</v>
      </c>
      <c r="BD114" s="16">
        <v>0</v>
      </c>
      <c r="BE114" s="16">
        <v>0</v>
      </c>
      <c r="BF114" s="16">
        <v>0</v>
      </c>
      <c r="BG114" s="16">
        <v>0</v>
      </c>
      <c r="BH114" s="16">
        <v>0</v>
      </c>
      <c r="BI114" s="16">
        <v>0</v>
      </c>
      <c r="BJ114" s="16">
        <v>0</v>
      </c>
      <c r="BK114" s="16">
        <v>0</v>
      </c>
      <c r="BL114" s="16">
        <v>0</v>
      </c>
      <c r="BM114" s="16">
        <v>0</v>
      </c>
      <c r="BN114" s="16">
        <v>0</v>
      </c>
      <c r="BO114" s="16">
        <v>0</v>
      </c>
      <c r="BP114" s="16">
        <v>0</v>
      </c>
      <c r="BQ114" s="16">
        <v>0</v>
      </c>
      <c r="BR114" s="16">
        <v>0</v>
      </c>
      <c r="BS114" s="207">
        <f t="shared" si="51"/>
        <v>0</v>
      </c>
      <c r="BT114" s="207">
        <f t="shared" si="52"/>
        <v>0</v>
      </c>
      <c r="BU114" s="207">
        <f t="shared" si="53"/>
        <v>0</v>
      </c>
      <c r="BV114" s="207">
        <f t="shared" si="47"/>
        <v>0</v>
      </c>
      <c r="BW114" s="207">
        <f t="shared" si="54"/>
        <v>64</v>
      </c>
      <c r="BX114" s="207">
        <f t="shared" si="55"/>
        <v>16</v>
      </c>
      <c r="BY114" s="207">
        <f t="shared" si="56"/>
        <v>0</v>
      </c>
      <c r="BZ114" s="207">
        <f t="shared" si="57"/>
        <v>0</v>
      </c>
      <c r="CA114" s="207">
        <f t="shared" si="58"/>
        <v>0</v>
      </c>
      <c r="CB114" s="207">
        <f t="shared" si="59"/>
        <v>0</v>
      </c>
      <c r="CC114" s="207">
        <f t="shared" si="60"/>
        <v>0</v>
      </c>
      <c r="CD114" s="207">
        <f t="shared" si="61"/>
        <v>0</v>
      </c>
      <c r="CE114" s="207">
        <f t="shared" si="62"/>
        <v>80</v>
      </c>
    </row>
    <row r="115" spans="1:83" ht="12" customHeight="1" x14ac:dyDescent="0.2">
      <c r="A115" s="6">
        <v>1</v>
      </c>
      <c r="B115" s="49" t="str">
        <f t="shared" si="48"/>
        <v>Salazar Rojas Javier FernandoNO FACT.</v>
      </c>
      <c r="C115" s="117" t="str">
        <f t="shared" si="50"/>
        <v>Salazar Rojas Javier Fernando</v>
      </c>
      <c r="D115" s="49" t="str">
        <f>VLOOKUP(C115,Datos!$B$13:$C$83,2,0)</f>
        <v>CESADO</v>
      </c>
      <c r="E115" s="50" t="s">
        <v>75</v>
      </c>
      <c r="F115" s="49"/>
      <c r="G115" s="49" t="str">
        <f>IFERROR(VLOOKUP(H115,Datos!$J$2:$L$60,3,0),"OBSERVACIONES")</f>
        <v>OBSERVACIONES</v>
      </c>
      <c r="H115" s="50" t="s">
        <v>75</v>
      </c>
      <c r="I115" s="49" t="s">
        <v>131</v>
      </c>
      <c r="J115" s="49" t="s">
        <v>38</v>
      </c>
      <c r="K115" s="16">
        <v>0</v>
      </c>
      <c r="L115" s="16">
        <v>0</v>
      </c>
      <c r="M115" s="16">
        <v>0</v>
      </c>
      <c r="N115" s="16">
        <v>0</v>
      </c>
      <c r="O115" s="16">
        <v>0</v>
      </c>
      <c r="P115" s="16">
        <v>0</v>
      </c>
      <c r="Q115" s="16">
        <v>0</v>
      </c>
      <c r="R115" s="16">
        <v>0</v>
      </c>
      <c r="S115" s="16">
        <v>0</v>
      </c>
      <c r="T115" s="16">
        <v>0</v>
      </c>
      <c r="U115" s="16">
        <v>0</v>
      </c>
      <c r="V115" s="16">
        <v>0</v>
      </c>
      <c r="W115" s="16">
        <v>0</v>
      </c>
      <c r="X115" s="16">
        <v>0</v>
      </c>
      <c r="Y115" s="16">
        <v>0</v>
      </c>
      <c r="Z115" s="16">
        <v>0</v>
      </c>
      <c r="AA115" s="16">
        <v>0</v>
      </c>
      <c r="AB115" s="16">
        <v>24</v>
      </c>
      <c r="AC115" s="16">
        <v>8</v>
      </c>
      <c r="AD115" s="16">
        <v>8</v>
      </c>
      <c r="AE115" s="16">
        <v>0</v>
      </c>
      <c r="AF115" s="16">
        <v>8</v>
      </c>
      <c r="AG115" s="16">
        <v>0</v>
      </c>
      <c r="AH115" s="16">
        <v>0</v>
      </c>
      <c r="AI115" s="16">
        <v>0</v>
      </c>
      <c r="AJ115" s="16">
        <v>0</v>
      </c>
      <c r="AK115" s="16">
        <v>0</v>
      </c>
      <c r="AL115" s="16">
        <v>0</v>
      </c>
      <c r="AM115" s="16">
        <v>0</v>
      </c>
      <c r="AN115" s="16">
        <v>0</v>
      </c>
      <c r="AO115" s="16">
        <v>0</v>
      </c>
      <c r="AP115" s="16">
        <v>0</v>
      </c>
      <c r="AQ115" s="16">
        <v>0</v>
      </c>
      <c r="AR115" s="16">
        <v>0</v>
      </c>
      <c r="AS115" s="16">
        <v>0</v>
      </c>
      <c r="AT115" s="16">
        <v>0</v>
      </c>
      <c r="AU115" s="16">
        <v>0</v>
      </c>
      <c r="AV115" s="16">
        <v>0</v>
      </c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0</v>
      </c>
      <c r="BD115" s="16">
        <v>0</v>
      </c>
      <c r="BE115" s="16">
        <v>0</v>
      </c>
      <c r="BF115" s="16">
        <v>0</v>
      </c>
      <c r="BG115" s="16">
        <v>0</v>
      </c>
      <c r="BH115" s="16">
        <v>0</v>
      </c>
      <c r="BI115" s="16">
        <v>0</v>
      </c>
      <c r="BJ115" s="16">
        <v>0</v>
      </c>
      <c r="BK115" s="16">
        <v>0</v>
      </c>
      <c r="BL115" s="16">
        <v>0</v>
      </c>
      <c r="BM115" s="16">
        <v>0</v>
      </c>
      <c r="BN115" s="16">
        <v>0</v>
      </c>
      <c r="BO115" s="16">
        <v>0</v>
      </c>
      <c r="BP115" s="16">
        <v>0</v>
      </c>
      <c r="BQ115" s="16">
        <v>0</v>
      </c>
      <c r="BR115" s="16">
        <v>0</v>
      </c>
      <c r="BS115" s="207">
        <f t="shared" si="51"/>
        <v>0</v>
      </c>
      <c r="BT115" s="207">
        <f t="shared" si="52"/>
        <v>0</v>
      </c>
      <c r="BU115" s="207">
        <f t="shared" si="53"/>
        <v>0</v>
      </c>
      <c r="BV115" s="207">
        <f t="shared" si="47"/>
        <v>32</v>
      </c>
      <c r="BW115" s="207">
        <f t="shared" si="54"/>
        <v>16</v>
      </c>
      <c r="BX115" s="207">
        <f t="shared" si="55"/>
        <v>0</v>
      </c>
      <c r="BY115" s="207">
        <f t="shared" si="56"/>
        <v>0</v>
      </c>
      <c r="BZ115" s="207">
        <f t="shared" si="57"/>
        <v>0</v>
      </c>
      <c r="CA115" s="207">
        <f t="shared" si="58"/>
        <v>0</v>
      </c>
      <c r="CB115" s="207">
        <f t="shared" si="59"/>
        <v>0</v>
      </c>
      <c r="CC115" s="207">
        <f t="shared" si="60"/>
        <v>0</v>
      </c>
      <c r="CD115" s="207">
        <f t="shared" si="61"/>
        <v>0</v>
      </c>
      <c r="CE115" s="207">
        <f t="shared" si="62"/>
        <v>48</v>
      </c>
    </row>
    <row r="116" spans="1:83" ht="12" customHeight="1" x14ac:dyDescent="0.2">
      <c r="A116" s="6">
        <v>4</v>
      </c>
      <c r="B116" s="49" t="str">
        <f t="shared" si="48"/>
        <v>Torres Gonzales Rogger AdriánVACACIONES</v>
      </c>
      <c r="C116" s="117" t="str">
        <f>J116</f>
        <v>Torres Gonzales Rogger Adrián</v>
      </c>
      <c r="D116" s="49" t="str">
        <f>VLOOKUP(C116,Datos!$B$13:$C$83,2,0)</f>
        <v>VIGENTE</v>
      </c>
      <c r="E116" s="50" t="s">
        <v>209</v>
      </c>
      <c r="F116" s="49"/>
      <c r="G116" s="49" t="str">
        <f>IFERROR(VLOOKUP(H116,Datos!$J$2:$L$60,3,0),"OBSERVACIONES")</f>
        <v>OBSERVACIONES</v>
      </c>
      <c r="H116" s="50" t="s">
        <v>209</v>
      </c>
      <c r="I116" s="49" t="s">
        <v>243</v>
      </c>
      <c r="J116" s="49" t="s">
        <v>25</v>
      </c>
      <c r="K116" s="16">
        <v>0</v>
      </c>
      <c r="L116" s="16">
        <v>0</v>
      </c>
      <c r="M116" s="16">
        <v>0</v>
      </c>
      <c r="N116" s="16">
        <v>0</v>
      </c>
      <c r="O116" s="16">
        <v>0</v>
      </c>
      <c r="P116" s="16">
        <v>0</v>
      </c>
      <c r="Q116" s="16">
        <v>0</v>
      </c>
      <c r="R116" s="16">
        <v>0</v>
      </c>
      <c r="S116" s="16">
        <v>0</v>
      </c>
      <c r="T116" s="16">
        <v>0</v>
      </c>
      <c r="U116" s="16">
        <v>0</v>
      </c>
      <c r="V116" s="16">
        <v>0</v>
      </c>
      <c r="W116" s="16">
        <v>0</v>
      </c>
      <c r="X116" s="16">
        <v>0</v>
      </c>
      <c r="Y116" s="16">
        <v>0</v>
      </c>
      <c r="Z116" s="16">
        <v>0</v>
      </c>
      <c r="AA116" s="16">
        <v>0</v>
      </c>
      <c r="AB116" s="16">
        <v>0</v>
      </c>
      <c r="AC116" s="16">
        <v>0</v>
      </c>
      <c r="AD116" s="16">
        <v>0</v>
      </c>
      <c r="AE116" s="16">
        <v>0</v>
      </c>
      <c r="AF116" s="16">
        <v>0</v>
      </c>
      <c r="AG116" s="16">
        <v>0</v>
      </c>
      <c r="AH116" s="16">
        <v>0</v>
      </c>
      <c r="AI116" s="16">
        <v>0</v>
      </c>
      <c r="AJ116" s="16">
        <v>0</v>
      </c>
      <c r="AK116" s="16">
        <v>0</v>
      </c>
      <c r="AL116" s="16">
        <v>0</v>
      </c>
      <c r="AM116" s="16">
        <v>0</v>
      </c>
      <c r="AN116" s="16">
        <v>0</v>
      </c>
      <c r="AO116" s="16">
        <v>0</v>
      </c>
      <c r="AP116" s="16">
        <v>0</v>
      </c>
      <c r="AQ116" s="16">
        <v>0</v>
      </c>
      <c r="AR116" s="16">
        <v>0</v>
      </c>
      <c r="AS116" s="16">
        <v>0</v>
      </c>
      <c r="AT116" s="16">
        <v>0</v>
      </c>
      <c r="AU116" s="16">
        <v>32</v>
      </c>
      <c r="AV116" s="16">
        <v>8</v>
      </c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0</v>
      </c>
      <c r="BD116" s="16">
        <v>0</v>
      </c>
      <c r="BE116" s="16">
        <v>0</v>
      </c>
      <c r="BF116" s="16">
        <v>0</v>
      </c>
      <c r="BG116" s="16">
        <v>0</v>
      </c>
      <c r="BH116" s="16">
        <v>0</v>
      </c>
      <c r="BI116" s="16">
        <v>0</v>
      </c>
      <c r="BJ116" s="16">
        <v>0</v>
      </c>
      <c r="BK116" s="16">
        <v>0</v>
      </c>
      <c r="BL116" s="16">
        <v>0</v>
      </c>
      <c r="BM116" s="16">
        <v>0</v>
      </c>
      <c r="BN116" s="16">
        <v>0</v>
      </c>
      <c r="BO116" s="16">
        <v>0</v>
      </c>
      <c r="BP116" s="16">
        <v>0</v>
      </c>
      <c r="BQ116" s="16">
        <v>0</v>
      </c>
      <c r="BR116" s="16">
        <v>0</v>
      </c>
      <c r="BS116" s="207">
        <f t="shared" si="51"/>
        <v>0</v>
      </c>
      <c r="BT116" s="207">
        <f t="shared" si="52"/>
        <v>0</v>
      </c>
      <c r="BU116" s="207">
        <f t="shared" si="53"/>
        <v>0</v>
      </c>
      <c r="BV116" s="207">
        <f t="shared" si="47"/>
        <v>0</v>
      </c>
      <c r="BW116" s="207">
        <f t="shared" si="54"/>
        <v>0</v>
      </c>
      <c r="BX116" s="207">
        <f t="shared" si="55"/>
        <v>0</v>
      </c>
      <c r="BY116" s="207">
        <f t="shared" si="56"/>
        <v>0</v>
      </c>
      <c r="BZ116" s="207">
        <f t="shared" si="57"/>
        <v>40</v>
      </c>
      <c r="CA116" s="207">
        <f t="shared" si="58"/>
        <v>0</v>
      </c>
      <c r="CB116" s="207">
        <f t="shared" si="59"/>
        <v>0</v>
      </c>
      <c r="CC116" s="207">
        <f t="shared" si="60"/>
        <v>0</v>
      </c>
      <c r="CD116" s="207">
        <f t="shared" si="61"/>
        <v>0</v>
      </c>
      <c r="CE116" s="207">
        <f t="shared" si="62"/>
        <v>40</v>
      </c>
    </row>
    <row r="117" spans="1:83" ht="12" customHeight="1" x14ac:dyDescent="0.2">
      <c r="A117" s="6">
        <v>5</v>
      </c>
      <c r="B117" s="49" t="str">
        <f t="shared" si="48"/>
        <v>Torres Gonzales Rogger AdriánINASISTENCIAS</v>
      </c>
      <c r="C117" s="117" t="str">
        <f t="shared" si="50"/>
        <v>Torres Gonzales Rogger Adrián</v>
      </c>
      <c r="D117" s="49" t="str">
        <f>VLOOKUP(C117,Datos!$B$13:$C$83,2,0)</f>
        <v>VIGENTE</v>
      </c>
      <c r="E117" s="50" t="s">
        <v>208</v>
      </c>
      <c r="F117" s="49"/>
      <c r="G117" s="49" t="str">
        <f>IFERROR(VLOOKUP(H117,Datos!$J$2:$L$60,3,0),"OBSERVACIONES")</f>
        <v>OBSERVACIONES</v>
      </c>
      <c r="H117" s="50" t="s">
        <v>208</v>
      </c>
      <c r="I117" s="49" t="s">
        <v>210</v>
      </c>
      <c r="J117" s="49" t="s">
        <v>25</v>
      </c>
      <c r="K117" s="16">
        <v>0</v>
      </c>
      <c r="L117" s="16">
        <v>8</v>
      </c>
      <c r="M117" s="16">
        <v>0</v>
      </c>
      <c r="N117" s="16">
        <v>0</v>
      </c>
      <c r="O117" s="16">
        <v>0</v>
      </c>
      <c r="P117" s="16">
        <v>0</v>
      </c>
      <c r="Q117" s="16">
        <v>0</v>
      </c>
      <c r="R117" s="16">
        <v>0</v>
      </c>
      <c r="S117" s="16">
        <v>0</v>
      </c>
      <c r="T117" s="16">
        <v>0</v>
      </c>
      <c r="U117" s="16">
        <v>0</v>
      </c>
      <c r="V117" s="16">
        <v>0</v>
      </c>
      <c r="W117" s="16">
        <v>0</v>
      </c>
      <c r="X117" s="16">
        <v>0</v>
      </c>
      <c r="Y117" s="16">
        <v>0</v>
      </c>
      <c r="Z117" s="16">
        <v>0</v>
      </c>
      <c r="AA117" s="16">
        <v>0</v>
      </c>
      <c r="AB117" s="16">
        <v>0</v>
      </c>
      <c r="AC117" s="16">
        <v>0</v>
      </c>
      <c r="AD117" s="16">
        <v>0</v>
      </c>
      <c r="AE117" s="16">
        <v>0</v>
      </c>
      <c r="AF117" s="16">
        <v>0</v>
      </c>
      <c r="AG117" s="16">
        <v>0</v>
      </c>
      <c r="AH117" s="16">
        <v>0</v>
      </c>
      <c r="AI117" s="16">
        <v>0</v>
      </c>
      <c r="AJ117" s="16">
        <v>0</v>
      </c>
      <c r="AK117" s="16">
        <v>0</v>
      </c>
      <c r="AL117" s="16">
        <v>0</v>
      </c>
      <c r="AM117" s="16">
        <v>0</v>
      </c>
      <c r="AN117" s="16">
        <v>0</v>
      </c>
      <c r="AO117" s="16">
        <v>0</v>
      </c>
      <c r="AP117" s="16">
        <v>0</v>
      </c>
      <c r="AQ117" s="16">
        <v>0</v>
      </c>
      <c r="AR117" s="16">
        <v>0</v>
      </c>
      <c r="AS117" s="16">
        <v>0</v>
      </c>
      <c r="AT117" s="16">
        <v>0</v>
      </c>
      <c r="AU117" s="16">
        <v>0</v>
      </c>
      <c r="AV117" s="16">
        <v>0</v>
      </c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0</v>
      </c>
      <c r="BD117" s="16">
        <v>0</v>
      </c>
      <c r="BE117" s="16">
        <v>0</v>
      </c>
      <c r="BF117" s="16">
        <v>0</v>
      </c>
      <c r="BG117" s="16">
        <v>0</v>
      </c>
      <c r="BH117" s="16">
        <v>0</v>
      </c>
      <c r="BI117" s="16">
        <v>0</v>
      </c>
      <c r="BJ117" s="16">
        <v>0</v>
      </c>
      <c r="BK117" s="16">
        <v>0</v>
      </c>
      <c r="BL117" s="16">
        <v>0</v>
      </c>
      <c r="BM117" s="16">
        <v>0</v>
      </c>
      <c r="BN117" s="16">
        <v>0</v>
      </c>
      <c r="BO117" s="16">
        <v>0</v>
      </c>
      <c r="BP117" s="16">
        <v>0</v>
      </c>
      <c r="BQ117" s="16">
        <v>0</v>
      </c>
      <c r="BR117" s="16">
        <v>0</v>
      </c>
      <c r="BS117" s="207">
        <f t="shared" si="51"/>
        <v>8</v>
      </c>
      <c r="BT117" s="207">
        <f t="shared" si="52"/>
        <v>0</v>
      </c>
      <c r="BU117" s="207">
        <f t="shared" si="53"/>
        <v>0</v>
      </c>
      <c r="BV117" s="207">
        <f t="shared" si="47"/>
        <v>0</v>
      </c>
      <c r="BW117" s="207">
        <f t="shared" si="54"/>
        <v>0</v>
      </c>
      <c r="BX117" s="207">
        <f t="shared" si="55"/>
        <v>0</v>
      </c>
      <c r="BY117" s="207">
        <f t="shared" si="56"/>
        <v>0</v>
      </c>
      <c r="BZ117" s="207">
        <f t="shared" si="57"/>
        <v>0</v>
      </c>
      <c r="CA117" s="207">
        <f t="shared" si="58"/>
        <v>0</v>
      </c>
      <c r="CB117" s="207">
        <f t="shared" si="59"/>
        <v>0</v>
      </c>
      <c r="CC117" s="207">
        <f t="shared" si="60"/>
        <v>0</v>
      </c>
      <c r="CD117" s="207">
        <f t="shared" si="61"/>
        <v>0</v>
      </c>
      <c r="CE117" s="207">
        <f t="shared" si="62"/>
        <v>8</v>
      </c>
    </row>
    <row r="118" spans="1:83" ht="12" customHeight="1" x14ac:dyDescent="0.2">
      <c r="A118" s="6">
        <v>5</v>
      </c>
      <c r="B118" s="49" t="str">
        <f t="shared" si="48"/>
        <v>Rivera Carrasco Giovanni INASISTENCIAS</v>
      </c>
      <c r="C118" s="117" t="str">
        <f t="shared" si="50"/>
        <v xml:space="preserve">Rivera Carrasco Giovanni </v>
      </c>
      <c r="D118" s="49" t="str">
        <f>VLOOKUP(C118,Datos!$B$13:$C$83,2,0)</f>
        <v>CESADO</v>
      </c>
      <c r="E118" s="50" t="s">
        <v>208</v>
      </c>
      <c r="F118" s="49"/>
      <c r="G118" s="49" t="str">
        <f>IFERROR(VLOOKUP(H118,Datos!$J$2:$L$60,3,0),"OBSERVACIONES")</f>
        <v>OBSERVACIONES</v>
      </c>
      <c r="H118" s="50" t="s">
        <v>208</v>
      </c>
      <c r="I118" s="49" t="s">
        <v>210</v>
      </c>
      <c r="J118" s="49" t="s">
        <v>424</v>
      </c>
      <c r="K118" s="16">
        <v>8</v>
      </c>
      <c r="L118" s="16">
        <v>0</v>
      </c>
      <c r="M118" s="16">
        <v>0</v>
      </c>
      <c r="N118" s="16">
        <v>0</v>
      </c>
      <c r="O118" s="16">
        <v>0</v>
      </c>
      <c r="P118" s="16">
        <v>0</v>
      </c>
      <c r="Q118" s="16">
        <v>0</v>
      </c>
      <c r="R118" s="16">
        <v>0</v>
      </c>
      <c r="S118" s="16">
        <v>0</v>
      </c>
      <c r="T118" s="16">
        <v>0</v>
      </c>
      <c r="U118" s="16">
        <v>0</v>
      </c>
      <c r="V118" s="16">
        <v>0</v>
      </c>
      <c r="W118" s="16">
        <v>0</v>
      </c>
      <c r="X118" s="16">
        <v>0</v>
      </c>
      <c r="Y118" s="16">
        <v>0</v>
      </c>
      <c r="Z118" s="16">
        <v>0</v>
      </c>
      <c r="AA118" s="16">
        <v>0</v>
      </c>
      <c r="AB118" s="16">
        <v>0</v>
      </c>
      <c r="AC118" s="16">
        <v>0</v>
      </c>
      <c r="AD118" s="16">
        <v>0</v>
      </c>
      <c r="AE118" s="16">
        <v>0</v>
      </c>
      <c r="AF118" s="16">
        <v>0</v>
      </c>
      <c r="AG118" s="16">
        <v>0</v>
      </c>
      <c r="AH118" s="16">
        <v>0</v>
      </c>
      <c r="AI118" s="16">
        <v>0</v>
      </c>
      <c r="AJ118" s="16">
        <v>0</v>
      </c>
      <c r="AK118" s="16">
        <v>0</v>
      </c>
      <c r="AL118" s="16">
        <v>0</v>
      </c>
      <c r="AM118" s="16">
        <v>0</v>
      </c>
      <c r="AN118" s="16">
        <v>0</v>
      </c>
      <c r="AO118" s="16">
        <v>0</v>
      </c>
      <c r="AP118" s="16">
        <v>0</v>
      </c>
      <c r="AQ118" s="16">
        <v>0</v>
      </c>
      <c r="AR118" s="16">
        <v>0</v>
      </c>
      <c r="AS118" s="16">
        <v>0</v>
      </c>
      <c r="AT118" s="16">
        <v>0</v>
      </c>
      <c r="AU118" s="16">
        <v>0</v>
      </c>
      <c r="AV118" s="16">
        <v>0</v>
      </c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0</v>
      </c>
      <c r="BD118" s="16">
        <v>0</v>
      </c>
      <c r="BE118" s="16">
        <v>0</v>
      </c>
      <c r="BF118" s="16">
        <v>0</v>
      </c>
      <c r="BG118" s="16">
        <v>0</v>
      </c>
      <c r="BH118" s="16">
        <v>0</v>
      </c>
      <c r="BI118" s="16">
        <v>0</v>
      </c>
      <c r="BJ118" s="16">
        <v>0</v>
      </c>
      <c r="BK118" s="16">
        <v>0</v>
      </c>
      <c r="BL118" s="16">
        <v>0</v>
      </c>
      <c r="BM118" s="16">
        <v>0</v>
      </c>
      <c r="BN118" s="16">
        <v>0</v>
      </c>
      <c r="BO118" s="16">
        <v>0</v>
      </c>
      <c r="BP118" s="16">
        <v>0</v>
      </c>
      <c r="BQ118" s="16">
        <v>0</v>
      </c>
      <c r="BR118" s="16">
        <v>0</v>
      </c>
      <c r="BS118" s="207">
        <f t="shared" si="51"/>
        <v>8</v>
      </c>
      <c r="BT118" s="207">
        <f t="shared" si="52"/>
        <v>0</v>
      </c>
      <c r="BU118" s="207">
        <f t="shared" si="53"/>
        <v>0</v>
      </c>
      <c r="BV118" s="207">
        <f t="shared" si="47"/>
        <v>0</v>
      </c>
      <c r="BW118" s="207">
        <f t="shared" si="54"/>
        <v>0</v>
      </c>
      <c r="BX118" s="207">
        <f t="shared" si="55"/>
        <v>0</v>
      </c>
      <c r="BY118" s="207">
        <f t="shared" si="56"/>
        <v>0</v>
      </c>
      <c r="BZ118" s="207">
        <f t="shared" si="57"/>
        <v>0</v>
      </c>
      <c r="CA118" s="207">
        <f t="shared" si="58"/>
        <v>0</v>
      </c>
      <c r="CB118" s="207">
        <f t="shared" si="59"/>
        <v>0</v>
      </c>
      <c r="CC118" s="207">
        <f t="shared" si="60"/>
        <v>0</v>
      </c>
      <c r="CD118" s="207">
        <f t="shared" si="61"/>
        <v>0</v>
      </c>
      <c r="CE118" s="207">
        <f t="shared" si="62"/>
        <v>8</v>
      </c>
    </row>
    <row r="119" spans="1:83" ht="12" customHeight="1" x14ac:dyDescent="0.2">
      <c r="A119" s="6">
        <v>4</v>
      </c>
      <c r="B119" s="49" t="str">
        <f t="shared" si="48"/>
        <v>Calderon Vilchez Renzo PabloVACACIONES</v>
      </c>
      <c r="C119" s="117" t="str">
        <f t="shared" si="50"/>
        <v>Calderon Vilchez Renzo Pablo</v>
      </c>
      <c r="D119" s="49" t="str">
        <f>VLOOKUP(C119,Datos!$B$13:$C$83,2,0)</f>
        <v>CESADO</v>
      </c>
      <c r="E119" s="50" t="s">
        <v>209</v>
      </c>
      <c r="F119" s="49"/>
      <c r="G119" s="49" t="str">
        <f>IFERROR(VLOOKUP(H119,Datos!$J$2:$L$60,3,0),"OBSERVACIONES")</f>
        <v>OBSERVACIONES</v>
      </c>
      <c r="H119" s="50" t="s">
        <v>209</v>
      </c>
      <c r="I119" s="49" t="s">
        <v>243</v>
      </c>
      <c r="J119" s="49" t="s">
        <v>417</v>
      </c>
      <c r="K119" s="16">
        <v>0</v>
      </c>
      <c r="L119" s="16">
        <v>0</v>
      </c>
      <c r="M119" s="16">
        <v>0</v>
      </c>
      <c r="N119" s="16">
        <v>0</v>
      </c>
      <c r="O119" s="16">
        <v>0</v>
      </c>
      <c r="P119" s="16">
        <v>0</v>
      </c>
      <c r="Q119" s="16">
        <v>0</v>
      </c>
      <c r="R119" s="16">
        <v>0</v>
      </c>
      <c r="S119" s="16">
        <v>40</v>
      </c>
      <c r="T119" s="16">
        <v>8</v>
      </c>
      <c r="U119" s="16">
        <v>0</v>
      </c>
      <c r="V119" s="16">
        <v>0</v>
      </c>
      <c r="W119" s="16">
        <v>0</v>
      </c>
      <c r="X119" s="16">
        <v>0</v>
      </c>
      <c r="Y119" s="16">
        <v>0</v>
      </c>
      <c r="Z119" s="16">
        <v>0</v>
      </c>
      <c r="AA119" s="16">
        <v>0</v>
      </c>
      <c r="AB119" s="16">
        <v>0</v>
      </c>
      <c r="AC119" s="16">
        <v>0</v>
      </c>
      <c r="AD119" s="16">
        <v>0</v>
      </c>
      <c r="AE119" s="16">
        <v>0</v>
      </c>
      <c r="AF119" s="16">
        <v>0</v>
      </c>
      <c r="AG119" s="16">
        <v>0</v>
      </c>
      <c r="AH119" s="16">
        <v>0</v>
      </c>
      <c r="AI119" s="16">
        <v>0</v>
      </c>
      <c r="AJ119" s="16">
        <v>0</v>
      </c>
      <c r="AK119" s="16">
        <v>0</v>
      </c>
      <c r="AL119" s="16">
        <v>0</v>
      </c>
      <c r="AM119" s="16">
        <v>0</v>
      </c>
      <c r="AN119" s="16">
        <v>0</v>
      </c>
      <c r="AO119" s="16">
        <v>0</v>
      </c>
      <c r="AP119" s="16">
        <v>0</v>
      </c>
      <c r="AQ119" s="16">
        <v>0</v>
      </c>
      <c r="AR119" s="16">
        <v>0</v>
      </c>
      <c r="AS119" s="16">
        <v>0</v>
      </c>
      <c r="AT119" s="16">
        <v>0</v>
      </c>
      <c r="AU119" s="16">
        <v>0</v>
      </c>
      <c r="AV119" s="16">
        <v>0</v>
      </c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0</v>
      </c>
      <c r="BD119" s="16">
        <v>0</v>
      </c>
      <c r="BE119" s="16">
        <v>0</v>
      </c>
      <c r="BF119" s="16">
        <v>0</v>
      </c>
      <c r="BG119" s="16">
        <v>0</v>
      </c>
      <c r="BH119" s="16">
        <v>0</v>
      </c>
      <c r="BI119" s="16">
        <v>0</v>
      </c>
      <c r="BJ119" s="16">
        <v>0</v>
      </c>
      <c r="BK119" s="16">
        <v>0</v>
      </c>
      <c r="BL119" s="16">
        <v>0</v>
      </c>
      <c r="BM119" s="16">
        <v>0</v>
      </c>
      <c r="BN119" s="16">
        <v>0</v>
      </c>
      <c r="BO119" s="16">
        <v>0</v>
      </c>
      <c r="BP119" s="16">
        <v>0</v>
      </c>
      <c r="BQ119" s="16">
        <v>0</v>
      </c>
      <c r="BR119" s="16">
        <v>0</v>
      </c>
      <c r="BS119" s="207">
        <f t="shared" si="51"/>
        <v>0</v>
      </c>
      <c r="BT119" s="207">
        <f t="shared" si="52"/>
        <v>48</v>
      </c>
      <c r="BU119" s="207">
        <f t="shared" si="53"/>
        <v>0</v>
      </c>
      <c r="BV119" s="207">
        <f t="shared" si="47"/>
        <v>0</v>
      </c>
      <c r="BW119" s="207">
        <f t="shared" si="54"/>
        <v>0</v>
      </c>
      <c r="BX119" s="207">
        <f t="shared" si="55"/>
        <v>0</v>
      </c>
      <c r="BY119" s="207">
        <f t="shared" si="56"/>
        <v>0</v>
      </c>
      <c r="BZ119" s="207">
        <f t="shared" si="57"/>
        <v>0</v>
      </c>
      <c r="CA119" s="207">
        <f t="shared" si="58"/>
        <v>0</v>
      </c>
      <c r="CB119" s="207">
        <f t="shared" si="59"/>
        <v>0</v>
      </c>
      <c r="CC119" s="207">
        <f t="shared" si="60"/>
        <v>0</v>
      </c>
      <c r="CD119" s="207">
        <f t="shared" si="61"/>
        <v>0</v>
      </c>
      <c r="CE119" s="207">
        <f t="shared" si="62"/>
        <v>48</v>
      </c>
    </row>
    <row r="120" spans="1:83" ht="12" customHeight="1" x14ac:dyDescent="0.2">
      <c r="A120" s="6">
        <v>3</v>
      </c>
      <c r="B120" s="49" t="str">
        <f t="shared" si="48"/>
        <v>Fernandez Esquen Miguel AngelP0033</v>
      </c>
      <c r="C120" s="117" t="str">
        <f>J120</f>
        <v>Fernandez Esquen Miguel Angel</v>
      </c>
      <c r="D120" s="49" t="str">
        <f>VLOOKUP(C120,Datos!$B$13:$C$83,2,0)</f>
        <v>VIGENTE</v>
      </c>
      <c r="E120" s="50" t="s">
        <v>103</v>
      </c>
      <c r="F120" s="49" t="str">
        <f>IFERROR(VLOOKUP(H120,Datos!$J$2:$L$60,3,0),"OBSERVCIONES")</f>
        <v>PROCESO</v>
      </c>
      <c r="G120" s="49"/>
      <c r="H120" s="50" t="s">
        <v>562</v>
      </c>
      <c r="I120" s="49" t="s">
        <v>563</v>
      </c>
      <c r="J120" s="49" t="s">
        <v>12</v>
      </c>
      <c r="K120" s="16">
        <v>0</v>
      </c>
      <c r="L120" s="16">
        <v>0</v>
      </c>
      <c r="M120" s="16">
        <v>0</v>
      </c>
      <c r="N120" s="16">
        <v>0</v>
      </c>
      <c r="O120" s="16">
        <v>0</v>
      </c>
      <c r="P120" s="16">
        <v>0</v>
      </c>
      <c r="Q120" s="16">
        <v>0</v>
      </c>
      <c r="R120" s="16">
        <v>0</v>
      </c>
      <c r="S120" s="16">
        <v>0</v>
      </c>
      <c r="T120" s="16">
        <v>0</v>
      </c>
      <c r="U120" s="16">
        <v>0</v>
      </c>
      <c r="V120" s="16">
        <v>0</v>
      </c>
      <c r="W120" s="16">
        <v>0</v>
      </c>
      <c r="X120" s="16">
        <v>0</v>
      </c>
      <c r="Y120" s="16">
        <v>0</v>
      </c>
      <c r="Z120" s="16">
        <v>0</v>
      </c>
      <c r="AA120" s="16">
        <v>0</v>
      </c>
      <c r="AB120" s="16">
        <v>0</v>
      </c>
      <c r="AC120" s="16">
        <v>0</v>
      </c>
      <c r="AD120" s="16">
        <v>0</v>
      </c>
      <c r="AE120" s="16">
        <v>0</v>
      </c>
      <c r="AF120" s="16">
        <v>0</v>
      </c>
      <c r="AG120" s="16">
        <v>0</v>
      </c>
      <c r="AH120" s="16">
        <v>0</v>
      </c>
      <c r="AI120" s="16">
        <v>0</v>
      </c>
      <c r="AJ120" s="16">
        <v>0</v>
      </c>
      <c r="AK120" s="16">
        <v>0</v>
      </c>
      <c r="AL120" s="16">
        <v>0</v>
      </c>
      <c r="AM120" s="16">
        <v>0</v>
      </c>
      <c r="AN120" s="16">
        <v>0</v>
      </c>
      <c r="AO120" s="16">
        <v>0</v>
      </c>
      <c r="AP120" s="16">
        <v>0</v>
      </c>
      <c r="AQ120" s="16">
        <v>0</v>
      </c>
      <c r="AR120" s="16">
        <v>0</v>
      </c>
      <c r="AS120" s="16">
        <v>8</v>
      </c>
      <c r="AT120" s="16">
        <v>16</v>
      </c>
      <c r="AU120" s="16">
        <v>0</v>
      </c>
      <c r="AV120" s="16">
        <v>0</v>
      </c>
      <c r="AW120" s="16">
        <v>0</v>
      </c>
      <c r="AX120" s="16">
        <v>24</v>
      </c>
      <c r="AY120" s="16">
        <v>5.5</v>
      </c>
      <c r="AZ120" s="16">
        <v>15</v>
      </c>
      <c r="BA120" s="16">
        <v>40</v>
      </c>
      <c r="BB120" s="16">
        <v>34</v>
      </c>
      <c r="BC120" s="16">
        <v>29</v>
      </c>
      <c r="BD120" s="16">
        <v>7</v>
      </c>
      <c r="BE120" s="16">
        <v>0</v>
      </c>
      <c r="BF120" s="16">
        <v>0</v>
      </c>
      <c r="BG120" s="16">
        <v>0</v>
      </c>
      <c r="BH120" s="16">
        <v>0</v>
      </c>
      <c r="BI120" s="16">
        <v>0</v>
      </c>
      <c r="BJ120" s="16">
        <v>0</v>
      </c>
      <c r="BK120" s="16">
        <v>0</v>
      </c>
      <c r="BL120" s="16">
        <v>0</v>
      </c>
      <c r="BM120" s="16">
        <v>0</v>
      </c>
      <c r="BN120" s="16">
        <v>0</v>
      </c>
      <c r="BO120" s="16">
        <v>0</v>
      </c>
      <c r="BP120" s="16">
        <v>0</v>
      </c>
      <c r="BQ120" s="16">
        <v>0</v>
      </c>
      <c r="BR120" s="16">
        <v>0</v>
      </c>
      <c r="BS120" s="207">
        <f t="shared" si="51"/>
        <v>0</v>
      </c>
      <c r="BT120" s="207">
        <f t="shared" si="52"/>
        <v>0</v>
      </c>
      <c r="BU120" s="207">
        <f t="shared" si="53"/>
        <v>0</v>
      </c>
      <c r="BV120" s="207">
        <f t="shared" si="47"/>
        <v>0</v>
      </c>
      <c r="BW120" s="207">
        <f t="shared" si="54"/>
        <v>0</v>
      </c>
      <c r="BX120" s="207">
        <f t="shared" si="55"/>
        <v>0</v>
      </c>
      <c r="BY120" s="207">
        <f t="shared" si="56"/>
        <v>8</v>
      </c>
      <c r="BZ120" s="207">
        <f t="shared" si="57"/>
        <v>40</v>
      </c>
      <c r="CA120" s="207">
        <f t="shared" si="58"/>
        <v>123.5</v>
      </c>
      <c r="CB120" s="207">
        <f t="shared" si="59"/>
        <v>7</v>
      </c>
      <c r="CC120" s="207">
        <f t="shared" si="60"/>
        <v>0</v>
      </c>
      <c r="CD120" s="207">
        <f t="shared" si="61"/>
        <v>0</v>
      </c>
      <c r="CE120" s="207">
        <f t="shared" si="62"/>
        <v>178.5</v>
      </c>
    </row>
    <row r="121" spans="1:83" ht="12" customHeight="1" x14ac:dyDescent="0.2">
      <c r="A121" s="6">
        <v>3</v>
      </c>
      <c r="B121" s="49" t="str">
        <f>C121&amp;H121</f>
        <v>Fernandez Esquen Miguel AngelP0035</v>
      </c>
      <c r="C121" s="117" t="str">
        <f>J121</f>
        <v>Fernandez Esquen Miguel Angel</v>
      </c>
      <c r="D121" s="49" t="str">
        <f>VLOOKUP(C121,Datos!$B$13:$C$83,2,0)</f>
        <v>VIGENTE</v>
      </c>
      <c r="E121" s="50" t="s">
        <v>103</v>
      </c>
      <c r="F121" s="49" t="str">
        <f>IFERROR(VLOOKUP(H121,Datos!$J$2:$L$60,3,0),"OBSERVCIONES")</f>
        <v>PROCESO</v>
      </c>
      <c r="G121" s="49"/>
      <c r="H121" s="50" t="s">
        <v>913</v>
      </c>
      <c r="I121" s="49" t="s">
        <v>916</v>
      </c>
      <c r="J121" s="49" t="s">
        <v>12</v>
      </c>
      <c r="K121" s="16">
        <v>0</v>
      </c>
      <c r="L121" s="16">
        <v>0</v>
      </c>
      <c r="M121" s="16">
        <v>0</v>
      </c>
      <c r="N121" s="16">
        <v>0</v>
      </c>
      <c r="O121" s="16">
        <v>0</v>
      </c>
      <c r="P121" s="16">
        <v>0</v>
      </c>
      <c r="Q121" s="16">
        <v>0</v>
      </c>
      <c r="R121" s="16">
        <v>0</v>
      </c>
      <c r="S121" s="16">
        <v>0</v>
      </c>
      <c r="T121" s="16">
        <v>0</v>
      </c>
      <c r="U121" s="16">
        <v>0</v>
      </c>
      <c r="V121" s="16">
        <v>0</v>
      </c>
      <c r="W121" s="16">
        <v>0</v>
      </c>
      <c r="X121" s="16">
        <v>0</v>
      </c>
      <c r="Y121" s="16">
        <v>0</v>
      </c>
      <c r="Z121" s="16">
        <v>0</v>
      </c>
      <c r="AA121" s="16">
        <v>0</v>
      </c>
      <c r="AB121" s="16">
        <v>0</v>
      </c>
      <c r="AC121" s="16">
        <v>0</v>
      </c>
      <c r="AD121" s="16">
        <v>0</v>
      </c>
      <c r="AE121" s="16">
        <v>0</v>
      </c>
      <c r="AF121" s="16">
        <v>0</v>
      </c>
      <c r="AG121" s="16">
        <v>0</v>
      </c>
      <c r="AH121" s="16">
        <v>0</v>
      </c>
      <c r="AI121" s="16">
        <v>0</v>
      </c>
      <c r="AJ121" s="16">
        <v>0</v>
      </c>
      <c r="AK121" s="16">
        <v>0</v>
      </c>
      <c r="AL121" s="16">
        <v>0</v>
      </c>
      <c r="AM121" s="16">
        <v>0</v>
      </c>
      <c r="AN121" s="16">
        <v>0</v>
      </c>
      <c r="AO121" s="16">
        <v>0</v>
      </c>
      <c r="AP121" s="16">
        <v>0</v>
      </c>
      <c r="AQ121" s="16">
        <v>0</v>
      </c>
      <c r="AR121" s="16">
        <v>0</v>
      </c>
      <c r="AS121" s="16">
        <v>0</v>
      </c>
      <c r="AT121" s="16">
        <v>0</v>
      </c>
      <c r="AU121" s="16">
        <v>0</v>
      </c>
      <c r="AV121" s="16">
        <v>0</v>
      </c>
      <c r="AW121" s="16">
        <v>0</v>
      </c>
      <c r="AX121" s="16">
        <v>0</v>
      </c>
      <c r="AY121" s="16">
        <v>2.5</v>
      </c>
      <c r="AZ121" s="16">
        <v>25</v>
      </c>
      <c r="BA121" s="16">
        <v>0</v>
      </c>
      <c r="BB121" s="16">
        <v>6</v>
      </c>
      <c r="BC121" s="16">
        <v>11</v>
      </c>
      <c r="BD121" s="16">
        <v>33</v>
      </c>
      <c r="BE121" s="16">
        <v>0</v>
      </c>
      <c r="BF121" s="16">
        <v>0</v>
      </c>
      <c r="BG121" s="16">
        <v>0</v>
      </c>
      <c r="BH121" s="16">
        <v>0</v>
      </c>
      <c r="BI121" s="16">
        <v>0</v>
      </c>
      <c r="BJ121" s="16">
        <v>0</v>
      </c>
      <c r="BK121" s="16">
        <v>0</v>
      </c>
      <c r="BL121" s="16">
        <v>0</v>
      </c>
      <c r="BM121" s="16">
        <v>0</v>
      </c>
      <c r="BN121" s="16">
        <v>0</v>
      </c>
      <c r="BO121" s="16">
        <v>0</v>
      </c>
      <c r="BP121" s="16">
        <v>0</v>
      </c>
      <c r="BQ121" s="16">
        <v>0</v>
      </c>
      <c r="BR121" s="16">
        <v>0</v>
      </c>
      <c r="BS121" s="207">
        <f t="shared" si="51"/>
        <v>0</v>
      </c>
      <c r="BT121" s="207">
        <f t="shared" si="52"/>
        <v>0</v>
      </c>
      <c r="BU121" s="207">
        <f t="shared" si="53"/>
        <v>0</v>
      </c>
      <c r="BV121" s="207">
        <f t="shared" si="47"/>
        <v>0</v>
      </c>
      <c r="BW121" s="207">
        <f t="shared" si="54"/>
        <v>0</v>
      </c>
      <c r="BX121" s="207">
        <f t="shared" si="55"/>
        <v>0</v>
      </c>
      <c r="BY121" s="207">
        <f t="shared" si="56"/>
        <v>0</v>
      </c>
      <c r="BZ121" s="207">
        <f t="shared" si="57"/>
        <v>0</v>
      </c>
      <c r="CA121" s="207">
        <f t="shared" si="58"/>
        <v>44.5</v>
      </c>
      <c r="CB121" s="207">
        <f t="shared" si="59"/>
        <v>33</v>
      </c>
      <c r="CC121" s="207">
        <f t="shared" si="60"/>
        <v>0</v>
      </c>
      <c r="CD121" s="207">
        <f t="shared" si="61"/>
        <v>0</v>
      </c>
      <c r="CE121" s="207">
        <f t="shared" si="62"/>
        <v>77.5</v>
      </c>
    </row>
    <row r="122" spans="1:83" ht="12" customHeight="1" x14ac:dyDescent="0.2">
      <c r="A122" s="6">
        <v>3</v>
      </c>
      <c r="B122" s="49" t="str">
        <f t="shared" si="48"/>
        <v>Alejos Yamamoto Arturo RicardoP0007</v>
      </c>
      <c r="C122" s="117" t="str">
        <f t="shared" si="50"/>
        <v>Alejos Yamamoto Arturo Ricardo</v>
      </c>
      <c r="D122" s="49" t="str">
        <f>VLOOKUP(C122,Datos!$B$13:$C$83,2,0)</f>
        <v>VIGENTE</v>
      </c>
      <c r="E122" s="49" t="s">
        <v>91</v>
      </c>
      <c r="F122" s="49" t="str">
        <f>IFERROR(VLOOKUP(H122,Datos!$J$2:$L$60,3,0),"OBSERVACIONES")</f>
        <v>ABIERTO</v>
      </c>
      <c r="G122" s="49"/>
      <c r="H122" s="49" t="s">
        <v>92</v>
      </c>
      <c r="I122" s="49" t="s">
        <v>117</v>
      </c>
      <c r="J122" s="49" t="s">
        <v>28</v>
      </c>
      <c r="K122" s="16">
        <v>0</v>
      </c>
      <c r="L122" s="16">
        <v>5</v>
      </c>
      <c r="M122" s="16">
        <v>4</v>
      </c>
      <c r="N122" s="16">
        <v>0</v>
      </c>
      <c r="O122" s="16">
        <v>0</v>
      </c>
      <c r="P122" s="16">
        <v>0</v>
      </c>
      <c r="Q122" s="16">
        <v>0</v>
      </c>
      <c r="R122" s="16">
        <v>0</v>
      </c>
      <c r="S122" s="16">
        <v>0</v>
      </c>
      <c r="T122" s="16">
        <v>0</v>
      </c>
      <c r="U122" s="16">
        <v>8</v>
      </c>
      <c r="V122" s="16">
        <v>0</v>
      </c>
      <c r="W122" s="16">
        <v>0</v>
      </c>
      <c r="X122" s="16">
        <v>0</v>
      </c>
      <c r="Y122" s="16">
        <v>0</v>
      </c>
      <c r="Z122" s="16">
        <v>0</v>
      </c>
      <c r="AA122" s="16">
        <v>0</v>
      </c>
      <c r="AB122" s="16">
        <v>0</v>
      </c>
      <c r="AC122" s="16">
        <v>0</v>
      </c>
      <c r="AD122" s="16">
        <v>0</v>
      </c>
      <c r="AE122" s="16">
        <v>0</v>
      </c>
      <c r="AF122" s="16">
        <v>0</v>
      </c>
      <c r="AG122" s="16">
        <v>0</v>
      </c>
      <c r="AH122" s="16">
        <v>0</v>
      </c>
      <c r="AI122" s="16">
        <v>0</v>
      </c>
      <c r="AJ122" s="16">
        <v>0</v>
      </c>
      <c r="AK122" s="16">
        <v>0</v>
      </c>
      <c r="AL122" s="16">
        <v>0</v>
      </c>
      <c r="AM122" s="16">
        <v>0</v>
      </c>
      <c r="AN122" s="16">
        <v>0</v>
      </c>
      <c r="AO122" s="16">
        <v>0</v>
      </c>
      <c r="AP122" s="16">
        <v>0</v>
      </c>
      <c r="AQ122" s="16">
        <v>0</v>
      </c>
      <c r="AR122" s="16">
        <v>0</v>
      </c>
      <c r="AS122" s="16">
        <v>0</v>
      </c>
      <c r="AT122" s="16">
        <v>0</v>
      </c>
      <c r="AU122" s="16">
        <v>0</v>
      </c>
      <c r="AV122" s="16">
        <v>0</v>
      </c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0</v>
      </c>
      <c r="BD122" s="16">
        <v>0</v>
      </c>
      <c r="BE122" s="16">
        <v>0</v>
      </c>
      <c r="BF122" s="16">
        <v>0</v>
      </c>
      <c r="BG122" s="16">
        <v>0</v>
      </c>
      <c r="BH122" s="16">
        <v>0</v>
      </c>
      <c r="BI122" s="16">
        <v>0</v>
      </c>
      <c r="BJ122" s="16">
        <v>0</v>
      </c>
      <c r="BK122" s="16">
        <v>0</v>
      </c>
      <c r="BL122" s="16">
        <v>0</v>
      </c>
      <c r="BM122" s="16">
        <v>0</v>
      </c>
      <c r="BN122" s="16">
        <v>0</v>
      </c>
      <c r="BO122" s="16">
        <v>0</v>
      </c>
      <c r="BP122" s="16">
        <v>0</v>
      </c>
      <c r="BQ122" s="16">
        <v>0</v>
      </c>
      <c r="BR122" s="16">
        <v>0</v>
      </c>
      <c r="BS122" s="207">
        <f t="shared" ref="BS122:BS142" si="64">SUM(K122:O122)</f>
        <v>9</v>
      </c>
      <c r="BT122" s="207">
        <f t="shared" ref="BT122:BT142" si="65">SUM(P122:T122)</f>
        <v>0</v>
      </c>
      <c r="BU122" s="207">
        <f t="shared" ref="BU122:BU142" si="66">SUM(U122:Y122)</f>
        <v>8</v>
      </c>
      <c r="BV122" s="207">
        <f t="shared" ref="BV122:BV189" si="67">SUM(Z122:AC122)</f>
        <v>0</v>
      </c>
      <c r="BW122" s="207">
        <f t="shared" ref="BW122:BW142" si="68">SUM(AD122:AH122)</f>
        <v>0</v>
      </c>
      <c r="BX122" s="207">
        <f t="shared" ref="BX122:BX142" si="69">SUM(AI122:AM122)</f>
        <v>0</v>
      </c>
      <c r="BY122" s="207">
        <f t="shared" ref="BY122:BY142" si="70">SUM(AN122:AS122)</f>
        <v>0</v>
      </c>
      <c r="BZ122" s="207">
        <f t="shared" ref="BZ122:BZ142" si="71">SUM(AT122:AX122)</f>
        <v>0</v>
      </c>
      <c r="CA122" s="207">
        <f t="shared" ref="CA122:CA142" si="72">SUM(AY122:BC122)</f>
        <v>0</v>
      </c>
      <c r="CB122" s="207">
        <f t="shared" ref="CB122:CB142" si="73">SUM(BD122:BH122)</f>
        <v>0</v>
      </c>
      <c r="CC122" s="207">
        <f t="shared" ref="CC122:CC142" si="74">SUM(BI122:BM122)</f>
        <v>0</v>
      </c>
      <c r="CD122" s="207">
        <f t="shared" ref="CD122:CD142" si="75">SUM(BN122:BR122)</f>
        <v>0</v>
      </c>
      <c r="CE122" s="207">
        <f t="shared" ref="CE122:CE142" si="76">SUM(BS122:CD122)</f>
        <v>17</v>
      </c>
    </row>
    <row r="123" spans="1:83" ht="12" customHeight="1" x14ac:dyDescent="0.2">
      <c r="A123" s="6">
        <v>3</v>
      </c>
      <c r="B123" s="49" t="str">
        <f t="shared" si="48"/>
        <v>Alejos Yamamoto Arturo RicardoP0008</v>
      </c>
      <c r="C123" s="117" t="str">
        <f t="shared" si="50"/>
        <v>Alejos Yamamoto Arturo Ricardo</v>
      </c>
      <c r="D123" s="49" t="str">
        <f>VLOOKUP(C123,Datos!$B$13:$C$83,2,0)</f>
        <v>VIGENTE</v>
      </c>
      <c r="E123" s="49" t="s">
        <v>78</v>
      </c>
      <c r="F123" s="49" t="str">
        <f>IFERROR(VLOOKUP(H123,Datos!$J$2:$L$60,3,0),"OBSERVACIONES")</f>
        <v>CERRADO</v>
      </c>
      <c r="G123" s="49"/>
      <c r="H123" s="49" t="s">
        <v>79</v>
      </c>
      <c r="I123" s="49" t="s">
        <v>164</v>
      </c>
      <c r="J123" s="49" t="s">
        <v>28</v>
      </c>
      <c r="K123" s="16">
        <v>0</v>
      </c>
      <c r="L123" s="16">
        <v>0</v>
      </c>
      <c r="M123" s="16">
        <v>0</v>
      </c>
      <c r="N123" s="16">
        <v>0</v>
      </c>
      <c r="O123" s="16">
        <v>0</v>
      </c>
      <c r="P123" s="16">
        <v>0</v>
      </c>
      <c r="Q123" s="16">
        <v>0</v>
      </c>
      <c r="R123" s="16">
        <v>0</v>
      </c>
      <c r="S123" s="16">
        <v>0</v>
      </c>
      <c r="T123" s="16">
        <v>0</v>
      </c>
      <c r="U123" s="16">
        <v>0</v>
      </c>
      <c r="V123" s="16">
        <v>10</v>
      </c>
      <c r="W123" s="16">
        <v>12</v>
      </c>
      <c r="X123" s="16">
        <v>16</v>
      </c>
      <c r="Y123" s="16">
        <v>14</v>
      </c>
      <c r="Z123" s="16">
        <v>0</v>
      </c>
      <c r="AA123" s="16">
        <v>0</v>
      </c>
      <c r="AB123" s="16">
        <v>0</v>
      </c>
      <c r="AC123" s="16">
        <v>0</v>
      </c>
      <c r="AD123" s="16">
        <v>0</v>
      </c>
      <c r="AE123" s="16">
        <v>0</v>
      </c>
      <c r="AF123" s="16">
        <v>0</v>
      </c>
      <c r="AG123" s="16">
        <v>0</v>
      </c>
      <c r="AH123" s="16">
        <v>0</v>
      </c>
      <c r="AI123" s="16">
        <v>0</v>
      </c>
      <c r="AJ123" s="16">
        <v>0</v>
      </c>
      <c r="AK123" s="16">
        <v>0</v>
      </c>
      <c r="AL123" s="16">
        <v>0</v>
      </c>
      <c r="AM123" s="16">
        <v>0</v>
      </c>
      <c r="AN123" s="16">
        <v>0</v>
      </c>
      <c r="AO123" s="16">
        <v>0</v>
      </c>
      <c r="AP123" s="16">
        <v>0</v>
      </c>
      <c r="AQ123" s="16">
        <v>0</v>
      </c>
      <c r="AR123" s="16">
        <v>0</v>
      </c>
      <c r="AS123" s="16">
        <v>0</v>
      </c>
      <c r="AT123" s="16">
        <v>0</v>
      </c>
      <c r="AU123" s="16">
        <v>0</v>
      </c>
      <c r="AV123" s="16">
        <v>0</v>
      </c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0</v>
      </c>
      <c r="BD123" s="16">
        <v>0</v>
      </c>
      <c r="BE123" s="16">
        <v>0</v>
      </c>
      <c r="BF123" s="16">
        <v>0</v>
      </c>
      <c r="BG123" s="16">
        <v>0</v>
      </c>
      <c r="BH123" s="16">
        <v>0</v>
      </c>
      <c r="BI123" s="16">
        <v>0</v>
      </c>
      <c r="BJ123" s="16">
        <v>0</v>
      </c>
      <c r="BK123" s="16">
        <v>0</v>
      </c>
      <c r="BL123" s="16">
        <v>0</v>
      </c>
      <c r="BM123" s="16">
        <v>0</v>
      </c>
      <c r="BN123" s="16">
        <v>0</v>
      </c>
      <c r="BO123" s="16">
        <v>0</v>
      </c>
      <c r="BP123" s="16">
        <v>0</v>
      </c>
      <c r="BQ123" s="16">
        <v>0</v>
      </c>
      <c r="BR123" s="16">
        <v>0</v>
      </c>
      <c r="BS123" s="207">
        <f t="shared" si="64"/>
        <v>0</v>
      </c>
      <c r="BT123" s="207">
        <f t="shared" si="65"/>
        <v>0</v>
      </c>
      <c r="BU123" s="207">
        <f t="shared" si="66"/>
        <v>52</v>
      </c>
      <c r="BV123" s="207">
        <f t="shared" si="67"/>
        <v>0</v>
      </c>
      <c r="BW123" s="207">
        <f t="shared" si="68"/>
        <v>0</v>
      </c>
      <c r="BX123" s="207">
        <f t="shared" si="69"/>
        <v>0</v>
      </c>
      <c r="BY123" s="207">
        <f t="shared" si="70"/>
        <v>0</v>
      </c>
      <c r="BZ123" s="207">
        <f t="shared" si="71"/>
        <v>0</v>
      </c>
      <c r="CA123" s="207">
        <f t="shared" si="72"/>
        <v>0</v>
      </c>
      <c r="CB123" s="207">
        <f t="shared" si="73"/>
        <v>0</v>
      </c>
      <c r="CC123" s="207">
        <f t="shared" si="74"/>
        <v>0</v>
      </c>
      <c r="CD123" s="207">
        <f t="shared" si="75"/>
        <v>0</v>
      </c>
      <c r="CE123" s="207">
        <f t="shared" si="76"/>
        <v>52</v>
      </c>
    </row>
    <row r="124" spans="1:83" ht="12" customHeight="1" x14ac:dyDescent="0.2">
      <c r="A124" s="6">
        <v>3</v>
      </c>
      <c r="B124" s="49" t="str">
        <f t="shared" si="48"/>
        <v>Alejos Yamamoto Arturo RicardoP0006</v>
      </c>
      <c r="C124" s="117" t="str">
        <f t="shared" si="50"/>
        <v>Alejos Yamamoto Arturo Ricardo</v>
      </c>
      <c r="D124" s="49" t="str">
        <f>VLOOKUP(C124,Datos!$B$13:$C$83,2,0)</f>
        <v>VIGENTE</v>
      </c>
      <c r="E124" s="49" t="s">
        <v>93</v>
      </c>
      <c r="F124" s="49" t="str">
        <f>IFERROR(VLOOKUP(H124,Datos!$J$2:$L$60,3,0),"OBSERVACIONES")</f>
        <v>CERRADO</v>
      </c>
      <c r="G124" s="49"/>
      <c r="H124" s="49" t="s">
        <v>94</v>
      </c>
      <c r="I124" s="49" t="s">
        <v>116</v>
      </c>
      <c r="J124" s="49" t="s">
        <v>28</v>
      </c>
      <c r="K124" s="16">
        <v>10</v>
      </c>
      <c r="L124" s="16">
        <v>10</v>
      </c>
      <c r="M124" s="16">
        <v>8</v>
      </c>
      <c r="N124" s="16">
        <v>5</v>
      </c>
      <c r="O124" s="16">
        <v>2</v>
      </c>
      <c r="P124" s="16">
        <v>0</v>
      </c>
      <c r="Q124" s="16">
        <v>0</v>
      </c>
      <c r="R124" s="16">
        <v>0</v>
      </c>
      <c r="S124" s="16">
        <v>0</v>
      </c>
      <c r="T124" s="16">
        <v>0</v>
      </c>
      <c r="U124" s="16">
        <v>0</v>
      </c>
      <c r="V124" s="16">
        <v>0</v>
      </c>
      <c r="W124" s="16">
        <v>0</v>
      </c>
      <c r="X124" s="16">
        <v>0</v>
      </c>
      <c r="Y124" s="16">
        <v>0</v>
      </c>
      <c r="Z124" s="16">
        <v>0</v>
      </c>
      <c r="AA124" s="16">
        <v>0</v>
      </c>
      <c r="AB124" s="16">
        <v>0</v>
      </c>
      <c r="AC124" s="16">
        <v>0</v>
      </c>
      <c r="AD124" s="16">
        <v>0</v>
      </c>
      <c r="AE124" s="16">
        <v>0</v>
      </c>
      <c r="AF124" s="16">
        <v>0</v>
      </c>
      <c r="AG124" s="16">
        <v>0</v>
      </c>
      <c r="AH124" s="16">
        <v>0</v>
      </c>
      <c r="AI124" s="16">
        <v>0</v>
      </c>
      <c r="AJ124" s="16">
        <v>0</v>
      </c>
      <c r="AK124" s="16">
        <v>0</v>
      </c>
      <c r="AL124" s="16">
        <v>0</v>
      </c>
      <c r="AM124" s="16">
        <v>0</v>
      </c>
      <c r="AN124" s="16">
        <v>0</v>
      </c>
      <c r="AO124" s="16">
        <v>0</v>
      </c>
      <c r="AP124" s="16">
        <v>0</v>
      </c>
      <c r="AQ124" s="16">
        <v>0</v>
      </c>
      <c r="AR124" s="16">
        <v>0</v>
      </c>
      <c r="AS124" s="16">
        <v>0</v>
      </c>
      <c r="AT124" s="16">
        <v>0</v>
      </c>
      <c r="AU124" s="16">
        <v>0</v>
      </c>
      <c r="AV124" s="16">
        <v>0</v>
      </c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0</v>
      </c>
      <c r="BD124" s="16">
        <v>0</v>
      </c>
      <c r="BE124" s="16">
        <v>0</v>
      </c>
      <c r="BF124" s="16">
        <v>0</v>
      </c>
      <c r="BG124" s="16">
        <v>0</v>
      </c>
      <c r="BH124" s="16">
        <v>0</v>
      </c>
      <c r="BI124" s="16">
        <v>0</v>
      </c>
      <c r="BJ124" s="16">
        <v>0</v>
      </c>
      <c r="BK124" s="16">
        <v>0</v>
      </c>
      <c r="BL124" s="16">
        <v>0</v>
      </c>
      <c r="BM124" s="16">
        <v>0</v>
      </c>
      <c r="BN124" s="16">
        <v>0</v>
      </c>
      <c r="BO124" s="16">
        <v>0</v>
      </c>
      <c r="BP124" s="16">
        <v>0</v>
      </c>
      <c r="BQ124" s="16">
        <v>0</v>
      </c>
      <c r="BR124" s="16">
        <v>0</v>
      </c>
      <c r="BS124" s="207">
        <f t="shared" si="64"/>
        <v>35</v>
      </c>
      <c r="BT124" s="207">
        <f t="shared" si="65"/>
        <v>0</v>
      </c>
      <c r="BU124" s="207">
        <f t="shared" si="66"/>
        <v>0</v>
      </c>
      <c r="BV124" s="207">
        <f t="shared" si="67"/>
        <v>0</v>
      </c>
      <c r="BW124" s="207">
        <f t="shared" si="68"/>
        <v>0</v>
      </c>
      <c r="BX124" s="207">
        <f t="shared" si="69"/>
        <v>0</v>
      </c>
      <c r="BY124" s="207">
        <f t="shared" si="70"/>
        <v>0</v>
      </c>
      <c r="BZ124" s="207">
        <f t="shared" si="71"/>
        <v>0</v>
      </c>
      <c r="CA124" s="207">
        <f t="shared" si="72"/>
        <v>0</v>
      </c>
      <c r="CB124" s="207">
        <f t="shared" si="73"/>
        <v>0</v>
      </c>
      <c r="CC124" s="207">
        <f t="shared" si="74"/>
        <v>0</v>
      </c>
      <c r="CD124" s="207">
        <f t="shared" si="75"/>
        <v>0</v>
      </c>
      <c r="CE124" s="207">
        <f t="shared" si="76"/>
        <v>35</v>
      </c>
    </row>
    <row r="125" spans="1:83" ht="12" customHeight="1" x14ac:dyDescent="0.2">
      <c r="A125" s="6">
        <v>3</v>
      </c>
      <c r="B125" s="49" t="str">
        <f t="shared" si="48"/>
        <v>Alejos Yamamoto Arturo RicardoP0002</v>
      </c>
      <c r="C125" s="117" t="str">
        <f t="shared" si="50"/>
        <v>Alejos Yamamoto Arturo Ricardo</v>
      </c>
      <c r="D125" s="49" t="str">
        <f>VLOOKUP(C125,Datos!$B$13:$C$83,2,0)</f>
        <v>VIGENTE</v>
      </c>
      <c r="E125" s="49" t="s">
        <v>89</v>
      </c>
      <c r="F125" s="49" t="str">
        <f>IFERROR(VLOOKUP(H125,Datos!$J$2:$L$60,3,0),"OBSERVACIONES")</f>
        <v>CERRADO</v>
      </c>
      <c r="G125" s="49"/>
      <c r="H125" s="49" t="s">
        <v>90</v>
      </c>
      <c r="I125" s="49" t="s">
        <v>113</v>
      </c>
      <c r="J125" s="49" t="s">
        <v>28</v>
      </c>
      <c r="K125" s="16">
        <v>10</v>
      </c>
      <c r="L125" s="16">
        <v>10</v>
      </c>
      <c r="M125" s="16">
        <v>10</v>
      </c>
      <c r="N125" s="16">
        <v>5</v>
      </c>
      <c r="O125" s="16">
        <v>0</v>
      </c>
      <c r="P125" s="16">
        <v>0</v>
      </c>
      <c r="Q125" s="16">
        <v>0</v>
      </c>
      <c r="R125" s="16">
        <v>0</v>
      </c>
      <c r="S125" s="16">
        <v>0</v>
      </c>
      <c r="T125" s="16">
        <v>0</v>
      </c>
      <c r="U125" s="16">
        <v>0</v>
      </c>
      <c r="V125" s="16">
        <v>0</v>
      </c>
      <c r="W125" s="16">
        <v>0</v>
      </c>
      <c r="X125" s="16">
        <v>0</v>
      </c>
      <c r="Y125" s="16">
        <v>0</v>
      </c>
      <c r="Z125" s="16">
        <v>0</v>
      </c>
      <c r="AA125" s="16">
        <v>0</v>
      </c>
      <c r="AB125" s="16">
        <v>0</v>
      </c>
      <c r="AC125" s="16">
        <v>0</v>
      </c>
      <c r="AD125" s="16">
        <v>0</v>
      </c>
      <c r="AE125" s="16">
        <v>0</v>
      </c>
      <c r="AF125" s="16">
        <v>0</v>
      </c>
      <c r="AG125" s="16">
        <v>0</v>
      </c>
      <c r="AH125" s="16">
        <v>0</v>
      </c>
      <c r="AI125" s="16">
        <v>0</v>
      </c>
      <c r="AJ125" s="16">
        <v>0</v>
      </c>
      <c r="AK125" s="16">
        <v>0</v>
      </c>
      <c r="AL125" s="16">
        <v>0</v>
      </c>
      <c r="AM125" s="16">
        <v>0</v>
      </c>
      <c r="AN125" s="16">
        <v>0</v>
      </c>
      <c r="AO125" s="16">
        <v>0</v>
      </c>
      <c r="AP125" s="16">
        <v>0</v>
      </c>
      <c r="AQ125" s="16">
        <v>0</v>
      </c>
      <c r="AR125" s="16">
        <v>0</v>
      </c>
      <c r="AS125" s="16">
        <v>0</v>
      </c>
      <c r="AT125" s="16">
        <v>0</v>
      </c>
      <c r="AU125" s="16">
        <v>0</v>
      </c>
      <c r="AV125" s="16">
        <v>0</v>
      </c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0</v>
      </c>
      <c r="BD125" s="16">
        <v>0</v>
      </c>
      <c r="BE125" s="16">
        <v>0</v>
      </c>
      <c r="BF125" s="16">
        <v>0</v>
      </c>
      <c r="BG125" s="16">
        <v>0</v>
      </c>
      <c r="BH125" s="16">
        <v>0</v>
      </c>
      <c r="BI125" s="16">
        <v>0</v>
      </c>
      <c r="BJ125" s="16">
        <v>0</v>
      </c>
      <c r="BK125" s="16">
        <v>0</v>
      </c>
      <c r="BL125" s="16">
        <v>0</v>
      </c>
      <c r="BM125" s="16">
        <v>0</v>
      </c>
      <c r="BN125" s="16">
        <v>0</v>
      </c>
      <c r="BO125" s="16">
        <v>0</v>
      </c>
      <c r="BP125" s="16">
        <v>0</v>
      </c>
      <c r="BQ125" s="16">
        <v>0</v>
      </c>
      <c r="BR125" s="16">
        <v>0</v>
      </c>
      <c r="BS125" s="207">
        <f t="shared" si="64"/>
        <v>35</v>
      </c>
      <c r="BT125" s="207">
        <f t="shared" si="65"/>
        <v>0</v>
      </c>
      <c r="BU125" s="207">
        <f t="shared" si="66"/>
        <v>0</v>
      </c>
      <c r="BV125" s="207">
        <f t="shared" si="67"/>
        <v>0</v>
      </c>
      <c r="BW125" s="207">
        <f t="shared" si="68"/>
        <v>0</v>
      </c>
      <c r="BX125" s="207">
        <f t="shared" si="69"/>
        <v>0</v>
      </c>
      <c r="BY125" s="207">
        <f t="shared" si="70"/>
        <v>0</v>
      </c>
      <c r="BZ125" s="207">
        <f t="shared" si="71"/>
        <v>0</v>
      </c>
      <c r="CA125" s="207">
        <f t="shared" si="72"/>
        <v>0</v>
      </c>
      <c r="CB125" s="207">
        <f t="shared" si="73"/>
        <v>0</v>
      </c>
      <c r="CC125" s="207">
        <f t="shared" si="74"/>
        <v>0</v>
      </c>
      <c r="CD125" s="207">
        <f t="shared" si="75"/>
        <v>0</v>
      </c>
      <c r="CE125" s="207">
        <f t="shared" si="76"/>
        <v>35</v>
      </c>
    </row>
    <row r="126" spans="1:83" ht="12" customHeight="1" x14ac:dyDescent="0.2">
      <c r="A126" s="6">
        <v>3</v>
      </c>
      <c r="B126" s="49" t="str">
        <f t="shared" si="48"/>
        <v>Alejos Yamamoto Arturo RicardoP0003</v>
      </c>
      <c r="C126" s="117" t="str">
        <f t="shared" si="50"/>
        <v>Alejos Yamamoto Arturo Ricardo</v>
      </c>
      <c r="D126" s="49" t="str">
        <f>VLOOKUP(C126,Datos!$B$13:$C$83,2,0)</f>
        <v>VIGENTE</v>
      </c>
      <c r="E126" s="49" t="s">
        <v>89</v>
      </c>
      <c r="F126" s="49" t="str">
        <f>IFERROR(VLOOKUP(H126,Datos!$J$2:$L$60,3,0),"OBSERVACIONES")</f>
        <v>CERRADO</v>
      </c>
      <c r="G126" s="49"/>
      <c r="H126" s="49" t="s">
        <v>95</v>
      </c>
      <c r="I126" s="49" t="s">
        <v>165</v>
      </c>
      <c r="J126" s="49" t="s">
        <v>28</v>
      </c>
      <c r="K126" s="16">
        <v>0</v>
      </c>
      <c r="L126" s="16">
        <v>0</v>
      </c>
      <c r="M126" s="16">
        <v>0</v>
      </c>
      <c r="N126" s="16">
        <v>5</v>
      </c>
      <c r="O126" s="16">
        <v>4</v>
      </c>
      <c r="P126" s="16">
        <v>6</v>
      </c>
      <c r="Q126" s="16">
        <v>20</v>
      </c>
      <c r="R126" s="16">
        <v>30</v>
      </c>
      <c r="S126" s="16">
        <v>10</v>
      </c>
      <c r="T126" s="16">
        <v>4</v>
      </c>
      <c r="U126" s="16">
        <v>0</v>
      </c>
      <c r="V126" s="16">
        <v>0</v>
      </c>
      <c r="W126" s="16">
        <v>0</v>
      </c>
      <c r="X126" s="16">
        <v>0</v>
      </c>
      <c r="Y126" s="16">
        <v>0</v>
      </c>
      <c r="Z126" s="16">
        <v>0</v>
      </c>
      <c r="AA126" s="16">
        <v>0</v>
      </c>
      <c r="AB126" s="16">
        <v>0</v>
      </c>
      <c r="AC126" s="16">
        <v>0</v>
      </c>
      <c r="AD126" s="16">
        <v>0</v>
      </c>
      <c r="AE126" s="16">
        <v>0</v>
      </c>
      <c r="AF126" s="16">
        <v>0</v>
      </c>
      <c r="AG126" s="16">
        <v>0</v>
      </c>
      <c r="AH126" s="16">
        <v>0</v>
      </c>
      <c r="AI126" s="16">
        <v>0</v>
      </c>
      <c r="AJ126" s="16">
        <v>0</v>
      </c>
      <c r="AK126" s="16">
        <v>0</v>
      </c>
      <c r="AL126" s="16">
        <v>0</v>
      </c>
      <c r="AM126" s="16">
        <v>0</v>
      </c>
      <c r="AN126" s="16">
        <v>0</v>
      </c>
      <c r="AO126" s="16">
        <v>0</v>
      </c>
      <c r="AP126" s="16">
        <v>0</v>
      </c>
      <c r="AQ126" s="16">
        <v>0</v>
      </c>
      <c r="AR126" s="16">
        <v>0</v>
      </c>
      <c r="AS126" s="16">
        <v>0</v>
      </c>
      <c r="AT126" s="16">
        <v>0</v>
      </c>
      <c r="AU126" s="16">
        <v>0</v>
      </c>
      <c r="AV126" s="16">
        <v>0</v>
      </c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0</v>
      </c>
      <c r="BD126" s="16">
        <v>0</v>
      </c>
      <c r="BE126" s="16">
        <v>0</v>
      </c>
      <c r="BF126" s="16">
        <v>0</v>
      </c>
      <c r="BG126" s="16">
        <v>0</v>
      </c>
      <c r="BH126" s="16">
        <v>0</v>
      </c>
      <c r="BI126" s="16">
        <v>0</v>
      </c>
      <c r="BJ126" s="16">
        <v>0</v>
      </c>
      <c r="BK126" s="16">
        <v>0</v>
      </c>
      <c r="BL126" s="16">
        <v>0</v>
      </c>
      <c r="BM126" s="16">
        <v>0</v>
      </c>
      <c r="BN126" s="16">
        <v>0</v>
      </c>
      <c r="BO126" s="16">
        <v>0</v>
      </c>
      <c r="BP126" s="16">
        <v>0</v>
      </c>
      <c r="BQ126" s="16">
        <v>0</v>
      </c>
      <c r="BR126" s="16">
        <v>0</v>
      </c>
      <c r="BS126" s="207">
        <f t="shared" si="64"/>
        <v>9</v>
      </c>
      <c r="BT126" s="207">
        <f t="shared" si="65"/>
        <v>70</v>
      </c>
      <c r="BU126" s="207">
        <f t="shared" si="66"/>
        <v>0</v>
      </c>
      <c r="BV126" s="207">
        <f t="shared" si="67"/>
        <v>0</v>
      </c>
      <c r="BW126" s="207">
        <f t="shared" si="68"/>
        <v>0</v>
      </c>
      <c r="BX126" s="207">
        <f t="shared" si="69"/>
        <v>0</v>
      </c>
      <c r="BY126" s="207">
        <f t="shared" si="70"/>
        <v>0</v>
      </c>
      <c r="BZ126" s="207">
        <f t="shared" si="71"/>
        <v>0</v>
      </c>
      <c r="CA126" s="207">
        <f t="shared" si="72"/>
        <v>0</v>
      </c>
      <c r="CB126" s="207">
        <f t="shared" si="73"/>
        <v>0</v>
      </c>
      <c r="CC126" s="207">
        <f t="shared" si="74"/>
        <v>0</v>
      </c>
      <c r="CD126" s="207">
        <f t="shared" si="75"/>
        <v>0</v>
      </c>
      <c r="CE126" s="207">
        <f t="shared" si="76"/>
        <v>79</v>
      </c>
    </row>
    <row r="127" spans="1:83" ht="12" customHeight="1" x14ac:dyDescent="0.2">
      <c r="A127" s="6">
        <v>3</v>
      </c>
      <c r="B127" s="49" t="str">
        <f t="shared" si="48"/>
        <v>Alejos Yamamoto Arturo RicardoP0024</v>
      </c>
      <c r="C127" s="117" t="str">
        <f t="shared" si="50"/>
        <v>Alejos Yamamoto Arturo Ricardo</v>
      </c>
      <c r="D127" s="49" t="str">
        <f>VLOOKUP(C127,Datos!$B$13:$C$83,2,0)</f>
        <v>VIGENTE</v>
      </c>
      <c r="E127" s="49" t="s">
        <v>78</v>
      </c>
      <c r="F127" s="49" t="str">
        <f>IFERROR(VLOOKUP(H127,Datos!$J$2:$L$60,3,0),"OBSERVACIONES")</f>
        <v>CERRADO</v>
      </c>
      <c r="G127" s="49"/>
      <c r="H127" s="49" t="s">
        <v>221</v>
      </c>
      <c r="I127" s="49" t="s">
        <v>222</v>
      </c>
      <c r="J127" s="49" t="s">
        <v>28</v>
      </c>
      <c r="K127" s="16">
        <v>0</v>
      </c>
      <c r="L127" s="16">
        <v>0</v>
      </c>
      <c r="M127" s="16">
        <v>0</v>
      </c>
      <c r="N127" s="16">
        <v>0</v>
      </c>
      <c r="O127" s="16">
        <v>0</v>
      </c>
      <c r="P127" s="16">
        <v>0</v>
      </c>
      <c r="Q127" s="16">
        <v>0</v>
      </c>
      <c r="R127" s="16">
        <v>0</v>
      </c>
      <c r="S127" s="16">
        <v>0</v>
      </c>
      <c r="T127" s="16">
        <v>0</v>
      </c>
      <c r="U127" s="16">
        <v>0</v>
      </c>
      <c r="V127" s="16">
        <v>0</v>
      </c>
      <c r="W127" s="16">
        <v>0</v>
      </c>
      <c r="X127" s="16">
        <v>0</v>
      </c>
      <c r="Y127" s="16">
        <v>0</v>
      </c>
      <c r="Z127" s="16">
        <v>0</v>
      </c>
      <c r="AA127" s="16">
        <v>0</v>
      </c>
      <c r="AB127" s="16">
        <v>0</v>
      </c>
      <c r="AC127" s="16">
        <v>0</v>
      </c>
      <c r="AD127" s="16">
        <v>0</v>
      </c>
      <c r="AE127" s="16">
        <v>0</v>
      </c>
      <c r="AF127" s="16">
        <v>0</v>
      </c>
      <c r="AG127" s="16">
        <v>0</v>
      </c>
      <c r="AH127" s="16">
        <v>0</v>
      </c>
      <c r="AI127" s="16">
        <v>0</v>
      </c>
      <c r="AJ127" s="16">
        <v>0</v>
      </c>
      <c r="AK127" s="16">
        <v>0</v>
      </c>
      <c r="AL127" s="16">
        <v>0</v>
      </c>
      <c r="AM127" s="16">
        <v>24</v>
      </c>
      <c r="AN127" s="16">
        <v>0</v>
      </c>
      <c r="AO127" s="16">
        <v>0</v>
      </c>
      <c r="AP127" s="16">
        <v>0</v>
      </c>
      <c r="AQ127" s="16">
        <v>0</v>
      </c>
      <c r="AR127" s="16">
        <v>0</v>
      </c>
      <c r="AS127" s="16">
        <v>0</v>
      </c>
      <c r="AT127" s="16">
        <v>0</v>
      </c>
      <c r="AU127" s="16">
        <v>0</v>
      </c>
      <c r="AV127" s="16">
        <v>0</v>
      </c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0</v>
      </c>
      <c r="BD127" s="16">
        <v>0</v>
      </c>
      <c r="BE127" s="16">
        <v>0</v>
      </c>
      <c r="BF127" s="16">
        <v>0</v>
      </c>
      <c r="BG127" s="16">
        <v>0</v>
      </c>
      <c r="BH127" s="16">
        <v>0</v>
      </c>
      <c r="BI127" s="16">
        <v>0</v>
      </c>
      <c r="BJ127" s="16">
        <v>0</v>
      </c>
      <c r="BK127" s="16">
        <v>0</v>
      </c>
      <c r="BL127" s="16">
        <v>0</v>
      </c>
      <c r="BM127" s="16">
        <v>0</v>
      </c>
      <c r="BN127" s="16">
        <v>0</v>
      </c>
      <c r="BO127" s="16">
        <v>0</v>
      </c>
      <c r="BP127" s="16">
        <v>0</v>
      </c>
      <c r="BQ127" s="16">
        <v>0</v>
      </c>
      <c r="BR127" s="16">
        <v>0</v>
      </c>
      <c r="BS127" s="207">
        <f t="shared" si="64"/>
        <v>0</v>
      </c>
      <c r="BT127" s="207">
        <f t="shared" si="65"/>
        <v>0</v>
      </c>
      <c r="BU127" s="207">
        <f t="shared" si="66"/>
        <v>0</v>
      </c>
      <c r="BV127" s="207">
        <f t="shared" si="67"/>
        <v>0</v>
      </c>
      <c r="BW127" s="207">
        <f t="shared" si="68"/>
        <v>0</v>
      </c>
      <c r="BX127" s="207">
        <f t="shared" si="69"/>
        <v>24</v>
      </c>
      <c r="BY127" s="207">
        <f t="shared" si="70"/>
        <v>0</v>
      </c>
      <c r="BZ127" s="207">
        <f t="shared" si="71"/>
        <v>0</v>
      </c>
      <c r="CA127" s="207">
        <f t="shared" si="72"/>
        <v>0</v>
      </c>
      <c r="CB127" s="207">
        <f t="shared" si="73"/>
        <v>0</v>
      </c>
      <c r="CC127" s="207">
        <f t="shared" si="74"/>
        <v>0</v>
      </c>
      <c r="CD127" s="207">
        <f t="shared" si="75"/>
        <v>0</v>
      </c>
      <c r="CE127" s="207">
        <f t="shared" si="76"/>
        <v>24</v>
      </c>
    </row>
    <row r="128" spans="1:83" ht="12" customHeight="1" x14ac:dyDescent="0.2">
      <c r="A128" s="6">
        <v>3</v>
      </c>
      <c r="B128" s="49" t="str">
        <f t="shared" si="48"/>
        <v>Huanes Bautista Cesar AlfredoP0034</v>
      </c>
      <c r="C128" s="117" t="str">
        <f>J128</f>
        <v>Huanes Bautista Cesar Alfredo</v>
      </c>
      <c r="D128" s="49" t="str">
        <f>VLOOKUP(C128,Datos!$B$13:$C$83,2,0)</f>
        <v>CESADO</v>
      </c>
      <c r="E128" s="49" t="s">
        <v>50</v>
      </c>
      <c r="F128" s="49" t="str">
        <f>IFERROR(VLOOKUP(H128,Datos!$J$2:$L$60,3,0),"OBSERVACIONES")</f>
        <v>CERRADO</v>
      </c>
      <c r="G128" s="49"/>
      <c r="H128" s="49" t="s">
        <v>639</v>
      </c>
      <c r="I128" s="49" t="s">
        <v>640</v>
      </c>
      <c r="J128" s="119" t="s">
        <v>428</v>
      </c>
      <c r="K128" s="16">
        <v>0</v>
      </c>
      <c r="L128" s="16">
        <v>0</v>
      </c>
      <c r="M128" s="16">
        <v>0</v>
      </c>
      <c r="N128" s="16">
        <v>0</v>
      </c>
      <c r="O128" s="16">
        <v>0</v>
      </c>
      <c r="P128" s="16">
        <v>0</v>
      </c>
      <c r="Q128" s="16">
        <v>0</v>
      </c>
      <c r="R128" s="16">
        <v>0</v>
      </c>
      <c r="S128" s="16">
        <v>0</v>
      </c>
      <c r="T128" s="16">
        <v>0</v>
      </c>
      <c r="U128" s="16">
        <v>0</v>
      </c>
      <c r="V128" s="16">
        <v>0</v>
      </c>
      <c r="W128" s="16">
        <v>0</v>
      </c>
      <c r="X128" s="16">
        <v>0</v>
      </c>
      <c r="Y128" s="16">
        <v>0</v>
      </c>
      <c r="Z128" s="16">
        <v>0</v>
      </c>
      <c r="AA128" s="16">
        <v>0</v>
      </c>
      <c r="AB128" s="16">
        <v>0</v>
      </c>
      <c r="AC128" s="16">
        <v>0</v>
      </c>
      <c r="AD128" s="16">
        <v>0</v>
      </c>
      <c r="AE128" s="16">
        <v>0</v>
      </c>
      <c r="AF128" s="16">
        <v>0</v>
      </c>
      <c r="AG128" s="16">
        <v>0</v>
      </c>
      <c r="AH128" s="16">
        <v>0</v>
      </c>
      <c r="AI128" s="16">
        <v>0</v>
      </c>
      <c r="AJ128" s="16">
        <v>0</v>
      </c>
      <c r="AK128" s="16">
        <v>0</v>
      </c>
      <c r="AL128" s="16">
        <v>0</v>
      </c>
      <c r="AM128" s="16">
        <v>0</v>
      </c>
      <c r="AN128" s="16">
        <v>0</v>
      </c>
      <c r="AO128" s="16">
        <v>16</v>
      </c>
      <c r="AP128" s="16">
        <v>40</v>
      </c>
      <c r="AQ128" s="16">
        <v>16</v>
      </c>
      <c r="AR128" s="16">
        <v>0</v>
      </c>
      <c r="AS128" s="16">
        <v>0</v>
      </c>
      <c r="AT128" s="16">
        <v>0</v>
      </c>
      <c r="AU128" s="16">
        <v>0</v>
      </c>
      <c r="AV128" s="16">
        <v>0</v>
      </c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0</v>
      </c>
      <c r="BD128" s="16">
        <v>0</v>
      </c>
      <c r="BE128" s="16">
        <v>0</v>
      </c>
      <c r="BF128" s="16">
        <v>0</v>
      </c>
      <c r="BG128" s="16">
        <v>0</v>
      </c>
      <c r="BH128" s="16">
        <v>0</v>
      </c>
      <c r="BI128" s="16">
        <v>0</v>
      </c>
      <c r="BJ128" s="16">
        <v>0</v>
      </c>
      <c r="BK128" s="16">
        <v>0</v>
      </c>
      <c r="BL128" s="16">
        <v>0</v>
      </c>
      <c r="BM128" s="16">
        <v>0</v>
      </c>
      <c r="BN128" s="16">
        <v>0</v>
      </c>
      <c r="BO128" s="16">
        <v>0</v>
      </c>
      <c r="BP128" s="16">
        <v>0</v>
      </c>
      <c r="BQ128" s="16">
        <v>0</v>
      </c>
      <c r="BR128" s="16">
        <v>0</v>
      </c>
      <c r="BS128" s="207">
        <f t="shared" si="64"/>
        <v>0</v>
      </c>
      <c r="BT128" s="207">
        <f t="shared" si="65"/>
        <v>0</v>
      </c>
      <c r="BU128" s="207">
        <f t="shared" si="66"/>
        <v>0</v>
      </c>
      <c r="BV128" s="207">
        <f t="shared" si="67"/>
        <v>0</v>
      </c>
      <c r="BW128" s="207">
        <f t="shared" si="68"/>
        <v>0</v>
      </c>
      <c r="BX128" s="207">
        <f t="shared" si="69"/>
        <v>0</v>
      </c>
      <c r="BY128" s="207">
        <f t="shared" si="70"/>
        <v>72</v>
      </c>
      <c r="BZ128" s="207">
        <f t="shared" si="71"/>
        <v>0</v>
      </c>
      <c r="CA128" s="207">
        <f t="shared" si="72"/>
        <v>0</v>
      </c>
      <c r="CB128" s="207">
        <f t="shared" si="73"/>
        <v>0</v>
      </c>
      <c r="CC128" s="207">
        <f t="shared" si="74"/>
        <v>0</v>
      </c>
      <c r="CD128" s="207">
        <f t="shared" si="75"/>
        <v>0</v>
      </c>
      <c r="CE128" s="207">
        <f t="shared" si="76"/>
        <v>72</v>
      </c>
    </row>
    <row r="129" spans="1:83" ht="12" customHeight="1" x14ac:dyDescent="0.2">
      <c r="A129" s="6">
        <v>3</v>
      </c>
      <c r="B129" s="49" t="str">
        <f t="shared" si="48"/>
        <v>Empresa tercerizadaP0019</v>
      </c>
      <c r="C129" s="117" t="str">
        <f t="shared" ref="C129:C189" si="77">J129</f>
        <v>Empresa tercerizada</v>
      </c>
      <c r="D129" s="49" t="str">
        <f>VLOOKUP(C129,Datos!$B$13:$C$83,2,0)</f>
        <v>CESADO</v>
      </c>
      <c r="E129" s="49" t="s">
        <v>227</v>
      </c>
      <c r="F129" s="49" t="str">
        <f>IFERROR(VLOOKUP(H129,Datos!$J$2:$L$60,3,0),"OBSERVACIONES")</f>
        <v>PROCESO</v>
      </c>
      <c r="G129" s="49"/>
      <c r="H129" s="49" t="s">
        <v>228</v>
      </c>
      <c r="I129" s="49" t="s">
        <v>229</v>
      </c>
      <c r="J129" s="49" t="s">
        <v>230</v>
      </c>
      <c r="K129" s="16">
        <v>0</v>
      </c>
      <c r="L129" s="16">
        <v>0</v>
      </c>
      <c r="M129" s="16">
        <v>0</v>
      </c>
      <c r="N129" s="16">
        <v>0</v>
      </c>
      <c r="O129" s="16">
        <v>0</v>
      </c>
      <c r="P129" s="16">
        <v>0</v>
      </c>
      <c r="Q129" s="16">
        <v>0</v>
      </c>
      <c r="R129" s="16">
        <v>0</v>
      </c>
      <c r="S129" s="16">
        <v>0</v>
      </c>
      <c r="T129" s="16">
        <v>0</v>
      </c>
      <c r="U129" s="16">
        <v>0</v>
      </c>
      <c r="V129" s="16">
        <v>0</v>
      </c>
      <c r="W129" s="16">
        <v>0</v>
      </c>
      <c r="X129" s="16">
        <v>0</v>
      </c>
      <c r="Y129" s="16">
        <v>0</v>
      </c>
      <c r="Z129" s="16">
        <v>0</v>
      </c>
      <c r="AA129" s="16">
        <v>0</v>
      </c>
      <c r="AB129" s="16">
        <v>0</v>
      </c>
      <c r="AC129" s="16">
        <v>0</v>
      </c>
      <c r="AD129" s="16">
        <v>0</v>
      </c>
      <c r="AE129" s="16">
        <v>0</v>
      </c>
      <c r="AF129" s="16">
        <v>0</v>
      </c>
      <c r="AG129" s="16">
        <v>0</v>
      </c>
      <c r="AH129" s="16">
        <v>0</v>
      </c>
      <c r="AI129" s="16">
        <v>0</v>
      </c>
      <c r="AJ129" s="16">
        <v>40</v>
      </c>
      <c r="AK129" s="16">
        <v>40</v>
      </c>
      <c r="AL129" s="16">
        <v>40</v>
      </c>
      <c r="AM129" s="16">
        <v>32</v>
      </c>
      <c r="AN129" s="16">
        <v>40</v>
      </c>
      <c r="AO129" s="16">
        <v>40</v>
      </c>
      <c r="AP129" s="16">
        <v>40</v>
      </c>
      <c r="AQ129" s="16">
        <v>32</v>
      </c>
      <c r="AR129" s="16">
        <v>0</v>
      </c>
      <c r="AS129" s="16">
        <v>0</v>
      </c>
      <c r="AT129" s="16">
        <v>0</v>
      </c>
      <c r="AU129" s="16">
        <v>0</v>
      </c>
      <c r="AV129" s="16">
        <v>0</v>
      </c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0</v>
      </c>
      <c r="BD129" s="16">
        <v>0</v>
      </c>
      <c r="BE129" s="16">
        <v>0</v>
      </c>
      <c r="BF129" s="16">
        <v>0</v>
      </c>
      <c r="BG129" s="16">
        <v>0</v>
      </c>
      <c r="BH129" s="16">
        <v>0</v>
      </c>
      <c r="BI129" s="16">
        <v>0</v>
      </c>
      <c r="BJ129" s="16">
        <v>0</v>
      </c>
      <c r="BK129" s="16">
        <v>0</v>
      </c>
      <c r="BL129" s="16">
        <v>0</v>
      </c>
      <c r="BM129" s="16">
        <v>0</v>
      </c>
      <c r="BN129" s="16">
        <v>0</v>
      </c>
      <c r="BO129" s="16">
        <v>0</v>
      </c>
      <c r="BP129" s="16">
        <v>0</v>
      </c>
      <c r="BQ129" s="16">
        <v>0</v>
      </c>
      <c r="BR129" s="16">
        <v>0</v>
      </c>
      <c r="BS129" s="207">
        <f t="shared" si="64"/>
        <v>0</v>
      </c>
      <c r="BT129" s="207">
        <f t="shared" si="65"/>
        <v>0</v>
      </c>
      <c r="BU129" s="207">
        <f t="shared" si="66"/>
        <v>0</v>
      </c>
      <c r="BV129" s="207">
        <f t="shared" si="67"/>
        <v>0</v>
      </c>
      <c r="BW129" s="207">
        <f t="shared" si="68"/>
        <v>0</v>
      </c>
      <c r="BX129" s="207">
        <f t="shared" si="69"/>
        <v>152</v>
      </c>
      <c r="BY129" s="207">
        <f t="shared" si="70"/>
        <v>152</v>
      </c>
      <c r="BZ129" s="207">
        <f t="shared" si="71"/>
        <v>0</v>
      </c>
      <c r="CA129" s="207">
        <f t="shared" si="72"/>
        <v>0</v>
      </c>
      <c r="CB129" s="207">
        <f t="shared" si="73"/>
        <v>0</v>
      </c>
      <c r="CC129" s="207">
        <f t="shared" si="74"/>
        <v>0</v>
      </c>
      <c r="CD129" s="207">
        <f t="shared" si="75"/>
        <v>0</v>
      </c>
      <c r="CE129" s="207">
        <f t="shared" si="76"/>
        <v>304</v>
      </c>
    </row>
    <row r="130" spans="1:83" ht="12" customHeight="1" x14ac:dyDescent="0.2">
      <c r="A130" s="6">
        <v>2</v>
      </c>
      <c r="B130" s="49" t="str">
        <f t="shared" si="48"/>
        <v>Alejos Yamamoto Arturo RicardoPROPUESTA</v>
      </c>
      <c r="C130" s="117" t="str">
        <f t="shared" si="77"/>
        <v>Alejos Yamamoto Arturo Ricardo</v>
      </c>
      <c r="D130" s="49" t="str">
        <f>VLOOKUP(C130,Datos!$B$13:$C$83,2,0)</f>
        <v>VIGENTE</v>
      </c>
      <c r="E130" s="50" t="s">
        <v>46</v>
      </c>
      <c r="F130" s="49"/>
      <c r="G130" s="49" t="str">
        <f>IFERROR(VLOOKUP(H130,Datos!$J$2:$L$60,3,0),"OBSERVACIONES")</f>
        <v>OBSERVACIONES</v>
      </c>
      <c r="H130" s="50" t="s">
        <v>46</v>
      </c>
      <c r="I130" s="49" t="s">
        <v>132</v>
      </c>
      <c r="J130" s="49" t="s">
        <v>28</v>
      </c>
      <c r="K130" s="16">
        <v>0</v>
      </c>
      <c r="L130" s="16">
        <v>0</v>
      </c>
      <c r="M130" s="16">
        <v>0</v>
      </c>
      <c r="N130" s="16">
        <v>0</v>
      </c>
      <c r="O130" s="16">
        <v>0</v>
      </c>
      <c r="P130" s="16">
        <v>0</v>
      </c>
      <c r="Q130" s="16">
        <v>0</v>
      </c>
      <c r="R130" s="16">
        <v>0</v>
      </c>
      <c r="S130" s="16">
        <v>0</v>
      </c>
      <c r="T130" s="16">
        <v>0</v>
      </c>
      <c r="U130" s="16">
        <v>0</v>
      </c>
      <c r="V130" s="16">
        <v>0</v>
      </c>
      <c r="W130" s="16">
        <v>0</v>
      </c>
      <c r="X130" s="16">
        <v>0</v>
      </c>
      <c r="Y130" s="16">
        <v>0</v>
      </c>
      <c r="Z130" s="16">
        <v>0</v>
      </c>
      <c r="AA130" s="16">
        <v>0</v>
      </c>
      <c r="AB130" s="16">
        <v>0</v>
      </c>
      <c r="AC130" s="16">
        <v>0</v>
      </c>
      <c r="AD130" s="16">
        <v>32</v>
      </c>
      <c r="AE130" s="16">
        <v>40</v>
      </c>
      <c r="AF130" s="16">
        <v>40</v>
      </c>
      <c r="AG130" s="16">
        <v>20</v>
      </c>
      <c r="AH130" s="16">
        <v>12</v>
      </c>
      <c r="AI130" s="16">
        <v>16</v>
      </c>
      <c r="AJ130" s="16">
        <v>40</v>
      </c>
      <c r="AK130" s="16">
        <v>0</v>
      </c>
      <c r="AL130" s="16">
        <v>40</v>
      </c>
      <c r="AM130" s="16">
        <v>8</v>
      </c>
      <c r="AN130" s="16">
        <v>40</v>
      </c>
      <c r="AO130" s="16">
        <v>16</v>
      </c>
      <c r="AP130" s="16">
        <v>24</v>
      </c>
      <c r="AQ130" s="16">
        <v>12</v>
      </c>
      <c r="AR130" s="16">
        <v>0</v>
      </c>
      <c r="AS130" s="16">
        <v>0</v>
      </c>
      <c r="AT130" s="16">
        <v>8</v>
      </c>
      <c r="AU130" s="16">
        <v>16</v>
      </c>
      <c r="AV130" s="16">
        <v>40</v>
      </c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0</v>
      </c>
      <c r="BD130" s="16">
        <v>0</v>
      </c>
      <c r="BE130" s="16">
        <v>0</v>
      </c>
      <c r="BF130" s="16">
        <v>0</v>
      </c>
      <c r="BG130" s="16">
        <v>0</v>
      </c>
      <c r="BH130" s="16">
        <v>0</v>
      </c>
      <c r="BI130" s="16">
        <v>0</v>
      </c>
      <c r="BJ130" s="16">
        <v>0</v>
      </c>
      <c r="BK130" s="16">
        <v>0</v>
      </c>
      <c r="BL130" s="16">
        <v>0</v>
      </c>
      <c r="BM130" s="16">
        <v>0</v>
      </c>
      <c r="BN130" s="16">
        <v>0</v>
      </c>
      <c r="BO130" s="16">
        <v>0</v>
      </c>
      <c r="BP130" s="16">
        <v>0</v>
      </c>
      <c r="BQ130" s="16">
        <v>0</v>
      </c>
      <c r="BR130" s="16">
        <v>0</v>
      </c>
      <c r="BS130" s="207">
        <f t="shared" si="64"/>
        <v>0</v>
      </c>
      <c r="BT130" s="207">
        <f t="shared" si="65"/>
        <v>0</v>
      </c>
      <c r="BU130" s="207">
        <f t="shared" si="66"/>
        <v>0</v>
      </c>
      <c r="BV130" s="207">
        <f t="shared" si="67"/>
        <v>0</v>
      </c>
      <c r="BW130" s="207">
        <f t="shared" si="68"/>
        <v>144</v>
      </c>
      <c r="BX130" s="207">
        <f t="shared" si="69"/>
        <v>104</v>
      </c>
      <c r="BY130" s="207">
        <f t="shared" si="70"/>
        <v>92</v>
      </c>
      <c r="BZ130" s="207">
        <f t="shared" si="71"/>
        <v>64</v>
      </c>
      <c r="CA130" s="207">
        <f t="shared" si="72"/>
        <v>0</v>
      </c>
      <c r="CB130" s="207">
        <f t="shared" si="73"/>
        <v>0</v>
      </c>
      <c r="CC130" s="207">
        <f t="shared" si="74"/>
        <v>0</v>
      </c>
      <c r="CD130" s="207">
        <f t="shared" si="75"/>
        <v>0</v>
      </c>
      <c r="CE130" s="207">
        <f t="shared" si="76"/>
        <v>404</v>
      </c>
    </row>
    <row r="131" spans="1:83" ht="12" customHeight="1" x14ac:dyDescent="0.2">
      <c r="A131" s="6">
        <v>5</v>
      </c>
      <c r="B131" s="49" t="str">
        <f t="shared" si="48"/>
        <v>Alejos Yamamoto Arturo RicardoINASISTENCIAS</v>
      </c>
      <c r="C131" s="117" t="str">
        <f>J131</f>
        <v>Alejos Yamamoto Arturo Ricardo</v>
      </c>
      <c r="D131" s="49" t="str">
        <f>VLOOKUP(C131,Datos!$B$13:$C$83,2,0)</f>
        <v>VIGENTE</v>
      </c>
      <c r="E131" s="50" t="s">
        <v>208</v>
      </c>
      <c r="F131" s="49"/>
      <c r="G131" s="49" t="str">
        <f>IFERROR(VLOOKUP(H131,Datos!$J$2:$L$60,3,0),"OBSERVACIONES")</f>
        <v>OBSERVACIONES</v>
      </c>
      <c r="H131" s="50" t="s">
        <v>208</v>
      </c>
      <c r="I131" s="49" t="s">
        <v>210</v>
      </c>
      <c r="J131" s="49" t="s">
        <v>28</v>
      </c>
      <c r="K131" s="16">
        <v>0</v>
      </c>
      <c r="L131" s="16">
        <v>0</v>
      </c>
      <c r="M131" s="16">
        <v>0</v>
      </c>
      <c r="N131" s="16">
        <v>0</v>
      </c>
      <c r="O131" s="16">
        <v>0</v>
      </c>
      <c r="P131" s="16">
        <v>0</v>
      </c>
      <c r="Q131" s="16">
        <v>0</v>
      </c>
      <c r="R131" s="16">
        <v>0</v>
      </c>
      <c r="S131" s="16">
        <v>0</v>
      </c>
      <c r="T131" s="16">
        <v>0</v>
      </c>
      <c r="U131" s="16">
        <v>0</v>
      </c>
      <c r="V131" s="16">
        <v>0</v>
      </c>
      <c r="W131" s="16">
        <v>0</v>
      </c>
      <c r="X131" s="16">
        <v>0</v>
      </c>
      <c r="Y131" s="16">
        <v>0</v>
      </c>
      <c r="Z131" s="16">
        <v>0</v>
      </c>
      <c r="AA131" s="16">
        <v>0</v>
      </c>
      <c r="AB131" s="16">
        <v>0</v>
      </c>
      <c r="AC131" s="16">
        <v>0</v>
      </c>
      <c r="AD131" s="16">
        <v>0</v>
      </c>
      <c r="AE131" s="16">
        <v>0</v>
      </c>
      <c r="AF131" s="16">
        <v>0</v>
      </c>
      <c r="AG131" s="16">
        <v>0</v>
      </c>
      <c r="AH131" s="16">
        <v>0</v>
      </c>
      <c r="AI131" s="16">
        <v>0</v>
      </c>
      <c r="AJ131" s="16">
        <v>0</v>
      </c>
      <c r="AK131" s="16">
        <v>40</v>
      </c>
      <c r="AL131" s="16">
        <v>0</v>
      </c>
      <c r="AM131" s="16">
        <v>0</v>
      </c>
      <c r="AN131" s="16">
        <v>0</v>
      </c>
      <c r="AO131" s="16">
        <v>0</v>
      </c>
      <c r="AP131" s="16">
        <v>0</v>
      </c>
      <c r="AQ131" s="16">
        <v>0</v>
      </c>
      <c r="AR131" s="16">
        <v>0</v>
      </c>
      <c r="AS131" s="16">
        <v>0</v>
      </c>
      <c r="AT131" s="16">
        <v>0</v>
      </c>
      <c r="AU131" s="16">
        <v>0</v>
      </c>
      <c r="AV131" s="16">
        <v>0</v>
      </c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0</v>
      </c>
      <c r="BD131" s="16">
        <v>0</v>
      </c>
      <c r="BE131" s="16">
        <v>0</v>
      </c>
      <c r="BF131" s="16">
        <v>0</v>
      </c>
      <c r="BG131" s="16">
        <v>0</v>
      </c>
      <c r="BH131" s="16">
        <v>0</v>
      </c>
      <c r="BI131" s="16">
        <v>0</v>
      </c>
      <c r="BJ131" s="16">
        <v>0</v>
      </c>
      <c r="BK131" s="16">
        <v>0</v>
      </c>
      <c r="BL131" s="16">
        <v>0</v>
      </c>
      <c r="BM131" s="16">
        <v>0</v>
      </c>
      <c r="BN131" s="16">
        <v>0</v>
      </c>
      <c r="BO131" s="16">
        <v>0</v>
      </c>
      <c r="BP131" s="16">
        <v>0</v>
      </c>
      <c r="BQ131" s="16">
        <v>0</v>
      </c>
      <c r="BR131" s="16">
        <v>0</v>
      </c>
      <c r="BS131" s="207">
        <f t="shared" si="64"/>
        <v>0</v>
      </c>
      <c r="BT131" s="207">
        <f t="shared" si="65"/>
        <v>0</v>
      </c>
      <c r="BU131" s="207">
        <f t="shared" si="66"/>
        <v>0</v>
      </c>
      <c r="BV131" s="207">
        <f t="shared" si="67"/>
        <v>0</v>
      </c>
      <c r="BW131" s="207">
        <f t="shared" si="68"/>
        <v>0</v>
      </c>
      <c r="BX131" s="207">
        <f t="shared" si="69"/>
        <v>40</v>
      </c>
      <c r="BY131" s="207">
        <f t="shared" si="70"/>
        <v>0</v>
      </c>
      <c r="BZ131" s="207">
        <f t="shared" si="71"/>
        <v>0</v>
      </c>
      <c r="CA131" s="207">
        <f t="shared" si="72"/>
        <v>0</v>
      </c>
      <c r="CB131" s="207">
        <f t="shared" si="73"/>
        <v>0</v>
      </c>
      <c r="CC131" s="207">
        <f t="shared" si="74"/>
        <v>0</v>
      </c>
      <c r="CD131" s="207">
        <f t="shared" si="75"/>
        <v>0</v>
      </c>
      <c r="CE131" s="207">
        <f t="shared" si="76"/>
        <v>40</v>
      </c>
    </row>
    <row r="132" spans="1:83" ht="12" customHeight="1" x14ac:dyDescent="0.2">
      <c r="A132" s="6">
        <v>4</v>
      </c>
      <c r="B132" s="49" t="str">
        <f t="shared" si="48"/>
        <v>Alejos Yamamoto Arturo RicardoVACACIONES</v>
      </c>
      <c r="C132" s="117" t="str">
        <f>J132</f>
        <v>Alejos Yamamoto Arturo Ricardo</v>
      </c>
      <c r="D132" s="49" t="str">
        <f>VLOOKUP(C132,Datos!$B$13:$C$83,2,0)</f>
        <v>VIGENTE</v>
      </c>
      <c r="E132" s="50" t="s">
        <v>209</v>
      </c>
      <c r="F132" s="49"/>
      <c r="G132" s="49" t="str">
        <f>IFERROR(VLOOKUP(H132,Datos!$J$2:$L$60,3,0),"OBSERVACIONES")</f>
        <v>OBSERVACIONES</v>
      </c>
      <c r="H132" s="50" t="s">
        <v>209</v>
      </c>
      <c r="I132" s="49" t="s">
        <v>243</v>
      </c>
      <c r="J132" s="49" t="s">
        <v>28</v>
      </c>
      <c r="K132" s="16">
        <v>20</v>
      </c>
      <c r="L132" s="16">
        <v>15</v>
      </c>
      <c r="M132" s="16">
        <v>18</v>
      </c>
      <c r="N132" s="16">
        <v>25</v>
      </c>
      <c r="O132" s="16">
        <v>10</v>
      </c>
      <c r="P132" s="16">
        <v>18</v>
      </c>
      <c r="Q132" s="16">
        <v>20</v>
      </c>
      <c r="R132" s="16">
        <v>10</v>
      </c>
      <c r="S132" s="16">
        <v>30</v>
      </c>
      <c r="T132" s="16">
        <v>12</v>
      </c>
      <c r="U132" s="16">
        <v>0</v>
      </c>
      <c r="V132" s="16">
        <v>0</v>
      </c>
      <c r="W132" s="16">
        <v>0</v>
      </c>
      <c r="X132" s="16">
        <v>0</v>
      </c>
      <c r="Y132" s="16">
        <v>0</v>
      </c>
      <c r="Z132" s="16">
        <v>0</v>
      </c>
      <c r="AA132" s="16">
        <v>0</v>
      </c>
      <c r="AB132" s="16">
        <v>0</v>
      </c>
      <c r="AC132" s="16">
        <v>0</v>
      </c>
      <c r="AD132" s="16">
        <v>0</v>
      </c>
      <c r="AE132" s="16">
        <v>0</v>
      </c>
      <c r="AF132" s="16">
        <v>0</v>
      </c>
      <c r="AG132" s="16">
        <v>0</v>
      </c>
      <c r="AH132" s="16">
        <v>0</v>
      </c>
      <c r="AI132" s="16">
        <v>0</v>
      </c>
      <c r="AJ132" s="16">
        <v>0</v>
      </c>
      <c r="AK132" s="16">
        <v>0</v>
      </c>
      <c r="AL132" s="16">
        <v>0</v>
      </c>
      <c r="AM132" s="16">
        <v>0</v>
      </c>
      <c r="AN132" s="16">
        <v>0</v>
      </c>
      <c r="AO132" s="16">
        <v>0</v>
      </c>
      <c r="AP132" s="16">
        <v>0</v>
      </c>
      <c r="AQ132" s="16">
        <v>0</v>
      </c>
      <c r="AR132" s="16">
        <v>0</v>
      </c>
      <c r="AS132" s="16">
        <v>0</v>
      </c>
      <c r="AT132" s="16">
        <v>0</v>
      </c>
      <c r="AU132" s="16">
        <v>0</v>
      </c>
      <c r="AV132" s="16">
        <v>0</v>
      </c>
      <c r="AW132" s="16">
        <v>40</v>
      </c>
      <c r="AX132" s="16">
        <v>24</v>
      </c>
      <c r="AY132" s="16">
        <v>8</v>
      </c>
      <c r="AZ132" s="16">
        <v>40</v>
      </c>
      <c r="BA132" s="16">
        <v>40</v>
      </c>
      <c r="BB132" s="16">
        <v>40</v>
      </c>
      <c r="BC132" s="16">
        <v>40</v>
      </c>
      <c r="BD132" s="16">
        <v>0</v>
      </c>
      <c r="BE132" s="16">
        <v>0</v>
      </c>
      <c r="BF132" s="16">
        <v>0</v>
      </c>
      <c r="BG132" s="16">
        <v>0</v>
      </c>
      <c r="BH132" s="16">
        <v>0</v>
      </c>
      <c r="BI132" s="16">
        <v>0</v>
      </c>
      <c r="BJ132" s="16">
        <v>0</v>
      </c>
      <c r="BK132" s="16">
        <v>0</v>
      </c>
      <c r="BL132" s="16">
        <v>0</v>
      </c>
      <c r="BM132" s="16">
        <v>0</v>
      </c>
      <c r="BN132" s="16">
        <v>0</v>
      </c>
      <c r="BO132" s="16">
        <v>0</v>
      </c>
      <c r="BP132" s="16">
        <v>0</v>
      </c>
      <c r="BQ132" s="16">
        <v>0</v>
      </c>
      <c r="BR132" s="16">
        <v>0</v>
      </c>
      <c r="BS132" s="207">
        <f t="shared" si="64"/>
        <v>88</v>
      </c>
      <c r="BT132" s="207">
        <f t="shared" si="65"/>
        <v>90</v>
      </c>
      <c r="BU132" s="207">
        <f t="shared" si="66"/>
        <v>0</v>
      </c>
      <c r="BV132" s="207">
        <f t="shared" si="67"/>
        <v>0</v>
      </c>
      <c r="BW132" s="207">
        <f t="shared" si="68"/>
        <v>0</v>
      </c>
      <c r="BX132" s="207">
        <f t="shared" si="69"/>
        <v>0</v>
      </c>
      <c r="BY132" s="207">
        <f t="shared" si="70"/>
        <v>0</v>
      </c>
      <c r="BZ132" s="207">
        <f t="shared" si="71"/>
        <v>64</v>
      </c>
      <c r="CA132" s="207">
        <f t="shared" si="72"/>
        <v>168</v>
      </c>
      <c r="CB132" s="207">
        <f t="shared" si="73"/>
        <v>0</v>
      </c>
      <c r="CC132" s="207">
        <f t="shared" si="74"/>
        <v>0</v>
      </c>
      <c r="CD132" s="207">
        <f t="shared" si="75"/>
        <v>0</v>
      </c>
      <c r="CE132" s="207">
        <f t="shared" si="76"/>
        <v>410</v>
      </c>
    </row>
    <row r="133" spans="1:83" ht="12" customHeight="1" x14ac:dyDescent="0.2">
      <c r="A133" s="6">
        <v>1</v>
      </c>
      <c r="B133" s="49" t="str">
        <f t="shared" si="48"/>
        <v>Alejos Yamamoto Arturo RicardoNO FACT.</v>
      </c>
      <c r="C133" s="117" t="str">
        <f t="shared" si="77"/>
        <v>Alejos Yamamoto Arturo Ricardo</v>
      </c>
      <c r="D133" s="49" t="str">
        <f>VLOOKUP(C133,Datos!$B$13:$C$83,2,0)</f>
        <v>VIGENTE</v>
      </c>
      <c r="E133" s="50" t="s">
        <v>75</v>
      </c>
      <c r="F133" s="49"/>
      <c r="G133" s="49" t="str">
        <f>IFERROR(VLOOKUP(H133,Datos!$J$2:$L$60,3,0),"OBSERVACIONES")</f>
        <v>OBSERVACIONES</v>
      </c>
      <c r="H133" s="50" t="s">
        <v>75</v>
      </c>
      <c r="I133" s="49" t="s">
        <v>131</v>
      </c>
      <c r="J133" s="49" t="s">
        <v>28</v>
      </c>
      <c r="K133" s="16">
        <v>0</v>
      </c>
      <c r="L133" s="16">
        <v>0</v>
      </c>
      <c r="M133" s="16">
        <v>0</v>
      </c>
      <c r="N133" s="16">
        <v>0</v>
      </c>
      <c r="O133" s="16">
        <v>0</v>
      </c>
      <c r="P133" s="16">
        <v>0</v>
      </c>
      <c r="Q133" s="16">
        <v>0</v>
      </c>
      <c r="R133" s="16">
        <v>0</v>
      </c>
      <c r="S133" s="16">
        <v>0</v>
      </c>
      <c r="T133" s="16">
        <v>0</v>
      </c>
      <c r="U133" s="16">
        <v>16</v>
      </c>
      <c r="V133" s="16">
        <v>30</v>
      </c>
      <c r="W133" s="16">
        <v>28</v>
      </c>
      <c r="X133" s="16">
        <v>24</v>
      </c>
      <c r="Y133" s="16">
        <v>26</v>
      </c>
      <c r="Z133" s="16">
        <v>40</v>
      </c>
      <c r="AA133" s="16">
        <v>24</v>
      </c>
      <c r="AB133" s="16">
        <v>40</v>
      </c>
      <c r="AC133" s="16">
        <v>40</v>
      </c>
      <c r="AD133" s="16">
        <v>0</v>
      </c>
      <c r="AE133" s="16">
        <v>0</v>
      </c>
      <c r="AF133" s="16">
        <v>0</v>
      </c>
      <c r="AG133" s="16">
        <v>20</v>
      </c>
      <c r="AH133" s="16">
        <v>12</v>
      </c>
      <c r="AI133" s="16">
        <v>0</v>
      </c>
      <c r="AJ133" s="16">
        <v>0</v>
      </c>
      <c r="AK133" s="16">
        <v>0</v>
      </c>
      <c r="AL133" s="16">
        <v>0</v>
      </c>
      <c r="AM133" s="16">
        <v>0</v>
      </c>
      <c r="AN133" s="16">
        <v>0</v>
      </c>
      <c r="AO133" s="16">
        <v>0</v>
      </c>
      <c r="AP133" s="16">
        <v>0</v>
      </c>
      <c r="AQ133" s="16">
        <v>0</v>
      </c>
      <c r="AR133" s="16">
        <v>0</v>
      </c>
      <c r="AS133" s="16">
        <v>0</v>
      </c>
      <c r="AT133" s="16">
        <v>0</v>
      </c>
      <c r="AU133" s="16">
        <v>0</v>
      </c>
      <c r="AV133" s="16">
        <v>0</v>
      </c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0</v>
      </c>
      <c r="BD133" s="16">
        <v>0</v>
      </c>
      <c r="BE133" s="16">
        <v>0</v>
      </c>
      <c r="BF133" s="16">
        <v>0</v>
      </c>
      <c r="BG133" s="16">
        <v>0</v>
      </c>
      <c r="BH133" s="16">
        <v>0</v>
      </c>
      <c r="BI133" s="16">
        <v>0</v>
      </c>
      <c r="BJ133" s="16">
        <v>0</v>
      </c>
      <c r="BK133" s="16">
        <v>0</v>
      </c>
      <c r="BL133" s="16">
        <v>0</v>
      </c>
      <c r="BM133" s="16">
        <v>0</v>
      </c>
      <c r="BN133" s="16">
        <v>0</v>
      </c>
      <c r="BO133" s="16">
        <v>0</v>
      </c>
      <c r="BP133" s="16">
        <v>0</v>
      </c>
      <c r="BQ133" s="16">
        <v>0</v>
      </c>
      <c r="BR133" s="16">
        <v>0</v>
      </c>
      <c r="BS133" s="207">
        <f t="shared" si="64"/>
        <v>0</v>
      </c>
      <c r="BT133" s="207">
        <f t="shared" si="65"/>
        <v>0</v>
      </c>
      <c r="BU133" s="207">
        <f t="shared" si="66"/>
        <v>124</v>
      </c>
      <c r="BV133" s="207">
        <f t="shared" si="67"/>
        <v>144</v>
      </c>
      <c r="BW133" s="207">
        <f t="shared" si="68"/>
        <v>32</v>
      </c>
      <c r="BX133" s="207">
        <f t="shared" si="69"/>
        <v>0</v>
      </c>
      <c r="BY133" s="207">
        <f t="shared" si="70"/>
        <v>0</v>
      </c>
      <c r="BZ133" s="207">
        <f t="shared" si="71"/>
        <v>0</v>
      </c>
      <c r="CA133" s="207">
        <f t="shared" si="72"/>
        <v>0</v>
      </c>
      <c r="CB133" s="207">
        <f t="shared" si="73"/>
        <v>0</v>
      </c>
      <c r="CC133" s="207">
        <f t="shared" si="74"/>
        <v>0</v>
      </c>
      <c r="CD133" s="207">
        <f t="shared" si="75"/>
        <v>0</v>
      </c>
      <c r="CE133" s="207">
        <f t="shared" si="76"/>
        <v>300</v>
      </c>
    </row>
    <row r="134" spans="1:83" ht="12" customHeight="1" x14ac:dyDescent="0.2">
      <c r="A134" s="6">
        <v>3</v>
      </c>
      <c r="B134" s="49" t="str">
        <f t="shared" si="48"/>
        <v>Pérez Montemayor Jose JavierP0007</v>
      </c>
      <c r="C134" s="117" t="str">
        <f t="shared" si="77"/>
        <v>Pérez Montemayor Jose Javier</v>
      </c>
      <c r="D134" s="49" t="str">
        <f>VLOOKUP(C134,Datos!$B$13:$C$83,2,0)</f>
        <v>VIGENTE</v>
      </c>
      <c r="E134" s="49" t="s">
        <v>91</v>
      </c>
      <c r="F134" s="49" t="str">
        <f>IFERROR(VLOOKUP(H134,Datos!$J$2:$L$60,3,0),"OBSERVACIONES")</f>
        <v>ABIERTO</v>
      </c>
      <c r="G134" s="49"/>
      <c r="H134" s="49" t="s">
        <v>92</v>
      </c>
      <c r="I134" s="49" t="s">
        <v>117</v>
      </c>
      <c r="J134" s="118" t="s">
        <v>35</v>
      </c>
      <c r="K134" s="16">
        <v>0</v>
      </c>
      <c r="L134" s="16">
        <v>0</v>
      </c>
      <c r="M134" s="16">
        <v>0</v>
      </c>
      <c r="N134" s="16">
        <v>0</v>
      </c>
      <c r="O134" s="16">
        <v>0</v>
      </c>
      <c r="P134" s="16">
        <v>0</v>
      </c>
      <c r="Q134" s="16">
        <v>0</v>
      </c>
      <c r="R134" s="16">
        <v>0</v>
      </c>
      <c r="S134" s="16">
        <v>0</v>
      </c>
      <c r="T134" s="16">
        <v>0</v>
      </c>
      <c r="U134" s="16">
        <v>8</v>
      </c>
      <c r="V134" s="16">
        <v>0</v>
      </c>
      <c r="W134" s="16">
        <v>0</v>
      </c>
      <c r="X134" s="16">
        <v>0</v>
      </c>
      <c r="Y134" s="16">
        <v>0</v>
      </c>
      <c r="Z134" s="16">
        <v>8</v>
      </c>
      <c r="AA134" s="16">
        <v>24</v>
      </c>
      <c r="AB134" s="16">
        <v>40</v>
      </c>
      <c r="AC134" s="16">
        <v>0</v>
      </c>
      <c r="AD134" s="16">
        <v>0</v>
      </c>
      <c r="AE134" s="16">
        <v>0</v>
      </c>
      <c r="AF134" s="16">
        <v>0</v>
      </c>
      <c r="AG134" s="16">
        <v>0</v>
      </c>
      <c r="AH134" s="16">
        <v>0</v>
      </c>
      <c r="AI134" s="16">
        <v>0</v>
      </c>
      <c r="AJ134" s="16">
        <v>24</v>
      </c>
      <c r="AK134" s="16">
        <v>0</v>
      </c>
      <c r="AL134" s="16">
        <v>0</v>
      </c>
      <c r="AM134" s="16">
        <v>0</v>
      </c>
      <c r="AN134" s="16">
        <v>0</v>
      </c>
      <c r="AO134" s="16">
        <v>0</v>
      </c>
      <c r="AP134" s="16">
        <v>0</v>
      </c>
      <c r="AQ134" s="16">
        <v>0</v>
      </c>
      <c r="AR134" s="16">
        <v>0</v>
      </c>
      <c r="AS134" s="16">
        <v>0</v>
      </c>
      <c r="AT134" s="16">
        <v>0</v>
      </c>
      <c r="AU134" s="16">
        <v>0</v>
      </c>
      <c r="AV134" s="16">
        <v>0</v>
      </c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0</v>
      </c>
      <c r="BD134" s="16">
        <v>0</v>
      </c>
      <c r="BE134" s="16">
        <v>0</v>
      </c>
      <c r="BF134" s="16">
        <v>0</v>
      </c>
      <c r="BG134" s="16">
        <v>0</v>
      </c>
      <c r="BH134" s="16">
        <v>0</v>
      </c>
      <c r="BI134" s="16">
        <v>0</v>
      </c>
      <c r="BJ134" s="16">
        <v>0</v>
      </c>
      <c r="BK134" s="16">
        <v>0</v>
      </c>
      <c r="BL134" s="16">
        <v>0</v>
      </c>
      <c r="BM134" s="16">
        <v>0</v>
      </c>
      <c r="BN134" s="16">
        <v>0</v>
      </c>
      <c r="BO134" s="16">
        <v>0</v>
      </c>
      <c r="BP134" s="16">
        <v>0</v>
      </c>
      <c r="BQ134" s="16">
        <v>0</v>
      </c>
      <c r="BR134" s="16">
        <v>0</v>
      </c>
      <c r="BS134" s="207">
        <f t="shared" si="64"/>
        <v>0</v>
      </c>
      <c r="BT134" s="207">
        <f t="shared" si="65"/>
        <v>0</v>
      </c>
      <c r="BU134" s="207">
        <f t="shared" si="66"/>
        <v>8</v>
      </c>
      <c r="BV134" s="207">
        <f t="shared" si="67"/>
        <v>72</v>
      </c>
      <c r="BW134" s="207">
        <f t="shared" si="68"/>
        <v>0</v>
      </c>
      <c r="BX134" s="207">
        <f t="shared" si="69"/>
        <v>24</v>
      </c>
      <c r="BY134" s="207">
        <f t="shared" si="70"/>
        <v>0</v>
      </c>
      <c r="BZ134" s="207">
        <f t="shared" si="71"/>
        <v>0</v>
      </c>
      <c r="CA134" s="207">
        <f t="shared" si="72"/>
        <v>0</v>
      </c>
      <c r="CB134" s="207">
        <f t="shared" si="73"/>
        <v>0</v>
      </c>
      <c r="CC134" s="207">
        <f t="shared" si="74"/>
        <v>0</v>
      </c>
      <c r="CD134" s="207">
        <f t="shared" si="75"/>
        <v>0</v>
      </c>
      <c r="CE134" s="207">
        <f t="shared" si="76"/>
        <v>104</v>
      </c>
    </row>
    <row r="135" spans="1:83" ht="12" customHeight="1" x14ac:dyDescent="0.2">
      <c r="A135" s="6">
        <v>3</v>
      </c>
      <c r="B135" s="49" t="str">
        <f t="shared" si="48"/>
        <v>Carrillo Roque RafaelP0008</v>
      </c>
      <c r="C135" s="117" t="str">
        <f t="shared" si="77"/>
        <v>Carrillo Roque Rafael</v>
      </c>
      <c r="D135" s="49" t="str">
        <f>VLOOKUP(C135,Datos!$B$13:$C$83,2,0)</f>
        <v>CESADO</v>
      </c>
      <c r="E135" s="49" t="s">
        <v>78</v>
      </c>
      <c r="F135" s="49" t="str">
        <f>IFERROR(VLOOKUP(H135,Datos!$J$2:$L$60,3,0),"OBSERVACIONES")</f>
        <v>CERRADO</v>
      </c>
      <c r="G135" s="49"/>
      <c r="H135" s="49" t="s">
        <v>79</v>
      </c>
      <c r="I135" s="49" t="s">
        <v>164</v>
      </c>
      <c r="J135" s="118" t="s">
        <v>418</v>
      </c>
      <c r="K135" s="16">
        <v>0</v>
      </c>
      <c r="L135" s="16">
        <v>0</v>
      </c>
      <c r="M135" s="16">
        <v>0</v>
      </c>
      <c r="N135" s="16">
        <v>0</v>
      </c>
      <c r="O135" s="16">
        <v>0</v>
      </c>
      <c r="P135" s="16">
        <v>24</v>
      </c>
      <c r="Q135" s="16">
        <v>40</v>
      </c>
      <c r="R135" s="16">
        <v>16</v>
      </c>
      <c r="S135" s="16">
        <v>0</v>
      </c>
      <c r="T135" s="16">
        <v>0</v>
      </c>
      <c r="U135" s="16">
        <v>0</v>
      </c>
      <c r="V135" s="16">
        <v>0</v>
      </c>
      <c r="W135" s="16">
        <v>0</v>
      </c>
      <c r="X135" s="16">
        <v>0</v>
      </c>
      <c r="Y135" s="16">
        <v>0</v>
      </c>
      <c r="Z135" s="16">
        <v>0</v>
      </c>
      <c r="AA135" s="16">
        <v>0</v>
      </c>
      <c r="AB135" s="16">
        <v>0</v>
      </c>
      <c r="AC135" s="16">
        <v>0</v>
      </c>
      <c r="AD135" s="16">
        <v>0</v>
      </c>
      <c r="AE135" s="16">
        <v>0</v>
      </c>
      <c r="AF135" s="16">
        <v>0</v>
      </c>
      <c r="AG135" s="16">
        <v>0</v>
      </c>
      <c r="AH135" s="16">
        <v>0</v>
      </c>
      <c r="AI135" s="16">
        <v>0</v>
      </c>
      <c r="AJ135" s="16">
        <v>0</v>
      </c>
      <c r="AK135" s="16">
        <v>0</v>
      </c>
      <c r="AL135" s="16">
        <v>0</v>
      </c>
      <c r="AM135" s="16">
        <v>0</v>
      </c>
      <c r="AN135" s="16">
        <v>0</v>
      </c>
      <c r="AO135" s="16">
        <v>0</v>
      </c>
      <c r="AP135" s="16">
        <v>0</v>
      </c>
      <c r="AQ135" s="16">
        <v>0</v>
      </c>
      <c r="AR135" s="16">
        <v>0</v>
      </c>
      <c r="AS135" s="16">
        <v>0</v>
      </c>
      <c r="AT135" s="16">
        <v>0</v>
      </c>
      <c r="AU135" s="16">
        <v>0</v>
      </c>
      <c r="AV135" s="16">
        <v>0</v>
      </c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0</v>
      </c>
      <c r="BD135" s="16">
        <v>0</v>
      </c>
      <c r="BE135" s="16">
        <v>0</v>
      </c>
      <c r="BF135" s="16">
        <v>0</v>
      </c>
      <c r="BG135" s="16">
        <v>0</v>
      </c>
      <c r="BH135" s="16">
        <v>0</v>
      </c>
      <c r="BI135" s="16">
        <v>0</v>
      </c>
      <c r="BJ135" s="16">
        <v>0</v>
      </c>
      <c r="BK135" s="16">
        <v>0</v>
      </c>
      <c r="BL135" s="16">
        <v>0</v>
      </c>
      <c r="BM135" s="16">
        <v>0</v>
      </c>
      <c r="BN135" s="16">
        <v>0</v>
      </c>
      <c r="BO135" s="16">
        <v>0</v>
      </c>
      <c r="BP135" s="16">
        <v>0</v>
      </c>
      <c r="BQ135" s="16">
        <v>0</v>
      </c>
      <c r="BR135" s="16">
        <v>0</v>
      </c>
      <c r="BS135" s="207">
        <f t="shared" si="64"/>
        <v>0</v>
      </c>
      <c r="BT135" s="207">
        <f t="shared" si="65"/>
        <v>80</v>
      </c>
      <c r="BU135" s="207">
        <f t="shared" si="66"/>
        <v>0</v>
      </c>
      <c r="BV135" s="207">
        <f t="shared" si="67"/>
        <v>0</v>
      </c>
      <c r="BW135" s="207">
        <f t="shared" si="68"/>
        <v>0</v>
      </c>
      <c r="BX135" s="207">
        <f t="shared" si="69"/>
        <v>0</v>
      </c>
      <c r="BY135" s="207">
        <f t="shared" si="70"/>
        <v>0</v>
      </c>
      <c r="BZ135" s="207">
        <f t="shared" si="71"/>
        <v>0</v>
      </c>
      <c r="CA135" s="207">
        <f t="shared" si="72"/>
        <v>0</v>
      </c>
      <c r="CB135" s="207">
        <f t="shared" si="73"/>
        <v>0</v>
      </c>
      <c r="CC135" s="207">
        <f t="shared" si="74"/>
        <v>0</v>
      </c>
      <c r="CD135" s="207">
        <f t="shared" si="75"/>
        <v>0</v>
      </c>
      <c r="CE135" s="207">
        <f t="shared" si="76"/>
        <v>80</v>
      </c>
    </row>
    <row r="136" spans="1:83" ht="12" customHeight="1" x14ac:dyDescent="0.2">
      <c r="A136" s="6">
        <v>3</v>
      </c>
      <c r="B136" s="49" t="str">
        <f t="shared" si="48"/>
        <v>Pérez Montemayor Jose JavierP0008</v>
      </c>
      <c r="C136" s="117" t="str">
        <f t="shared" si="77"/>
        <v>Pérez Montemayor Jose Javier</v>
      </c>
      <c r="D136" s="49" t="str">
        <f>VLOOKUP(C136,Datos!$B$13:$C$83,2,0)</f>
        <v>VIGENTE</v>
      </c>
      <c r="E136" s="49" t="s">
        <v>78</v>
      </c>
      <c r="F136" s="49" t="str">
        <f>IFERROR(VLOOKUP(H136,Datos!$J$2:$L$60,3,0),"OBSERVACIONES")</f>
        <v>CERRADO</v>
      </c>
      <c r="G136" s="49"/>
      <c r="H136" s="49" t="s">
        <v>79</v>
      </c>
      <c r="I136" s="49" t="s">
        <v>164</v>
      </c>
      <c r="J136" s="118" t="s">
        <v>35</v>
      </c>
      <c r="K136" s="16">
        <v>0</v>
      </c>
      <c r="L136" s="16">
        <v>0</v>
      </c>
      <c r="M136" s="16">
        <v>0</v>
      </c>
      <c r="N136" s="16">
        <v>0</v>
      </c>
      <c r="O136" s="16">
        <v>0</v>
      </c>
      <c r="P136" s="16">
        <v>24</v>
      </c>
      <c r="Q136" s="16">
        <v>40</v>
      </c>
      <c r="R136" s="16">
        <v>36</v>
      </c>
      <c r="S136" s="16">
        <v>40</v>
      </c>
      <c r="T136" s="16">
        <v>16</v>
      </c>
      <c r="U136" s="16">
        <v>16</v>
      </c>
      <c r="V136" s="16">
        <v>40</v>
      </c>
      <c r="W136" s="16">
        <v>40</v>
      </c>
      <c r="X136" s="16">
        <v>40</v>
      </c>
      <c r="Y136" s="16">
        <v>40</v>
      </c>
      <c r="Z136" s="16">
        <v>32</v>
      </c>
      <c r="AA136" s="16">
        <v>0</v>
      </c>
      <c r="AB136" s="16">
        <v>0</v>
      </c>
      <c r="AC136" s="16">
        <v>0</v>
      </c>
      <c r="AD136" s="16">
        <v>8</v>
      </c>
      <c r="AE136" s="16">
        <v>0</v>
      </c>
      <c r="AF136" s="16">
        <v>0</v>
      </c>
      <c r="AG136" s="16">
        <v>0</v>
      </c>
      <c r="AH136" s="16">
        <v>0</v>
      </c>
      <c r="AI136" s="16">
        <v>0</v>
      </c>
      <c r="AJ136" s="16">
        <v>0</v>
      </c>
      <c r="AK136" s="16">
        <v>0</v>
      </c>
      <c r="AL136" s="16">
        <v>0</v>
      </c>
      <c r="AM136" s="16">
        <v>0</v>
      </c>
      <c r="AN136" s="16">
        <v>0</v>
      </c>
      <c r="AO136" s="16">
        <v>0</v>
      </c>
      <c r="AP136" s="16">
        <v>0</v>
      </c>
      <c r="AQ136" s="16">
        <v>0</v>
      </c>
      <c r="AR136" s="16">
        <v>0</v>
      </c>
      <c r="AS136" s="16">
        <v>0</v>
      </c>
      <c r="AT136" s="16">
        <v>0</v>
      </c>
      <c r="AU136" s="16">
        <v>0</v>
      </c>
      <c r="AV136" s="16">
        <v>0</v>
      </c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0</v>
      </c>
      <c r="BD136" s="16">
        <v>0</v>
      </c>
      <c r="BE136" s="16">
        <v>0</v>
      </c>
      <c r="BF136" s="16">
        <v>0</v>
      </c>
      <c r="BG136" s="16">
        <v>0</v>
      </c>
      <c r="BH136" s="16">
        <v>0</v>
      </c>
      <c r="BI136" s="16">
        <v>0</v>
      </c>
      <c r="BJ136" s="16">
        <v>0</v>
      </c>
      <c r="BK136" s="16">
        <v>0</v>
      </c>
      <c r="BL136" s="16">
        <v>0</v>
      </c>
      <c r="BM136" s="16">
        <v>0</v>
      </c>
      <c r="BN136" s="16">
        <v>0</v>
      </c>
      <c r="BO136" s="16">
        <v>0</v>
      </c>
      <c r="BP136" s="16">
        <v>0</v>
      </c>
      <c r="BQ136" s="16">
        <v>0</v>
      </c>
      <c r="BR136" s="16">
        <v>0</v>
      </c>
      <c r="BS136" s="207">
        <f t="shared" si="64"/>
        <v>0</v>
      </c>
      <c r="BT136" s="207">
        <f t="shared" si="65"/>
        <v>156</v>
      </c>
      <c r="BU136" s="207">
        <f t="shared" si="66"/>
        <v>176</v>
      </c>
      <c r="BV136" s="207">
        <f t="shared" si="67"/>
        <v>32</v>
      </c>
      <c r="BW136" s="207">
        <f t="shared" si="68"/>
        <v>8</v>
      </c>
      <c r="BX136" s="207">
        <f t="shared" si="69"/>
        <v>0</v>
      </c>
      <c r="BY136" s="207">
        <f t="shared" si="70"/>
        <v>0</v>
      </c>
      <c r="BZ136" s="207">
        <f t="shared" si="71"/>
        <v>0</v>
      </c>
      <c r="CA136" s="207">
        <f t="shared" si="72"/>
        <v>0</v>
      </c>
      <c r="CB136" s="207">
        <f t="shared" si="73"/>
        <v>0</v>
      </c>
      <c r="CC136" s="207">
        <f t="shared" si="74"/>
        <v>0</v>
      </c>
      <c r="CD136" s="207">
        <f t="shared" si="75"/>
        <v>0</v>
      </c>
      <c r="CE136" s="207">
        <f t="shared" si="76"/>
        <v>372</v>
      </c>
    </row>
    <row r="137" spans="1:83" ht="12" customHeight="1" x14ac:dyDescent="0.2">
      <c r="A137" s="6">
        <v>3</v>
      </c>
      <c r="B137" s="49" t="str">
        <f t="shared" si="48"/>
        <v>Carrillo Roque RafaelP0006</v>
      </c>
      <c r="C137" s="117" t="str">
        <f t="shared" si="77"/>
        <v>Carrillo Roque Rafael</v>
      </c>
      <c r="D137" s="49" t="str">
        <f>VLOOKUP(C137,Datos!$B$13:$C$83,2,0)</f>
        <v>CESADO</v>
      </c>
      <c r="E137" s="49" t="s">
        <v>93</v>
      </c>
      <c r="F137" s="49" t="str">
        <f>IFERROR(VLOOKUP(H137,Datos!$J$2:$L$60,3,0),"OBSERVACIONES")</f>
        <v>CERRADO</v>
      </c>
      <c r="G137" s="49"/>
      <c r="H137" s="49" t="s">
        <v>94</v>
      </c>
      <c r="I137" s="49" t="s">
        <v>116</v>
      </c>
      <c r="J137" s="118" t="s">
        <v>418</v>
      </c>
      <c r="K137" s="16">
        <v>0</v>
      </c>
      <c r="L137" s="16">
        <v>0</v>
      </c>
      <c r="M137" s="16">
        <v>32</v>
      </c>
      <c r="N137" s="16">
        <v>40</v>
      </c>
      <c r="O137" s="16">
        <v>16</v>
      </c>
      <c r="P137" s="16">
        <v>0</v>
      </c>
      <c r="Q137" s="16">
        <v>0</v>
      </c>
      <c r="R137" s="16">
        <v>0</v>
      </c>
      <c r="S137" s="16">
        <v>0</v>
      </c>
      <c r="T137" s="16">
        <v>0</v>
      </c>
      <c r="U137" s="16">
        <v>0</v>
      </c>
      <c r="V137" s="16">
        <v>0</v>
      </c>
      <c r="W137" s="16">
        <v>0</v>
      </c>
      <c r="X137" s="16">
        <v>0</v>
      </c>
      <c r="Y137" s="16">
        <v>0</v>
      </c>
      <c r="Z137" s="16">
        <v>0</v>
      </c>
      <c r="AA137" s="16">
        <v>0</v>
      </c>
      <c r="AB137" s="16">
        <v>0</v>
      </c>
      <c r="AC137" s="16">
        <v>0</v>
      </c>
      <c r="AD137" s="16">
        <v>0</v>
      </c>
      <c r="AE137" s="16">
        <v>0</v>
      </c>
      <c r="AF137" s="16">
        <v>0</v>
      </c>
      <c r="AG137" s="16">
        <v>0</v>
      </c>
      <c r="AH137" s="16">
        <v>0</v>
      </c>
      <c r="AI137" s="16">
        <v>0</v>
      </c>
      <c r="AJ137" s="16">
        <v>0</v>
      </c>
      <c r="AK137" s="16">
        <v>0</v>
      </c>
      <c r="AL137" s="16">
        <v>0</v>
      </c>
      <c r="AM137" s="16">
        <v>0</v>
      </c>
      <c r="AN137" s="16">
        <v>0</v>
      </c>
      <c r="AO137" s="16">
        <v>0</v>
      </c>
      <c r="AP137" s="16">
        <v>0</v>
      </c>
      <c r="AQ137" s="16">
        <v>0</v>
      </c>
      <c r="AR137" s="16">
        <v>0</v>
      </c>
      <c r="AS137" s="16">
        <v>0</v>
      </c>
      <c r="AT137" s="16">
        <v>0</v>
      </c>
      <c r="AU137" s="16">
        <v>0</v>
      </c>
      <c r="AV137" s="16">
        <v>0</v>
      </c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0</v>
      </c>
      <c r="BD137" s="16">
        <v>0</v>
      </c>
      <c r="BE137" s="16">
        <v>0</v>
      </c>
      <c r="BF137" s="16">
        <v>0</v>
      </c>
      <c r="BG137" s="16">
        <v>0</v>
      </c>
      <c r="BH137" s="16">
        <v>0</v>
      </c>
      <c r="BI137" s="16">
        <v>0</v>
      </c>
      <c r="BJ137" s="16">
        <v>0</v>
      </c>
      <c r="BK137" s="16">
        <v>0</v>
      </c>
      <c r="BL137" s="16">
        <v>0</v>
      </c>
      <c r="BM137" s="16">
        <v>0</v>
      </c>
      <c r="BN137" s="16">
        <v>0</v>
      </c>
      <c r="BO137" s="16">
        <v>0</v>
      </c>
      <c r="BP137" s="16">
        <v>0</v>
      </c>
      <c r="BQ137" s="16">
        <v>0</v>
      </c>
      <c r="BR137" s="16">
        <v>0</v>
      </c>
      <c r="BS137" s="207">
        <f t="shared" si="64"/>
        <v>88</v>
      </c>
      <c r="BT137" s="207">
        <f t="shared" si="65"/>
        <v>0</v>
      </c>
      <c r="BU137" s="207">
        <f t="shared" si="66"/>
        <v>0</v>
      </c>
      <c r="BV137" s="207">
        <f t="shared" si="67"/>
        <v>0</v>
      </c>
      <c r="BW137" s="207">
        <f t="shared" si="68"/>
        <v>0</v>
      </c>
      <c r="BX137" s="207">
        <f t="shared" si="69"/>
        <v>0</v>
      </c>
      <c r="BY137" s="207">
        <f t="shared" si="70"/>
        <v>0</v>
      </c>
      <c r="BZ137" s="207">
        <f t="shared" si="71"/>
        <v>0</v>
      </c>
      <c r="CA137" s="207">
        <f t="shared" si="72"/>
        <v>0</v>
      </c>
      <c r="CB137" s="207">
        <f t="shared" si="73"/>
        <v>0</v>
      </c>
      <c r="CC137" s="207">
        <f t="shared" si="74"/>
        <v>0</v>
      </c>
      <c r="CD137" s="207">
        <f t="shared" si="75"/>
        <v>0</v>
      </c>
      <c r="CE137" s="207">
        <f t="shared" si="76"/>
        <v>88</v>
      </c>
    </row>
    <row r="138" spans="1:83" ht="12" customHeight="1" x14ac:dyDescent="0.2">
      <c r="A138" s="6">
        <v>3</v>
      </c>
      <c r="B138" s="49" t="str">
        <f t="shared" ref="B138:B210" si="78">C138&amp;H138</f>
        <v>Pérez Montemayor Jose JavierP0006</v>
      </c>
      <c r="C138" s="117" t="str">
        <f t="shared" si="77"/>
        <v>Pérez Montemayor Jose Javier</v>
      </c>
      <c r="D138" s="49" t="str">
        <f>VLOOKUP(C138,Datos!$B$13:$C$83,2,0)</f>
        <v>VIGENTE</v>
      </c>
      <c r="E138" s="49" t="s">
        <v>93</v>
      </c>
      <c r="F138" s="49" t="str">
        <f>IFERROR(VLOOKUP(H138,Datos!$J$2:$L$60,3,0),"OBSERVACIONES")</f>
        <v>CERRADO</v>
      </c>
      <c r="G138" s="49"/>
      <c r="H138" s="49" t="s">
        <v>94</v>
      </c>
      <c r="I138" s="49" t="s">
        <v>116</v>
      </c>
      <c r="J138" s="118" t="s">
        <v>35</v>
      </c>
      <c r="K138" s="16">
        <v>40</v>
      </c>
      <c r="L138" s="16">
        <v>40</v>
      </c>
      <c r="M138" s="16">
        <v>40</v>
      </c>
      <c r="N138" s="16">
        <v>40</v>
      </c>
      <c r="O138" s="16">
        <v>16</v>
      </c>
      <c r="P138" s="16">
        <v>0</v>
      </c>
      <c r="Q138" s="16">
        <v>0</v>
      </c>
      <c r="R138" s="16">
        <v>4</v>
      </c>
      <c r="S138" s="16">
        <v>0</v>
      </c>
      <c r="T138" s="16">
        <v>0</v>
      </c>
      <c r="U138" s="16">
        <v>0</v>
      </c>
      <c r="V138" s="16">
        <v>0</v>
      </c>
      <c r="W138" s="16">
        <v>0</v>
      </c>
      <c r="X138" s="16">
        <v>0</v>
      </c>
      <c r="Y138" s="16">
        <v>0</v>
      </c>
      <c r="Z138" s="16">
        <v>0</v>
      </c>
      <c r="AA138" s="16">
        <v>0</v>
      </c>
      <c r="AB138" s="16">
        <v>0</v>
      </c>
      <c r="AC138" s="16">
        <v>0</v>
      </c>
      <c r="AD138" s="16">
        <v>0</v>
      </c>
      <c r="AE138" s="16">
        <v>0</v>
      </c>
      <c r="AF138" s="16">
        <v>0</v>
      </c>
      <c r="AG138" s="16">
        <v>0</v>
      </c>
      <c r="AH138" s="16">
        <v>0</v>
      </c>
      <c r="AI138" s="16">
        <v>0</v>
      </c>
      <c r="AJ138" s="16">
        <v>0</v>
      </c>
      <c r="AK138" s="16">
        <v>0</v>
      </c>
      <c r="AL138" s="16">
        <v>0</v>
      </c>
      <c r="AM138" s="16">
        <v>0</v>
      </c>
      <c r="AN138" s="16">
        <v>2</v>
      </c>
      <c r="AO138" s="16">
        <v>0</v>
      </c>
      <c r="AP138" s="16">
        <v>0</v>
      </c>
      <c r="AQ138" s="16">
        <v>0</v>
      </c>
      <c r="AR138" s="16">
        <v>0</v>
      </c>
      <c r="AS138" s="16">
        <v>0</v>
      </c>
      <c r="AT138" s="16">
        <v>0</v>
      </c>
      <c r="AU138" s="16">
        <v>0</v>
      </c>
      <c r="AV138" s="16">
        <v>0</v>
      </c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0</v>
      </c>
      <c r="BD138" s="16">
        <v>0</v>
      </c>
      <c r="BE138" s="16">
        <v>0</v>
      </c>
      <c r="BF138" s="16">
        <v>0</v>
      </c>
      <c r="BG138" s="16">
        <v>0</v>
      </c>
      <c r="BH138" s="16">
        <v>0</v>
      </c>
      <c r="BI138" s="16">
        <v>0</v>
      </c>
      <c r="BJ138" s="16">
        <v>0</v>
      </c>
      <c r="BK138" s="16">
        <v>0</v>
      </c>
      <c r="BL138" s="16">
        <v>0</v>
      </c>
      <c r="BM138" s="16">
        <v>0</v>
      </c>
      <c r="BN138" s="16">
        <v>0</v>
      </c>
      <c r="BO138" s="16">
        <v>0</v>
      </c>
      <c r="BP138" s="16">
        <v>0</v>
      </c>
      <c r="BQ138" s="16">
        <v>0</v>
      </c>
      <c r="BR138" s="16">
        <v>0</v>
      </c>
      <c r="BS138" s="207">
        <f t="shared" si="64"/>
        <v>176</v>
      </c>
      <c r="BT138" s="207">
        <f t="shared" si="65"/>
        <v>4</v>
      </c>
      <c r="BU138" s="207">
        <f t="shared" si="66"/>
        <v>0</v>
      </c>
      <c r="BV138" s="207">
        <f t="shared" si="67"/>
        <v>0</v>
      </c>
      <c r="BW138" s="207">
        <f t="shared" si="68"/>
        <v>0</v>
      </c>
      <c r="BX138" s="207">
        <f t="shared" si="69"/>
        <v>0</v>
      </c>
      <c r="BY138" s="207">
        <f t="shared" si="70"/>
        <v>2</v>
      </c>
      <c r="BZ138" s="207">
        <f t="shared" si="71"/>
        <v>0</v>
      </c>
      <c r="CA138" s="207">
        <f t="shared" si="72"/>
        <v>0</v>
      </c>
      <c r="CB138" s="207">
        <f t="shared" si="73"/>
        <v>0</v>
      </c>
      <c r="CC138" s="207">
        <f t="shared" si="74"/>
        <v>0</v>
      </c>
      <c r="CD138" s="207">
        <f t="shared" si="75"/>
        <v>0</v>
      </c>
      <c r="CE138" s="207">
        <f t="shared" si="76"/>
        <v>182</v>
      </c>
    </row>
    <row r="139" spans="1:83" ht="12" customHeight="1" x14ac:dyDescent="0.2">
      <c r="A139" s="6">
        <v>3</v>
      </c>
      <c r="B139" s="49" t="str">
        <f t="shared" si="78"/>
        <v>Alejos Yamamoto Arturo RicardoP0020</v>
      </c>
      <c r="C139" s="117" t="str">
        <f>J139</f>
        <v>Alejos Yamamoto Arturo Ricardo</v>
      </c>
      <c r="D139" s="49" t="str">
        <f>VLOOKUP(C139,Datos!$B$13:$C$83,2,0)</f>
        <v>VIGENTE</v>
      </c>
      <c r="E139" s="49" t="s">
        <v>50</v>
      </c>
      <c r="F139" s="49" t="str">
        <f>IFERROR(VLOOKUP(H139,Datos!$J$2:$L$60,3,0),"OBSERVACIONES")</f>
        <v>CERRADO</v>
      </c>
      <c r="G139" s="49"/>
      <c r="H139" s="49" t="s">
        <v>196</v>
      </c>
      <c r="I139" s="49" t="s">
        <v>127</v>
      </c>
      <c r="J139" s="49" t="s">
        <v>28</v>
      </c>
      <c r="K139" s="16">
        <v>0</v>
      </c>
      <c r="L139" s="16">
        <v>0</v>
      </c>
      <c r="M139" s="16">
        <v>0</v>
      </c>
      <c r="N139" s="16">
        <v>0</v>
      </c>
      <c r="O139" s="16">
        <v>0</v>
      </c>
      <c r="P139" s="16">
        <v>0</v>
      </c>
      <c r="Q139" s="16">
        <v>0</v>
      </c>
      <c r="R139" s="16">
        <v>0</v>
      </c>
      <c r="S139" s="16">
        <v>0</v>
      </c>
      <c r="T139" s="16">
        <v>0</v>
      </c>
      <c r="U139" s="16">
        <v>0</v>
      </c>
      <c r="V139" s="16">
        <v>0</v>
      </c>
      <c r="W139" s="16">
        <v>0</v>
      </c>
      <c r="X139" s="16">
        <v>0</v>
      </c>
      <c r="Y139" s="16">
        <v>0</v>
      </c>
      <c r="Z139" s="16">
        <v>0</v>
      </c>
      <c r="AA139" s="16">
        <v>0</v>
      </c>
      <c r="AB139" s="16">
        <v>0</v>
      </c>
      <c r="AC139" s="16">
        <v>0</v>
      </c>
      <c r="AD139" s="16">
        <v>0</v>
      </c>
      <c r="AE139" s="16">
        <v>0</v>
      </c>
      <c r="AF139" s="16">
        <v>0</v>
      </c>
      <c r="AG139" s="16">
        <v>0</v>
      </c>
      <c r="AH139" s="16">
        <v>0</v>
      </c>
      <c r="AI139" s="16">
        <v>0</v>
      </c>
      <c r="AJ139" s="16">
        <v>0</v>
      </c>
      <c r="AK139" s="16">
        <v>0</v>
      </c>
      <c r="AL139" s="16">
        <v>0</v>
      </c>
      <c r="AM139" s="16">
        <v>0</v>
      </c>
      <c r="AN139" s="16">
        <v>0</v>
      </c>
      <c r="AO139" s="16">
        <v>24</v>
      </c>
      <c r="AP139" s="16">
        <v>16</v>
      </c>
      <c r="AQ139" s="16">
        <v>20</v>
      </c>
      <c r="AR139" s="16">
        <v>0</v>
      </c>
      <c r="AS139" s="16">
        <v>8</v>
      </c>
      <c r="AT139" s="16">
        <v>0</v>
      </c>
      <c r="AU139" s="16">
        <v>0</v>
      </c>
      <c r="AV139" s="16">
        <v>0</v>
      </c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0</v>
      </c>
      <c r="BD139" s="16">
        <v>0</v>
      </c>
      <c r="BE139" s="16">
        <v>0</v>
      </c>
      <c r="BF139" s="16">
        <v>0</v>
      </c>
      <c r="BG139" s="16">
        <v>0</v>
      </c>
      <c r="BH139" s="16">
        <v>0</v>
      </c>
      <c r="BI139" s="16">
        <v>0</v>
      </c>
      <c r="BJ139" s="16">
        <v>0</v>
      </c>
      <c r="BK139" s="16">
        <v>0</v>
      </c>
      <c r="BL139" s="16">
        <v>0</v>
      </c>
      <c r="BM139" s="16">
        <v>0</v>
      </c>
      <c r="BN139" s="16">
        <v>0</v>
      </c>
      <c r="BO139" s="16">
        <v>0</v>
      </c>
      <c r="BP139" s="16">
        <v>0</v>
      </c>
      <c r="BQ139" s="16">
        <v>0</v>
      </c>
      <c r="BR139" s="16">
        <v>0</v>
      </c>
      <c r="BS139" s="207">
        <f t="shared" si="64"/>
        <v>0</v>
      </c>
      <c r="BT139" s="207">
        <f t="shared" si="65"/>
        <v>0</v>
      </c>
      <c r="BU139" s="207">
        <f t="shared" si="66"/>
        <v>0</v>
      </c>
      <c r="BV139" s="207">
        <f t="shared" si="67"/>
        <v>0</v>
      </c>
      <c r="BW139" s="207">
        <f t="shared" si="68"/>
        <v>0</v>
      </c>
      <c r="BX139" s="207">
        <f t="shared" si="69"/>
        <v>0</v>
      </c>
      <c r="BY139" s="207">
        <f t="shared" si="70"/>
        <v>68</v>
      </c>
      <c r="BZ139" s="207">
        <f t="shared" si="71"/>
        <v>0</v>
      </c>
      <c r="CA139" s="207">
        <f t="shared" si="72"/>
        <v>0</v>
      </c>
      <c r="CB139" s="207">
        <f t="shared" si="73"/>
        <v>0</v>
      </c>
      <c r="CC139" s="207">
        <f t="shared" si="74"/>
        <v>0</v>
      </c>
      <c r="CD139" s="207">
        <f t="shared" si="75"/>
        <v>0</v>
      </c>
      <c r="CE139" s="207">
        <f t="shared" si="76"/>
        <v>68</v>
      </c>
    </row>
    <row r="140" spans="1:83" ht="12" customHeight="1" x14ac:dyDescent="0.2">
      <c r="A140" s="6">
        <v>3</v>
      </c>
      <c r="B140" s="49" t="str">
        <f t="shared" si="78"/>
        <v>Alejos Yamamoto Arturo RicardoP0034</v>
      </c>
      <c r="C140" s="117" t="str">
        <f t="shared" si="77"/>
        <v>Alejos Yamamoto Arturo Ricardo</v>
      </c>
      <c r="D140" s="49" t="str">
        <f>VLOOKUP(C140,Datos!$B$13:$C$83,2,0)</f>
        <v>VIGENTE</v>
      </c>
      <c r="E140" s="49" t="s">
        <v>50</v>
      </c>
      <c r="F140" s="49" t="str">
        <f>IFERROR(VLOOKUP(H140,Datos!$J$2:$L$60,3,0),"OBSERVACIONES")</f>
        <v>CERRADO</v>
      </c>
      <c r="G140" s="49"/>
      <c r="H140" s="49" t="s">
        <v>639</v>
      </c>
      <c r="I140" s="49" t="s">
        <v>640</v>
      </c>
      <c r="J140" s="49" t="s">
        <v>28</v>
      </c>
      <c r="K140" s="16">
        <v>0</v>
      </c>
      <c r="L140" s="16">
        <v>0</v>
      </c>
      <c r="M140" s="16">
        <v>0</v>
      </c>
      <c r="N140" s="16">
        <v>0</v>
      </c>
      <c r="O140" s="16">
        <v>0</v>
      </c>
      <c r="P140" s="16">
        <v>0</v>
      </c>
      <c r="Q140" s="16">
        <v>0</v>
      </c>
      <c r="R140" s="16">
        <v>0</v>
      </c>
      <c r="S140" s="16">
        <v>0</v>
      </c>
      <c r="T140" s="16">
        <v>0</v>
      </c>
      <c r="U140" s="16">
        <v>0</v>
      </c>
      <c r="V140" s="16">
        <v>0</v>
      </c>
      <c r="W140" s="16">
        <v>0</v>
      </c>
      <c r="X140" s="16">
        <v>0</v>
      </c>
      <c r="Y140" s="16">
        <v>0</v>
      </c>
      <c r="Z140" s="16">
        <v>0</v>
      </c>
      <c r="AA140" s="16">
        <v>0</v>
      </c>
      <c r="AB140" s="16">
        <v>0</v>
      </c>
      <c r="AC140" s="16">
        <v>0</v>
      </c>
      <c r="AD140" s="16">
        <v>0</v>
      </c>
      <c r="AE140" s="16">
        <v>0</v>
      </c>
      <c r="AF140" s="16">
        <v>0</v>
      </c>
      <c r="AG140" s="16">
        <v>0</v>
      </c>
      <c r="AH140" s="16">
        <v>0</v>
      </c>
      <c r="AI140" s="16">
        <v>0</v>
      </c>
      <c r="AJ140" s="16">
        <v>0</v>
      </c>
      <c r="AK140" s="16">
        <v>0</v>
      </c>
      <c r="AL140" s="16">
        <v>0</v>
      </c>
      <c r="AM140" s="16">
        <v>0</v>
      </c>
      <c r="AN140" s="16">
        <v>0</v>
      </c>
      <c r="AO140" s="16">
        <v>0</v>
      </c>
      <c r="AP140" s="16">
        <v>0</v>
      </c>
      <c r="AQ140" s="16">
        <v>0</v>
      </c>
      <c r="AR140" s="16">
        <v>0</v>
      </c>
      <c r="AS140" s="16">
        <v>0</v>
      </c>
      <c r="AT140" s="16">
        <v>24</v>
      </c>
      <c r="AU140" s="16">
        <v>24</v>
      </c>
      <c r="AV140" s="16">
        <v>0</v>
      </c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0</v>
      </c>
      <c r="BD140" s="16">
        <v>0</v>
      </c>
      <c r="BE140" s="16">
        <v>0</v>
      </c>
      <c r="BF140" s="16">
        <v>0</v>
      </c>
      <c r="BG140" s="16">
        <v>0</v>
      </c>
      <c r="BH140" s="16">
        <v>0</v>
      </c>
      <c r="BI140" s="16">
        <v>0</v>
      </c>
      <c r="BJ140" s="16">
        <v>0</v>
      </c>
      <c r="BK140" s="16">
        <v>0</v>
      </c>
      <c r="BL140" s="16">
        <v>0</v>
      </c>
      <c r="BM140" s="16">
        <v>0</v>
      </c>
      <c r="BN140" s="16">
        <v>0</v>
      </c>
      <c r="BO140" s="16">
        <v>0</v>
      </c>
      <c r="BP140" s="16">
        <v>0</v>
      </c>
      <c r="BQ140" s="16">
        <v>0</v>
      </c>
      <c r="BR140" s="16">
        <v>0</v>
      </c>
      <c r="BS140" s="207">
        <f t="shared" si="64"/>
        <v>0</v>
      </c>
      <c r="BT140" s="207">
        <f t="shared" si="65"/>
        <v>0</v>
      </c>
      <c r="BU140" s="207">
        <f t="shared" si="66"/>
        <v>0</v>
      </c>
      <c r="BV140" s="207">
        <f t="shared" si="67"/>
        <v>0</v>
      </c>
      <c r="BW140" s="207">
        <f t="shared" si="68"/>
        <v>0</v>
      </c>
      <c r="BX140" s="207">
        <f t="shared" si="69"/>
        <v>0</v>
      </c>
      <c r="BY140" s="207">
        <f t="shared" si="70"/>
        <v>0</v>
      </c>
      <c r="BZ140" s="207">
        <f t="shared" si="71"/>
        <v>48</v>
      </c>
      <c r="CA140" s="207">
        <f t="shared" si="72"/>
        <v>0</v>
      </c>
      <c r="CB140" s="207">
        <f t="shared" si="73"/>
        <v>0</v>
      </c>
      <c r="CC140" s="207">
        <f t="shared" si="74"/>
        <v>0</v>
      </c>
      <c r="CD140" s="207">
        <f t="shared" si="75"/>
        <v>0</v>
      </c>
      <c r="CE140" s="207">
        <f t="shared" si="76"/>
        <v>48</v>
      </c>
    </row>
    <row r="141" spans="1:83" ht="12" customHeight="1" x14ac:dyDescent="0.2">
      <c r="A141" s="6">
        <v>3</v>
      </c>
      <c r="B141" s="49" t="str">
        <f t="shared" si="78"/>
        <v>Pérez Montemayor Jose JavierP0020</v>
      </c>
      <c r="C141" s="117" t="str">
        <f t="shared" si="77"/>
        <v>Pérez Montemayor Jose Javier</v>
      </c>
      <c r="D141" s="49" t="str">
        <f>VLOOKUP(C141,Datos!$B$13:$C$83,2,0)</f>
        <v>VIGENTE</v>
      </c>
      <c r="E141" s="49" t="s">
        <v>50</v>
      </c>
      <c r="F141" s="49" t="str">
        <f>IFERROR(VLOOKUP(H141,Datos!$J$2:$L$60,3,0),"OBSERVACIONES")</f>
        <v>CERRADO</v>
      </c>
      <c r="G141" s="49"/>
      <c r="H141" s="49" t="s">
        <v>196</v>
      </c>
      <c r="I141" s="49" t="s">
        <v>127</v>
      </c>
      <c r="J141" s="118" t="s">
        <v>35</v>
      </c>
      <c r="K141" s="16">
        <v>0</v>
      </c>
      <c r="L141" s="16">
        <v>0</v>
      </c>
      <c r="M141" s="16">
        <v>0</v>
      </c>
      <c r="N141" s="16">
        <v>0</v>
      </c>
      <c r="O141" s="16">
        <v>0</v>
      </c>
      <c r="P141" s="16">
        <v>0</v>
      </c>
      <c r="Q141" s="16">
        <v>0</v>
      </c>
      <c r="R141" s="16">
        <v>0</v>
      </c>
      <c r="S141" s="16">
        <v>0</v>
      </c>
      <c r="T141" s="16">
        <v>0</v>
      </c>
      <c r="U141" s="16">
        <v>0</v>
      </c>
      <c r="V141" s="16">
        <v>0</v>
      </c>
      <c r="W141" s="16">
        <v>0</v>
      </c>
      <c r="X141" s="16">
        <v>0</v>
      </c>
      <c r="Y141" s="16">
        <v>0</v>
      </c>
      <c r="Z141" s="16">
        <v>0</v>
      </c>
      <c r="AA141" s="16">
        <v>0</v>
      </c>
      <c r="AB141" s="16">
        <v>0</v>
      </c>
      <c r="AC141" s="16">
        <v>40</v>
      </c>
      <c r="AD141" s="16">
        <v>24</v>
      </c>
      <c r="AE141" s="16">
        <v>40</v>
      </c>
      <c r="AF141" s="16">
        <v>40</v>
      </c>
      <c r="AG141" s="16">
        <v>40</v>
      </c>
      <c r="AH141" s="16">
        <v>24</v>
      </c>
      <c r="AI141" s="16">
        <v>0</v>
      </c>
      <c r="AJ141" s="16">
        <v>16</v>
      </c>
      <c r="AK141" s="16">
        <v>40</v>
      </c>
      <c r="AL141" s="16">
        <v>40</v>
      </c>
      <c r="AM141" s="16">
        <v>0</v>
      </c>
      <c r="AN141" s="16">
        <v>16</v>
      </c>
      <c r="AO141" s="16">
        <v>32</v>
      </c>
      <c r="AP141" s="16">
        <v>40</v>
      </c>
      <c r="AQ141" s="16">
        <v>32</v>
      </c>
      <c r="AR141" s="16">
        <v>0</v>
      </c>
      <c r="AS141" s="16">
        <v>8</v>
      </c>
      <c r="AT141" s="16">
        <v>0</v>
      </c>
      <c r="AU141" s="16">
        <v>0</v>
      </c>
      <c r="AV141" s="16">
        <v>0</v>
      </c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0</v>
      </c>
      <c r="BD141" s="16">
        <v>0</v>
      </c>
      <c r="BE141" s="16">
        <v>0</v>
      </c>
      <c r="BF141" s="16">
        <v>0</v>
      </c>
      <c r="BG141" s="16">
        <v>0</v>
      </c>
      <c r="BH141" s="16">
        <v>0</v>
      </c>
      <c r="BI141" s="16">
        <v>0</v>
      </c>
      <c r="BJ141" s="16">
        <v>0</v>
      </c>
      <c r="BK141" s="16">
        <v>0</v>
      </c>
      <c r="BL141" s="16">
        <v>0</v>
      </c>
      <c r="BM141" s="16">
        <v>0</v>
      </c>
      <c r="BN141" s="16">
        <v>0</v>
      </c>
      <c r="BO141" s="16">
        <v>0</v>
      </c>
      <c r="BP141" s="16">
        <v>0</v>
      </c>
      <c r="BQ141" s="16">
        <v>0</v>
      </c>
      <c r="BR141" s="16">
        <v>0</v>
      </c>
      <c r="BS141" s="207">
        <f t="shared" si="64"/>
        <v>0</v>
      </c>
      <c r="BT141" s="207">
        <f t="shared" si="65"/>
        <v>0</v>
      </c>
      <c r="BU141" s="207">
        <f t="shared" si="66"/>
        <v>0</v>
      </c>
      <c r="BV141" s="207">
        <f t="shared" si="67"/>
        <v>40</v>
      </c>
      <c r="BW141" s="207">
        <f t="shared" si="68"/>
        <v>168</v>
      </c>
      <c r="BX141" s="207">
        <f t="shared" si="69"/>
        <v>96</v>
      </c>
      <c r="BY141" s="207">
        <f t="shared" si="70"/>
        <v>128</v>
      </c>
      <c r="BZ141" s="207">
        <f t="shared" si="71"/>
        <v>0</v>
      </c>
      <c r="CA141" s="207">
        <f t="shared" si="72"/>
        <v>0</v>
      </c>
      <c r="CB141" s="207">
        <f t="shared" si="73"/>
        <v>0</v>
      </c>
      <c r="CC141" s="207">
        <f t="shared" si="74"/>
        <v>0</v>
      </c>
      <c r="CD141" s="207">
        <f t="shared" si="75"/>
        <v>0</v>
      </c>
      <c r="CE141" s="207">
        <f t="shared" si="76"/>
        <v>432</v>
      </c>
    </row>
    <row r="142" spans="1:83" ht="12" customHeight="1" x14ac:dyDescent="0.2">
      <c r="A142" s="6">
        <v>5</v>
      </c>
      <c r="B142" s="49" t="str">
        <f t="shared" si="78"/>
        <v>Pérez Montemayor Jose JavierINASISTENCIAS</v>
      </c>
      <c r="C142" s="117" t="str">
        <f t="shared" si="77"/>
        <v>Pérez Montemayor Jose Javier</v>
      </c>
      <c r="D142" s="49" t="str">
        <f>VLOOKUP(C142,Datos!$B$13:$C$83,2,0)</f>
        <v>VIGENTE</v>
      </c>
      <c r="E142" s="49" t="s">
        <v>208</v>
      </c>
      <c r="F142" s="49"/>
      <c r="G142" s="49" t="str">
        <f>IFERROR(VLOOKUP(H142,Datos!$J$2:$L$60,3,0),"OBSERVACIONES")</f>
        <v>OBSERVACIONES</v>
      </c>
      <c r="H142" s="49" t="s">
        <v>208</v>
      </c>
      <c r="I142" s="49" t="s">
        <v>210</v>
      </c>
      <c r="J142" s="118" t="s">
        <v>35</v>
      </c>
      <c r="K142" s="16">
        <v>0</v>
      </c>
      <c r="L142" s="16">
        <v>0</v>
      </c>
      <c r="M142" s="16">
        <v>0</v>
      </c>
      <c r="N142" s="16">
        <v>0</v>
      </c>
      <c r="O142" s="16">
        <v>0</v>
      </c>
      <c r="P142" s="16">
        <v>0</v>
      </c>
      <c r="Q142" s="16">
        <v>0</v>
      </c>
      <c r="R142" s="16">
        <v>0</v>
      </c>
      <c r="S142" s="16">
        <v>0</v>
      </c>
      <c r="T142" s="16">
        <v>0</v>
      </c>
      <c r="U142" s="16">
        <v>0</v>
      </c>
      <c r="V142" s="16">
        <v>0</v>
      </c>
      <c r="W142" s="16">
        <v>0</v>
      </c>
      <c r="X142" s="16">
        <v>0</v>
      </c>
      <c r="Y142" s="16">
        <v>0</v>
      </c>
      <c r="Z142" s="16">
        <v>0</v>
      </c>
      <c r="AA142" s="16">
        <v>0</v>
      </c>
      <c r="AB142" s="16">
        <v>0</v>
      </c>
      <c r="AC142" s="16">
        <v>0</v>
      </c>
      <c r="AD142" s="16">
        <v>0</v>
      </c>
      <c r="AE142" s="16">
        <v>0</v>
      </c>
      <c r="AF142" s="16">
        <v>0</v>
      </c>
      <c r="AG142" s="16">
        <v>0</v>
      </c>
      <c r="AH142" s="16">
        <v>0</v>
      </c>
      <c r="AI142" s="16">
        <v>16</v>
      </c>
      <c r="AJ142" s="16">
        <v>0</v>
      </c>
      <c r="AK142" s="16">
        <v>0</v>
      </c>
      <c r="AL142" s="16">
        <v>0</v>
      </c>
      <c r="AM142" s="16">
        <v>0</v>
      </c>
      <c r="AN142" s="16">
        <v>0</v>
      </c>
      <c r="AO142" s="16">
        <v>0</v>
      </c>
      <c r="AP142" s="16">
        <v>0</v>
      </c>
      <c r="AQ142" s="16">
        <v>0</v>
      </c>
      <c r="AR142" s="16">
        <v>0</v>
      </c>
      <c r="AS142" s="16">
        <v>0</v>
      </c>
      <c r="AT142" s="16">
        <v>0</v>
      </c>
      <c r="AU142" s="16">
        <v>0</v>
      </c>
      <c r="AV142" s="16">
        <v>0</v>
      </c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0</v>
      </c>
      <c r="BD142" s="16">
        <v>0</v>
      </c>
      <c r="BE142" s="16">
        <v>0</v>
      </c>
      <c r="BF142" s="16">
        <v>0</v>
      </c>
      <c r="BG142" s="16">
        <v>0</v>
      </c>
      <c r="BH142" s="16">
        <v>0</v>
      </c>
      <c r="BI142" s="16">
        <v>0</v>
      </c>
      <c r="BJ142" s="16">
        <v>0</v>
      </c>
      <c r="BK142" s="16">
        <v>0</v>
      </c>
      <c r="BL142" s="16">
        <v>0</v>
      </c>
      <c r="BM142" s="16">
        <v>0</v>
      </c>
      <c r="BN142" s="16">
        <v>0</v>
      </c>
      <c r="BO142" s="16">
        <v>0</v>
      </c>
      <c r="BP142" s="16">
        <v>0</v>
      </c>
      <c r="BQ142" s="16">
        <v>0</v>
      </c>
      <c r="BR142" s="16">
        <v>0</v>
      </c>
      <c r="BS142" s="207">
        <f t="shared" si="64"/>
        <v>0</v>
      </c>
      <c r="BT142" s="207">
        <f t="shared" si="65"/>
        <v>0</v>
      </c>
      <c r="BU142" s="207">
        <f t="shared" si="66"/>
        <v>0</v>
      </c>
      <c r="BV142" s="207">
        <f t="shared" si="67"/>
        <v>0</v>
      </c>
      <c r="BW142" s="207">
        <f t="shared" si="68"/>
        <v>0</v>
      </c>
      <c r="BX142" s="207">
        <f t="shared" si="69"/>
        <v>16</v>
      </c>
      <c r="BY142" s="207">
        <f t="shared" si="70"/>
        <v>0</v>
      </c>
      <c r="BZ142" s="207">
        <f t="shared" si="71"/>
        <v>0</v>
      </c>
      <c r="CA142" s="207">
        <f t="shared" si="72"/>
        <v>0</v>
      </c>
      <c r="CB142" s="207">
        <f t="shared" si="73"/>
        <v>0</v>
      </c>
      <c r="CC142" s="207">
        <f t="shared" si="74"/>
        <v>0</v>
      </c>
      <c r="CD142" s="207">
        <f t="shared" si="75"/>
        <v>0</v>
      </c>
      <c r="CE142" s="207">
        <f t="shared" si="76"/>
        <v>16</v>
      </c>
    </row>
    <row r="143" spans="1:83" ht="12" customHeight="1" x14ac:dyDescent="0.2">
      <c r="A143" s="6">
        <v>3</v>
      </c>
      <c r="B143" s="49" t="str">
        <f t="shared" si="78"/>
        <v>Pérez Montemayor Jose JavierP0024</v>
      </c>
      <c r="C143" s="117" t="str">
        <f t="shared" si="77"/>
        <v>Pérez Montemayor Jose Javier</v>
      </c>
      <c r="D143" s="49" t="str">
        <f>VLOOKUP(C143,Datos!$B$13:$C$83,2,0)</f>
        <v>VIGENTE</v>
      </c>
      <c r="E143" s="49" t="s">
        <v>78</v>
      </c>
      <c r="F143" s="49" t="str">
        <f>IFERROR(VLOOKUP(H143,Datos!$J$2:$L$60,3,0),"OBSERVACIONES")</f>
        <v>CERRADO</v>
      </c>
      <c r="G143" s="49"/>
      <c r="H143" s="50" t="s">
        <v>221</v>
      </c>
      <c r="I143" s="49" t="s">
        <v>222</v>
      </c>
      <c r="J143" s="118" t="s">
        <v>35</v>
      </c>
      <c r="K143" s="16">
        <v>0</v>
      </c>
      <c r="L143" s="16">
        <v>0</v>
      </c>
      <c r="M143" s="16">
        <v>0</v>
      </c>
      <c r="N143" s="16">
        <v>0</v>
      </c>
      <c r="O143" s="16">
        <v>0</v>
      </c>
      <c r="P143" s="16">
        <v>0</v>
      </c>
      <c r="Q143" s="16">
        <v>0</v>
      </c>
      <c r="R143" s="16">
        <v>0</v>
      </c>
      <c r="S143" s="16">
        <v>0</v>
      </c>
      <c r="T143" s="16">
        <v>0</v>
      </c>
      <c r="U143" s="16">
        <v>0</v>
      </c>
      <c r="V143" s="16">
        <v>0</v>
      </c>
      <c r="W143" s="16">
        <v>0</v>
      </c>
      <c r="X143" s="16">
        <v>0</v>
      </c>
      <c r="Y143" s="16">
        <v>0</v>
      </c>
      <c r="Z143" s="16">
        <v>0</v>
      </c>
      <c r="AA143" s="16">
        <v>0</v>
      </c>
      <c r="AB143" s="16">
        <v>0</v>
      </c>
      <c r="AC143" s="16">
        <v>0</v>
      </c>
      <c r="AD143" s="16">
        <v>0</v>
      </c>
      <c r="AE143" s="16">
        <v>0</v>
      </c>
      <c r="AF143" s="16">
        <v>0</v>
      </c>
      <c r="AG143" s="16">
        <v>0</v>
      </c>
      <c r="AH143" s="16">
        <v>0</v>
      </c>
      <c r="AI143" s="16">
        <v>0</v>
      </c>
      <c r="AJ143" s="16">
        <v>0</v>
      </c>
      <c r="AK143" s="16">
        <v>0</v>
      </c>
      <c r="AL143" s="16">
        <v>0</v>
      </c>
      <c r="AM143" s="16">
        <v>32</v>
      </c>
      <c r="AN143" s="16">
        <v>22</v>
      </c>
      <c r="AO143" s="16">
        <v>8</v>
      </c>
      <c r="AP143" s="16">
        <v>0</v>
      </c>
      <c r="AQ143" s="16">
        <v>0</v>
      </c>
      <c r="AR143" s="16">
        <v>0</v>
      </c>
      <c r="AS143" s="16">
        <v>0</v>
      </c>
      <c r="AT143" s="16">
        <v>0</v>
      </c>
      <c r="AU143" s="16">
        <v>0</v>
      </c>
      <c r="AV143" s="16">
        <v>0</v>
      </c>
      <c r="AW143" s="16">
        <v>0</v>
      </c>
      <c r="AX143" s="16">
        <v>0</v>
      </c>
      <c r="AY143" s="16">
        <v>0</v>
      </c>
      <c r="AZ143" s="16">
        <v>0</v>
      </c>
      <c r="BA143" s="16">
        <v>2</v>
      </c>
      <c r="BB143" s="16">
        <v>0</v>
      </c>
      <c r="BC143" s="16">
        <v>0</v>
      </c>
      <c r="BD143" s="16">
        <v>0</v>
      </c>
      <c r="BE143" s="16">
        <v>0</v>
      </c>
      <c r="BF143" s="16">
        <v>0</v>
      </c>
      <c r="BG143" s="16">
        <v>0</v>
      </c>
      <c r="BH143" s="16">
        <v>0</v>
      </c>
      <c r="BI143" s="16">
        <v>0</v>
      </c>
      <c r="BJ143" s="16">
        <v>0</v>
      </c>
      <c r="BK143" s="16">
        <v>0</v>
      </c>
      <c r="BL143" s="16">
        <v>0</v>
      </c>
      <c r="BM143" s="16">
        <v>0</v>
      </c>
      <c r="BN143" s="16">
        <v>0</v>
      </c>
      <c r="BO143" s="16">
        <v>0</v>
      </c>
      <c r="BP143" s="16">
        <v>0</v>
      </c>
      <c r="BQ143" s="16">
        <v>0</v>
      </c>
      <c r="BR143" s="16">
        <v>0</v>
      </c>
      <c r="BS143" s="207">
        <f t="shared" ref="BS143:BS183" si="79">SUM(K143:O143)</f>
        <v>0</v>
      </c>
      <c r="BT143" s="207">
        <f t="shared" ref="BT143:BT183" si="80">SUM(P143:T143)</f>
        <v>0</v>
      </c>
      <c r="BU143" s="207">
        <f t="shared" ref="BU143:BU183" si="81">SUM(U143:Y143)</f>
        <v>0</v>
      </c>
      <c r="BV143" s="207">
        <f t="shared" si="67"/>
        <v>0</v>
      </c>
      <c r="BW143" s="207">
        <f t="shared" ref="BW143:BW183" si="82">SUM(AD143:AH143)</f>
        <v>0</v>
      </c>
      <c r="BX143" s="207">
        <f t="shared" ref="BX143:BX183" si="83">SUM(AI143:AM143)</f>
        <v>32</v>
      </c>
      <c r="BY143" s="207">
        <f t="shared" ref="BY143:BY183" si="84">SUM(AN143:AS143)</f>
        <v>30</v>
      </c>
      <c r="BZ143" s="207">
        <f t="shared" ref="BZ143:BZ183" si="85">SUM(AT143:AX143)</f>
        <v>0</v>
      </c>
      <c r="CA143" s="207">
        <f t="shared" ref="CA143:CA183" si="86">SUM(AY143:BC143)</f>
        <v>2</v>
      </c>
      <c r="CB143" s="207">
        <f t="shared" ref="CB143:CB183" si="87">SUM(BD143:BH143)</f>
        <v>0</v>
      </c>
      <c r="CC143" s="207">
        <f t="shared" ref="CC143:CC183" si="88">SUM(BI143:BM143)</f>
        <v>0</v>
      </c>
      <c r="CD143" s="207">
        <f t="shared" ref="CD143:CD183" si="89">SUM(BN143:BR143)</f>
        <v>0</v>
      </c>
      <c r="CE143" s="207">
        <f t="shared" ref="CE143:CE183" si="90">SUM(BS143:CD143)</f>
        <v>64</v>
      </c>
    </row>
    <row r="144" spans="1:83" ht="12" customHeight="1" x14ac:dyDescent="0.2">
      <c r="A144" s="6">
        <v>3</v>
      </c>
      <c r="B144" s="49" t="str">
        <f t="shared" si="78"/>
        <v>Pizarro Saldaña Jorge GabrielP0002</v>
      </c>
      <c r="C144" s="117" t="str">
        <f t="shared" si="77"/>
        <v>Pizarro Saldaña Jorge Gabriel</v>
      </c>
      <c r="D144" s="49" t="str">
        <f>VLOOKUP(C144,Datos!$B$13:$C$83,2,0)</f>
        <v>VIGENTE</v>
      </c>
      <c r="E144" s="49" t="s">
        <v>89</v>
      </c>
      <c r="F144" s="49" t="str">
        <f>IFERROR(VLOOKUP(H144,Datos!$J$2:$L$60,3,0),"OBSERVACIONES")</f>
        <v>CERRADO</v>
      </c>
      <c r="G144" s="49"/>
      <c r="H144" s="49" t="s">
        <v>90</v>
      </c>
      <c r="I144" s="49" t="s">
        <v>113</v>
      </c>
      <c r="J144" s="118" t="s">
        <v>36</v>
      </c>
      <c r="K144" s="16">
        <v>40</v>
      </c>
      <c r="L144" s="16">
        <v>40</v>
      </c>
      <c r="M144" s="16">
        <v>40</v>
      </c>
      <c r="N144" s="16">
        <v>20</v>
      </c>
      <c r="O144" s="16">
        <v>0</v>
      </c>
      <c r="P144" s="16">
        <v>0</v>
      </c>
      <c r="Q144" s="16">
        <v>0</v>
      </c>
      <c r="R144" s="16">
        <v>0</v>
      </c>
      <c r="S144" s="16">
        <v>0</v>
      </c>
      <c r="T144" s="16">
        <v>0</v>
      </c>
      <c r="U144" s="16">
        <v>0</v>
      </c>
      <c r="V144" s="16">
        <v>0</v>
      </c>
      <c r="W144" s="16">
        <v>0</v>
      </c>
      <c r="X144" s="16">
        <v>0</v>
      </c>
      <c r="Y144" s="16">
        <v>0</v>
      </c>
      <c r="Z144" s="16">
        <v>0</v>
      </c>
      <c r="AA144" s="16">
        <v>0</v>
      </c>
      <c r="AB144" s="16">
        <v>0</v>
      </c>
      <c r="AC144" s="16">
        <v>0</v>
      </c>
      <c r="AD144" s="16">
        <v>0</v>
      </c>
      <c r="AE144" s="16">
        <v>0</v>
      </c>
      <c r="AF144" s="16">
        <v>0</v>
      </c>
      <c r="AG144" s="16">
        <v>0</v>
      </c>
      <c r="AH144" s="16">
        <v>0</v>
      </c>
      <c r="AI144" s="16">
        <v>0</v>
      </c>
      <c r="AJ144" s="16">
        <v>0</v>
      </c>
      <c r="AK144" s="16">
        <v>0</v>
      </c>
      <c r="AL144" s="16">
        <v>0</v>
      </c>
      <c r="AM144" s="16">
        <v>0</v>
      </c>
      <c r="AN144" s="16">
        <v>0</v>
      </c>
      <c r="AO144" s="16">
        <v>0</v>
      </c>
      <c r="AP144" s="16">
        <v>0</v>
      </c>
      <c r="AQ144" s="16">
        <v>0</v>
      </c>
      <c r="AR144" s="16">
        <v>0</v>
      </c>
      <c r="AS144" s="16">
        <v>0</v>
      </c>
      <c r="AT144" s="16">
        <v>0</v>
      </c>
      <c r="AU144" s="16">
        <v>0</v>
      </c>
      <c r="AV144" s="16">
        <v>0</v>
      </c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0</v>
      </c>
      <c r="BD144" s="16">
        <v>0</v>
      </c>
      <c r="BE144" s="16">
        <v>0</v>
      </c>
      <c r="BF144" s="16">
        <v>0</v>
      </c>
      <c r="BG144" s="16">
        <v>0</v>
      </c>
      <c r="BH144" s="16">
        <v>0</v>
      </c>
      <c r="BI144" s="16">
        <v>0</v>
      </c>
      <c r="BJ144" s="16">
        <v>0</v>
      </c>
      <c r="BK144" s="16">
        <v>0</v>
      </c>
      <c r="BL144" s="16">
        <v>0</v>
      </c>
      <c r="BM144" s="16">
        <v>0</v>
      </c>
      <c r="BN144" s="16">
        <v>0</v>
      </c>
      <c r="BO144" s="16">
        <v>0</v>
      </c>
      <c r="BP144" s="16">
        <v>0</v>
      </c>
      <c r="BQ144" s="16">
        <v>0</v>
      </c>
      <c r="BR144" s="16">
        <v>0</v>
      </c>
      <c r="BS144" s="207">
        <f t="shared" si="79"/>
        <v>140</v>
      </c>
      <c r="BT144" s="207">
        <f t="shared" si="80"/>
        <v>0</v>
      </c>
      <c r="BU144" s="207">
        <f t="shared" si="81"/>
        <v>0</v>
      </c>
      <c r="BV144" s="207">
        <f t="shared" si="67"/>
        <v>0</v>
      </c>
      <c r="BW144" s="207">
        <f t="shared" si="82"/>
        <v>0</v>
      </c>
      <c r="BX144" s="207">
        <f t="shared" si="83"/>
        <v>0</v>
      </c>
      <c r="BY144" s="207">
        <f t="shared" si="84"/>
        <v>0</v>
      </c>
      <c r="BZ144" s="207">
        <f t="shared" si="85"/>
        <v>0</v>
      </c>
      <c r="CA144" s="207">
        <f t="shared" si="86"/>
        <v>0</v>
      </c>
      <c r="CB144" s="207">
        <f t="shared" si="87"/>
        <v>0</v>
      </c>
      <c r="CC144" s="207">
        <f t="shared" si="88"/>
        <v>0</v>
      </c>
      <c r="CD144" s="207">
        <f t="shared" si="89"/>
        <v>0</v>
      </c>
      <c r="CE144" s="207">
        <f t="shared" si="90"/>
        <v>140</v>
      </c>
    </row>
    <row r="145" spans="1:83" ht="12" customHeight="1" x14ac:dyDescent="0.2">
      <c r="A145" s="6">
        <v>3</v>
      </c>
      <c r="B145" s="49" t="str">
        <f t="shared" si="78"/>
        <v>Pizarro Saldaña Jorge GabrielP0003</v>
      </c>
      <c r="C145" s="117" t="str">
        <f t="shared" si="77"/>
        <v>Pizarro Saldaña Jorge Gabriel</v>
      </c>
      <c r="D145" s="49" t="str">
        <f>VLOOKUP(C145,Datos!$B$13:$C$83,2,0)</f>
        <v>VIGENTE</v>
      </c>
      <c r="E145" s="49" t="s">
        <v>89</v>
      </c>
      <c r="F145" s="49" t="str">
        <f>IFERROR(VLOOKUP(H145,Datos!$J$2:$L$60,3,0),"OBSERVACIONES")</f>
        <v>CERRADO</v>
      </c>
      <c r="G145" s="49"/>
      <c r="H145" s="49" t="s">
        <v>95</v>
      </c>
      <c r="I145" s="49" t="s">
        <v>165</v>
      </c>
      <c r="J145" s="118" t="s">
        <v>36</v>
      </c>
      <c r="K145" s="16">
        <v>0</v>
      </c>
      <c r="L145" s="16">
        <v>0</v>
      </c>
      <c r="M145" s="16">
        <v>0</v>
      </c>
      <c r="N145" s="16">
        <v>20</v>
      </c>
      <c r="O145" s="16">
        <v>16</v>
      </c>
      <c r="P145" s="16">
        <v>24</v>
      </c>
      <c r="Q145" s="16">
        <v>40</v>
      </c>
      <c r="R145" s="16">
        <v>40</v>
      </c>
      <c r="S145" s="16">
        <v>40</v>
      </c>
      <c r="T145" s="16">
        <v>16</v>
      </c>
      <c r="U145" s="16">
        <v>0</v>
      </c>
      <c r="V145" s="16">
        <v>0</v>
      </c>
      <c r="W145" s="16">
        <v>0</v>
      </c>
      <c r="X145" s="16">
        <v>0</v>
      </c>
      <c r="Y145" s="16">
        <v>0</v>
      </c>
      <c r="Z145" s="16">
        <v>0</v>
      </c>
      <c r="AA145" s="16">
        <v>0</v>
      </c>
      <c r="AB145" s="16">
        <v>0</v>
      </c>
      <c r="AC145" s="16">
        <v>0</v>
      </c>
      <c r="AD145" s="16">
        <v>0</v>
      </c>
      <c r="AE145" s="16">
        <v>0</v>
      </c>
      <c r="AF145" s="16">
        <v>0</v>
      </c>
      <c r="AG145" s="16">
        <v>0</v>
      </c>
      <c r="AH145" s="16">
        <v>0</v>
      </c>
      <c r="AI145" s="16">
        <v>0</v>
      </c>
      <c r="AJ145" s="16">
        <v>0</v>
      </c>
      <c r="AK145" s="16">
        <v>0</v>
      </c>
      <c r="AL145" s="16">
        <v>0</v>
      </c>
      <c r="AM145" s="16">
        <v>0</v>
      </c>
      <c r="AN145" s="16">
        <v>0</v>
      </c>
      <c r="AO145" s="16">
        <v>0</v>
      </c>
      <c r="AP145" s="16">
        <v>0</v>
      </c>
      <c r="AQ145" s="16">
        <v>0</v>
      </c>
      <c r="AR145" s="16">
        <v>0</v>
      </c>
      <c r="AS145" s="16">
        <v>0</v>
      </c>
      <c r="AT145" s="16">
        <v>0</v>
      </c>
      <c r="AU145" s="16">
        <v>0</v>
      </c>
      <c r="AV145" s="16">
        <v>0</v>
      </c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0</v>
      </c>
      <c r="BD145" s="16">
        <v>0</v>
      </c>
      <c r="BE145" s="16">
        <v>0</v>
      </c>
      <c r="BF145" s="16">
        <v>0</v>
      </c>
      <c r="BG145" s="16">
        <v>0</v>
      </c>
      <c r="BH145" s="16">
        <v>0</v>
      </c>
      <c r="BI145" s="16">
        <v>0</v>
      </c>
      <c r="BJ145" s="16">
        <v>0</v>
      </c>
      <c r="BK145" s="16">
        <v>0</v>
      </c>
      <c r="BL145" s="16">
        <v>0</v>
      </c>
      <c r="BM145" s="16">
        <v>0</v>
      </c>
      <c r="BN145" s="16">
        <v>0</v>
      </c>
      <c r="BO145" s="16">
        <v>0</v>
      </c>
      <c r="BP145" s="16">
        <v>0</v>
      </c>
      <c r="BQ145" s="16">
        <v>0</v>
      </c>
      <c r="BR145" s="16">
        <v>0</v>
      </c>
      <c r="BS145" s="207">
        <f t="shared" si="79"/>
        <v>36</v>
      </c>
      <c r="BT145" s="207">
        <f t="shared" si="80"/>
        <v>160</v>
      </c>
      <c r="BU145" s="207">
        <f t="shared" si="81"/>
        <v>0</v>
      </c>
      <c r="BV145" s="207">
        <f t="shared" si="67"/>
        <v>0</v>
      </c>
      <c r="BW145" s="207">
        <f t="shared" si="82"/>
        <v>0</v>
      </c>
      <c r="BX145" s="207">
        <f t="shared" si="83"/>
        <v>0</v>
      </c>
      <c r="BY145" s="207">
        <f t="shared" si="84"/>
        <v>0</v>
      </c>
      <c r="BZ145" s="207">
        <f t="shared" si="85"/>
        <v>0</v>
      </c>
      <c r="CA145" s="207">
        <f t="shared" si="86"/>
        <v>0</v>
      </c>
      <c r="CB145" s="207">
        <f t="shared" si="87"/>
        <v>0</v>
      </c>
      <c r="CC145" s="207">
        <f t="shared" si="88"/>
        <v>0</v>
      </c>
      <c r="CD145" s="207">
        <f t="shared" si="89"/>
        <v>0</v>
      </c>
      <c r="CE145" s="207">
        <f t="shared" si="90"/>
        <v>196</v>
      </c>
    </row>
    <row r="146" spans="1:83" x14ac:dyDescent="0.2">
      <c r="A146" s="6">
        <v>3</v>
      </c>
      <c r="B146" s="49" t="str">
        <f t="shared" si="78"/>
        <v>Pizarro Saldaña Jorge GabrielP0018</v>
      </c>
      <c r="C146" s="117" t="str">
        <f t="shared" si="77"/>
        <v>Pizarro Saldaña Jorge Gabriel</v>
      </c>
      <c r="D146" s="49" t="str">
        <f>VLOOKUP(C146,Datos!$B$13:$C$83,2,0)</f>
        <v>VIGENTE</v>
      </c>
      <c r="E146" s="49" t="s">
        <v>96</v>
      </c>
      <c r="F146" s="49" t="str">
        <f>IFERROR(VLOOKUP(H146,Datos!$J$2:$L$60,3,0),"OBSERVACIONES")</f>
        <v>CERRADO</v>
      </c>
      <c r="G146" s="49"/>
      <c r="H146" s="49" t="s">
        <v>203</v>
      </c>
      <c r="I146" s="49" t="s">
        <v>156</v>
      </c>
      <c r="J146" s="118" t="s">
        <v>36</v>
      </c>
      <c r="K146" s="16">
        <v>0</v>
      </c>
      <c r="L146" s="16">
        <v>0</v>
      </c>
      <c r="M146" s="16">
        <v>0</v>
      </c>
      <c r="N146" s="16">
        <v>0</v>
      </c>
      <c r="O146" s="16">
        <v>0</v>
      </c>
      <c r="P146" s="16">
        <v>0</v>
      </c>
      <c r="Q146" s="16">
        <v>0</v>
      </c>
      <c r="R146" s="16">
        <v>0</v>
      </c>
      <c r="S146" s="16">
        <v>0</v>
      </c>
      <c r="T146" s="16">
        <v>0</v>
      </c>
      <c r="U146" s="16">
        <v>24</v>
      </c>
      <c r="V146" s="16">
        <v>32</v>
      </c>
      <c r="W146" s="16">
        <v>32</v>
      </c>
      <c r="X146" s="16">
        <v>40</v>
      </c>
      <c r="Y146" s="16">
        <v>40</v>
      </c>
      <c r="Z146" s="16">
        <v>40</v>
      </c>
      <c r="AA146" s="16">
        <v>20</v>
      </c>
      <c r="AB146" s="16">
        <v>32</v>
      </c>
      <c r="AC146" s="16">
        <v>32</v>
      </c>
      <c r="AD146" s="16">
        <v>0</v>
      </c>
      <c r="AE146" s="16">
        <v>28</v>
      </c>
      <c r="AF146" s="16">
        <v>40</v>
      </c>
      <c r="AG146" s="16">
        <v>40</v>
      </c>
      <c r="AH146" s="16">
        <v>24</v>
      </c>
      <c r="AI146" s="16">
        <v>16</v>
      </c>
      <c r="AJ146" s="16">
        <v>40</v>
      </c>
      <c r="AK146" s="16">
        <v>24</v>
      </c>
      <c r="AL146" s="16">
        <v>24</v>
      </c>
      <c r="AM146" s="16">
        <v>0</v>
      </c>
      <c r="AN146" s="16">
        <v>0</v>
      </c>
      <c r="AO146" s="16">
        <v>0</v>
      </c>
      <c r="AP146" s="16">
        <v>0</v>
      </c>
      <c r="AQ146" s="16">
        <v>0</v>
      </c>
      <c r="AR146" s="16">
        <v>0</v>
      </c>
      <c r="AS146" s="16">
        <v>0</v>
      </c>
      <c r="AT146" s="16">
        <v>0</v>
      </c>
      <c r="AU146" s="16">
        <v>0</v>
      </c>
      <c r="AV146" s="16">
        <v>0</v>
      </c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0</v>
      </c>
      <c r="BD146" s="16">
        <v>0</v>
      </c>
      <c r="BE146" s="16">
        <v>0</v>
      </c>
      <c r="BF146" s="16">
        <v>0</v>
      </c>
      <c r="BG146" s="16">
        <v>0</v>
      </c>
      <c r="BH146" s="16">
        <v>0</v>
      </c>
      <c r="BI146" s="16">
        <v>0</v>
      </c>
      <c r="BJ146" s="16">
        <v>0</v>
      </c>
      <c r="BK146" s="16">
        <v>0</v>
      </c>
      <c r="BL146" s="16">
        <v>0</v>
      </c>
      <c r="BM146" s="16">
        <v>0</v>
      </c>
      <c r="BN146" s="16">
        <v>0</v>
      </c>
      <c r="BO146" s="16">
        <v>0</v>
      </c>
      <c r="BP146" s="16">
        <v>0</v>
      </c>
      <c r="BQ146" s="16">
        <v>0</v>
      </c>
      <c r="BR146" s="16">
        <v>0</v>
      </c>
      <c r="BS146" s="207">
        <f t="shared" si="79"/>
        <v>0</v>
      </c>
      <c r="BT146" s="207">
        <f t="shared" si="80"/>
        <v>0</v>
      </c>
      <c r="BU146" s="207">
        <f t="shared" si="81"/>
        <v>168</v>
      </c>
      <c r="BV146" s="207">
        <f t="shared" si="67"/>
        <v>124</v>
      </c>
      <c r="BW146" s="207">
        <f t="shared" si="82"/>
        <v>132</v>
      </c>
      <c r="BX146" s="207">
        <f t="shared" si="83"/>
        <v>104</v>
      </c>
      <c r="BY146" s="207">
        <f t="shared" si="84"/>
        <v>0</v>
      </c>
      <c r="BZ146" s="207">
        <f t="shared" si="85"/>
        <v>0</v>
      </c>
      <c r="CA146" s="207">
        <f t="shared" si="86"/>
        <v>0</v>
      </c>
      <c r="CB146" s="207">
        <f t="shared" si="87"/>
        <v>0</v>
      </c>
      <c r="CC146" s="207">
        <f t="shared" si="88"/>
        <v>0</v>
      </c>
      <c r="CD146" s="207">
        <f t="shared" si="89"/>
        <v>0</v>
      </c>
      <c r="CE146" s="207">
        <f t="shared" si="90"/>
        <v>528</v>
      </c>
    </row>
    <row r="147" spans="1:83" x14ac:dyDescent="0.2">
      <c r="A147" s="6">
        <v>3</v>
      </c>
      <c r="B147" s="49" t="str">
        <f t="shared" si="78"/>
        <v>Pizarro Saldaña Jorge GabrielP0009</v>
      </c>
      <c r="C147" s="117" t="str">
        <f t="shared" si="77"/>
        <v>Pizarro Saldaña Jorge Gabriel</v>
      </c>
      <c r="D147" s="49" t="str">
        <f>VLOOKUP(C147,Datos!$B$13:$C$83,2,0)</f>
        <v>VIGENTE</v>
      </c>
      <c r="E147" s="49" t="s">
        <v>78</v>
      </c>
      <c r="F147" s="49" t="str">
        <f>IFERROR(VLOOKUP(H147,Datos!$J$2:$L$60,3,0),"OBSERVACIONES")</f>
        <v>CERRADO</v>
      </c>
      <c r="G147" s="49"/>
      <c r="H147" s="49" t="s">
        <v>98</v>
      </c>
      <c r="I147" s="49" t="s">
        <v>135</v>
      </c>
      <c r="J147" s="118" t="s">
        <v>36</v>
      </c>
      <c r="K147" s="16">
        <v>0</v>
      </c>
      <c r="L147" s="16">
        <v>0</v>
      </c>
      <c r="M147" s="16">
        <v>0</v>
      </c>
      <c r="N147" s="16">
        <v>0</v>
      </c>
      <c r="O147" s="16">
        <v>0</v>
      </c>
      <c r="P147" s="16">
        <v>0</v>
      </c>
      <c r="Q147" s="16">
        <v>0</v>
      </c>
      <c r="R147" s="16">
        <v>0</v>
      </c>
      <c r="S147" s="16">
        <v>0</v>
      </c>
      <c r="T147" s="16">
        <v>0</v>
      </c>
      <c r="U147" s="16">
        <v>0</v>
      </c>
      <c r="V147" s="16">
        <v>0</v>
      </c>
      <c r="W147" s="16">
        <v>0</v>
      </c>
      <c r="X147" s="16">
        <v>0</v>
      </c>
      <c r="Y147" s="16">
        <v>0</v>
      </c>
      <c r="Z147" s="16">
        <v>0</v>
      </c>
      <c r="AA147" s="16">
        <v>0</v>
      </c>
      <c r="AB147" s="16">
        <v>0</v>
      </c>
      <c r="AC147" s="16">
        <v>0</v>
      </c>
      <c r="AD147" s="16">
        <v>0</v>
      </c>
      <c r="AE147" s="16">
        <v>4</v>
      </c>
      <c r="AF147" s="16">
        <v>0</v>
      </c>
      <c r="AG147" s="16">
        <v>0</v>
      </c>
      <c r="AH147" s="16">
        <v>0</v>
      </c>
      <c r="AI147" s="16">
        <v>0</v>
      </c>
      <c r="AJ147" s="16">
        <v>0</v>
      </c>
      <c r="AK147" s="16">
        <v>0</v>
      </c>
      <c r="AL147" s="16">
        <v>0</v>
      </c>
      <c r="AM147" s="16">
        <v>0</v>
      </c>
      <c r="AN147" s="16">
        <v>0</v>
      </c>
      <c r="AO147" s="16">
        <v>0</v>
      </c>
      <c r="AP147" s="16">
        <v>0</v>
      </c>
      <c r="AQ147" s="16">
        <v>0</v>
      </c>
      <c r="AR147" s="16">
        <v>0</v>
      </c>
      <c r="AS147" s="16">
        <v>0</v>
      </c>
      <c r="AT147" s="16">
        <v>0</v>
      </c>
      <c r="AU147" s="16">
        <v>0</v>
      </c>
      <c r="AV147" s="16">
        <v>0</v>
      </c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0</v>
      </c>
      <c r="BD147" s="16">
        <v>0</v>
      </c>
      <c r="BE147" s="16">
        <v>0</v>
      </c>
      <c r="BF147" s="16">
        <v>0</v>
      </c>
      <c r="BG147" s="16">
        <v>0</v>
      </c>
      <c r="BH147" s="16">
        <v>0</v>
      </c>
      <c r="BI147" s="16">
        <v>0</v>
      </c>
      <c r="BJ147" s="16">
        <v>0</v>
      </c>
      <c r="BK147" s="16">
        <v>0</v>
      </c>
      <c r="BL147" s="16">
        <v>0</v>
      </c>
      <c r="BM147" s="16">
        <v>0</v>
      </c>
      <c r="BN147" s="16">
        <v>0</v>
      </c>
      <c r="BO147" s="16">
        <v>0</v>
      </c>
      <c r="BP147" s="16">
        <v>0</v>
      </c>
      <c r="BQ147" s="16">
        <v>0</v>
      </c>
      <c r="BR147" s="16">
        <v>0</v>
      </c>
      <c r="BS147" s="207">
        <f t="shared" si="79"/>
        <v>0</v>
      </c>
      <c r="BT147" s="207">
        <f t="shared" si="80"/>
        <v>0</v>
      </c>
      <c r="BU147" s="207">
        <f t="shared" si="81"/>
        <v>0</v>
      </c>
      <c r="BV147" s="207">
        <f t="shared" si="67"/>
        <v>0</v>
      </c>
      <c r="BW147" s="207">
        <f t="shared" si="82"/>
        <v>4</v>
      </c>
      <c r="BX147" s="207">
        <f t="shared" si="83"/>
        <v>0</v>
      </c>
      <c r="BY147" s="207">
        <f t="shared" si="84"/>
        <v>0</v>
      </c>
      <c r="BZ147" s="207">
        <f t="shared" si="85"/>
        <v>0</v>
      </c>
      <c r="CA147" s="207">
        <f t="shared" si="86"/>
        <v>0</v>
      </c>
      <c r="CB147" s="207">
        <f t="shared" si="87"/>
        <v>0</v>
      </c>
      <c r="CC147" s="207">
        <f t="shared" si="88"/>
        <v>0</v>
      </c>
      <c r="CD147" s="207">
        <f t="shared" si="89"/>
        <v>0</v>
      </c>
      <c r="CE147" s="207">
        <f t="shared" si="90"/>
        <v>4</v>
      </c>
    </row>
    <row r="148" spans="1:83" x14ac:dyDescent="0.2">
      <c r="A148" s="6">
        <v>3</v>
      </c>
      <c r="B148" s="49" t="str">
        <f t="shared" si="78"/>
        <v>Pizarro Saldaña Jorge GabrielP0013</v>
      </c>
      <c r="C148" s="117" t="str">
        <f t="shared" si="77"/>
        <v>Pizarro Saldaña Jorge Gabriel</v>
      </c>
      <c r="D148" s="49" t="str">
        <f>VLOOKUP(C148,Datos!$B$13:$C$83,2,0)</f>
        <v>VIGENTE</v>
      </c>
      <c r="E148" s="50" t="s">
        <v>45</v>
      </c>
      <c r="F148" s="49" t="str">
        <f>IFERROR(VLOOKUP(H148,Datos!$J$2:$L$60,3,0),"OBSERVACIONES")</f>
        <v>CERRADO</v>
      </c>
      <c r="G148" s="49"/>
      <c r="H148" s="50" t="s">
        <v>51</v>
      </c>
      <c r="I148" s="49" t="s">
        <v>122</v>
      </c>
      <c r="J148" s="118" t="s">
        <v>36</v>
      </c>
      <c r="K148" s="16">
        <v>0</v>
      </c>
      <c r="L148" s="16">
        <v>0</v>
      </c>
      <c r="M148" s="16">
        <v>0</v>
      </c>
      <c r="N148" s="16">
        <v>0</v>
      </c>
      <c r="O148" s="16">
        <v>0</v>
      </c>
      <c r="P148" s="16">
        <v>0</v>
      </c>
      <c r="Q148" s="16">
        <v>0</v>
      </c>
      <c r="R148" s="16">
        <v>0</v>
      </c>
      <c r="S148" s="16">
        <v>0</v>
      </c>
      <c r="T148" s="16">
        <v>0</v>
      </c>
      <c r="U148" s="16">
        <v>0</v>
      </c>
      <c r="V148" s="16">
        <v>0</v>
      </c>
      <c r="W148" s="16">
        <v>0</v>
      </c>
      <c r="X148" s="16">
        <v>0</v>
      </c>
      <c r="Y148" s="16">
        <v>0</v>
      </c>
      <c r="Z148" s="16">
        <v>0</v>
      </c>
      <c r="AA148" s="16">
        <v>0</v>
      </c>
      <c r="AB148" s="16">
        <v>0</v>
      </c>
      <c r="AC148" s="16">
        <v>0</v>
      </c>
      <c r="AD148" s="16">
        <v>0</v>
      </c>
      <c r="AE148" s="16">
        <v>0</v>
      </c>
      <c r="AF148" s="16">
        <v>0</v>
      </c>
      <c r="AG148" s="16">
        <v>0</v>
      </c>
      <c r="AH148" s="16">
        <v>0</v>
      </c>
      <c r="AI148" s="16">
        <v>0</v>
      </c>
      <c r="AJ148" s="16">
        <v>0</v>
      </c>
      <c r="AK148" s="16">
        <v>16</v>
      </c>
      <c r="AL148" s="16">
        <v>0</v>
      </c>
      <c r="AM148" s="16">
        <v>0</v>
      </c>
      <c r="AN148" s="16">
        <v>0</v>
      </c>
      <c r="AO148" s="16">
        <v>0</v>
      </c>
      <c r="AP148" s="16">
        <v>0</v>
      </c>
      <c r="AQ148" s="16">
        <v>0</v>
      </c>
      <c r="AR148" s="16">
        <v>0</v>
      </c>
      <c r="AS148" s="16">
        <v>0</v>
      </c>
      <c r="AT148" s="16">
        <v>0</v>
      </c>
      <c r="AU148" s="16">
        <v>0</v>
      </c>
      <c r="AV148" s="16">
        <v>0</v>
      </c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0</v>
      </c>
      <c r="BD148" s="16">
        <v>0</v>
      </c>
      <c r="BE148" s="16">
        <v>0</v>
      </c>
      <c r="BF148" s="16">
        <v>0</v>
      </c>
      <c r="BG148" s="16">
        <v>0</v>
      </c>
      <c r="BH148" s="16">
        <v>0</v>
      </c>
      <c r="BI148" s="16">
        <v>0</v>
      </c>
      <c r="BJ148" s="16">
        <v>0</v>
      </c>
      <c r="BK148" s="16">
        <v>0</v>
      </c>
      <c r="BL148" s="16">
        <v>0</v>
      </c>
      <c r="BM148" s="16">
        <v>0</v>
      </c>
      <c r="BN148" s="16">
        <v>0</v>
      </c>
      <c r="BO148" s="16">
        <v>0</v>
      </c>
      <c r="BP148" s="16">
        <v>0</v>
      </c>
      <c r="BQ148" s="16">
        <v>0</v>
      </c>
      <c r="BR148" s="16">
        <v>0</v>
      </c>
      <c r="BS148" s="207">
        <f t="shared" si="79"/>
        <v>0</v>
      </c>
      <c r="BT148" s="207">
        <f t="shared" si="80"/>
        <v>0</v>
      </c>
      <c r="BU148" s="207">
        <f t="shared" si="81"/>
        <v>0</v>
      </c>
      <c r="BV148" s="207">
        <f t="shared" si="67"/>
        <v>0</v>
      </c>
      <c r="BW148" s="207">
        <f t="shared" si="82"/>
        <v>0</v>
      </c>
      <c r="BX148" s="207">
        <f t="shared" si="83"/>
        <v>16</v>
      </c>
      <c r="BY148" s="207">
        <f t="shared" si="84"/>
        <v>0</v>
      </c>
      <c r="BZ148" s="207">
        <f t="shared" si="85"/>
        <v>0</v>
      </c>
      <c r="CA148" s="207">
        <f t="shared" si="86"/>
        <v>0</v>
      </c>
      <c r="CB148" s="207">
        <f t="shared" si="87"/>
        <v>0</v>
      </c>
      <c r="CC148" s="207">
        <f t="shared" si="88"/>
        <v>0</v>
      </c>
      <c r="CD148" s="207">
        <f t="shared" si="89"/>
        <v>0</v>
      </c>
      <c r="CE148" s="207">
        <f t="shared" si="90"/>
        <v>16</v>
      </c>
    </row>
    <row r="149" spans="1:83" x14ac:dyDescent="0.2">
      <c r="A149" s="6">
        <v>3</v>
      </c>
      <c r="B149" s="49" t="str">
        <f t="shared" si="78"/>
        <v>Pizarro Saldaña Jorge GabrielP0023</v>
      </c>
      <c r="C149" s="117" t="str">
        <f t="shared" si="77"/>
        <v>Pizarro Saldaña Jorge Gabriel</v>
      </c>
      <c r="D149" s="49" t="str">
        <f>VLOOKUP(C149,Datos!$B$13:$C$83,2,0)</f>
        <v>VIGENTE</v>
      </c>
      <c r="E149" s="50" t="s">
        <v>234</v>
      </c>
      <c r="F149" s="49" t="str">
        <f>IFERROR(VLOOKUP(H149,Datos!$J$2:$L$60,3,0),"OBSERVACIONES")</f>
        <v>PROCESO</v>
      </c>
      <c r="G149" s="49"/>
      <c r="H149" s="50" t="s">
        <v>206</v>
      </c>
      <c r="I149" s="49" t="s">
        <v>235</v>
      </c>
      <c r="J149" s="118" t="s">
        <v>36</v>
      </c>
      <c r="K149" s="16">
        <v>0</v>
      </c>
      <c r="L149" s="16">
        <v>0</v>
      </c>
      <c r="M149" s="16">
        <v>0</v>
      </c>
      <c r="N149" s="16">
        <v>0</v>
      </c>
      <c r="O149" s="16">
        <v>0</v>
      </c>
      <c r="P149" s="16">
        <v>0</v>
      </c>
      <c r="Q149" s="16">
        <v>0</v>
      </c>
      <c r="R149" s="16">
        <v>0</v>
      </c>
      <c r="S149" s="16">
        <v>0</v>
      </c>
      <c r="T149" s="16">
        <v>0</v>
      </c>
      <c r="U149" s="16">
        <v>0</v>
      </c>
      <c r="V149" s="16">
        <v>0</v>
      </c>
      <c r="W149" s="16">
        <v>0</v>
      </c>
      <c r="X149" s="16">
        <v>0</v>
      </c>
      <c r="Y149" s="16">
        <v>0</v>
      </c>
      <c r="Z149" s="16">
        <v>0</v>
      </c>
      <c r="AA149" s="16">
        <v>0</v>
      </c>
      <c r="AB149" s="16">
        <v>0</v>
      </c>
      <c r="AC149" s="16">
        <v>0</v>
      </c>
      <c r="AD149" s="16">
        <v>0</v>
      </c>
      <c r="AE149" s="16">
        <v>0</v>
      </c>
      <c r="AF149" s="16">
        <v>0</v>
      </c>
      <c r="AG149" s="16">
        <v>0</v>
      </c>
      <c r="AH149" s="16">
        <v>0</v>
      </c>
      <c r="AI149" s="16">
        <v>0</v>
      </c>
      <c r="AJ149" s="16">
        <v>0</v>
      </c>
      <c r="AK149" s="16">
        <v>0</v>
      </c>
      <c r="AL149" s="16">
        <v>8</v>
      </c>
      <c r="AM149" s="16">
        <v>32</v>
      </c>
      <c r="AN149" s="16">
        <v>27</v>
      </c>
      <c r="AO149" s="16">
        <v>24</v>
      </c>
      <c r="AP149" s="16">
        <v>24</v>
      </c>
      <c r="AQ149" s="16">
        <v>32</v>
      </c>
      <c r="AR149" s="16">
        <v>0</v>
      </c>
      <c r="AS149" s="16">
        <v>0</v>
      </c>
      <c r="AT149" s="16">
        <v>24</v>
      </c>
      <c r="AU149" s="16">
        <v>40</v>
      </c>
      <c r="AV149" s="16">
        <v>0</v>
      </c>
      <c r="AW149" s="16">
        <v>0</v>
      </c>
      <c r="AX149" s="16">
        <v>16</v>
      </c>
      <c r="AY149" s="16">
        <v>8</v>
      </c>
      <c r="AZ149" s="16">
        <v>28</v>
      </c>
      <c r="BA149" s="16">
        <v>40</v>
      </c>
      <c r="BB149" s="16">
        <v>40</v>
      </c>
      <c r="BC149" s="16">
        <v>40</v>
      </c>
      <c r="BD149" s="16">
        <v>40</v>
      </c>
      <c r="BE149" s="16">
        <v>0</v>
      </c>
      <c r="BF149" s="16">
        <v>0</v>
      </c>
      <c r="BG149" s="16">
        <v>0</v>
      </c>
      <c r="BH149" s="16">
        <v>0</v>
      </c>
      <c r="BI149" s="16">
        <v>0</v>
      </c>
      <c r="BJ149" s="16">
        <v>0</v>
      </c>
      <c r="BK149" s="16">
        <v>0</v>
      </c>
      <c r="BL149" s="16">
        <v>0</v>
      </c>
      <c r="BM149" s="16">
        <v>0</v>
      </c>
      <c r="BN149" s="16">
        <v>0</v>
      </c>
      <c r="BO149" s="16">
        <v>0</v>
      </c>
      <c r="BP149" s="16">
        <v>0</v>
      </c>
      <c r="BQ149" s="16">
        <v>0</v>
      </c>
      <c r="BR149" s="16">
        <v>0</v>
      </c>
      <c r="BS149" s="207">
        <f t="shared" si="79"/>
        <v>0</v>
      </c>
      <c r="BT149" s="207">
        <f t="shared" si="80"/>
        <v>0</v>
      </c>
      <c r="BU149" s="207">
        <f t="shared" si="81"/>
        <v>0</v>
      </c>
      <c r="BV149" s="207">
        <f t="shared" si="67"/>
        <v>0</v>
      </c>
      <c r="BW149" s="207">
        <f t="shared" si="82"/>
        <v>0</v>
      </c>
      <c r="BX149" s="207">
        <f t="shared" si="83"/>
        <v>40</v>
      </c>
      <c r="BY149" s="207">
        <f t="shared" si="84"/>
        <v>107</v>
      </c>
      <c r="BZ149" s="207">
        <f t="shared" si="85"/>
        <v>80</v>
      </c>
      <c r="CA149" s="207">
        <f t="shared" si="86"/>
        <v>156</v>
      </c>
      <c r="CB149" s="207">
        <f t="shared" si="87"/>
        <v>40</v>
      </c>
      <c r="CC149" s="207">
        <f t="shared" si="88"/>
        <v>0</v>
      </c>
      <c r="CD149" s="207">
        <f t="shared" si="89"/>
        <v>0</v>
      </c>
      <c r="CE149" s="207">
        <f t="shared" si="90"/>
        <v>423</v>
      </c>
    </row>
    <row r="150" spans="1:83" x14ac:dyDescent="0.2">
      <c r="A150" s="6">
        <v>1</v>
      </c>
      <c r="B150" s="49" t="str">
        <f t="shared" si="78"/>
        <v>Revilla Casalino PabloNO FACT.</v>
      </c>
      <c r="C150" s="117" t="str">
        <f>J150</f>
        <v>Revilla Casalino Pablo</v>
      </c>
      <c r="D150" s="49" t="str">
        <f>VLOOKUP(C150,Datos!$B$13:$C$83,2,0)</f>
        <v>VIGENTE</v>
      </c>
      <c r="E150" s="50" t="s">
        <v>75</v>
      </c>
      <c r="F150" s="49"/>
      <c r="G150" s="49" t="str">
        <f>IFERROR(VLOOKUP(H150,Datos!$J$2:$L$60,3,0),"OBSERVACIONES")</f>
        <v>OBSERVACIONES</v>
      </c>
      <c r="H150" s="50" t="s">
        <v>75</v>
      </c>
      <c r="I150" s="49" t="s">
        <v>131</v>
      </c>
      <c r="J150" s="118" t="s">
        <v>37</v>
      </c>
      <c r="K150" s="16">
        <v>0</v>
      </c>
      <c r="L150" s="16">
        <v>0</v>
      </c>
      <c r="M150" s="16">
        <v>0</v>
      </c>
      <c r="N150" s="16">
        <v>0</v>
      </c>
      <c r="O150" s="16">
        <v>0</v>
      </c>
      <c r="P150" s="16">
        <v>0</v>
      </c>
      <c r="Q150" s="16">
        <v>0</v>
      </c>
      <c r="R150" s="16">
        <v>0</v>
      </c>
      <c r="S150" s="16">
        <v>0</v>
      </c>
      <c r="T150" s="16">
        <v>0</v>
      </c>
      <c r="U150" s="16">
        <v>0</v>
      </c>
      <c r="V150" s="16">
        <v>0</v>
      </c>
      <c r="W150" s="16">
        <v>0</v>
      </c>
      <c r="X150" s="16">
        <v>0</v>
      </c>
      <c r="Y150" s="16">
        <v>0</v>
      </c>
      <c r="Z150" s="16">
        <v>0</v>
      </c>
      <c r="AA150" s="16">
        <v>0</v>
      </c>
      <c r="AB150" s="16">
        <v>0</v>
      </c>
      <c r="AC150" s="16">
        <v>0</v>
      </c>
      <c r="AD150" s="16">
        <v>0</v>
      </c>
      <c r="AE150" s="16">
        <v>0</v>
      </c>
      <c r="AF150" s="16">
        <v>0</v>
      </c>
      <c r="AG150" s="16">
        <v>0</v>
      </c>
      <c r="AH150" s="16">
        <v>0</v>
      </c>
      <c r="AI150" s="16">
        <v>0</v>
      </c>
      <c r="AJ150" s="16">
        <v>0</v>
      </c>
      <c r="AK150" s="16">
        <v>0</v>
      </c>
      <c r="AL150" s="16">
        <v>0</v>
      </c>
      <c r="AM150" s="16">
        <v>0</v>
      </c>
      <c r="AN150" s="16">
        <v>13</v>
      </c>
      <c r="AO150" s="16">
        <v>0</v>
      </c>
      <c r="AP150" s="16">
        <v>0</v>
      </c>
      <c r="AQ150" s="16">
        <v>0</v>
      </c>
      <c r="AR150" s="16">
        <v>0</v>
      </c>
      <c r="AS150" s="16">
        <v>0</v>
      </c>
      <c r="AT150" s="16">
        <v>0</v>
      </c>
      <c r="AU150" s="16">
        <v>0</v>
      </c>
      <c r="AV150" s="16">
        <v>16</v>
      </c>
      <c r="AW150" s="16">
        <v>24</v>
      </c>
      <c r="AX150" s="16">
        <v>24</v>
      </c>
      <c r="AY150" s="16">
        <v>4</v>
      </c>
      <c r="AZ150" s="16">
        <v>8</v>
      </c>
      <c r="BA150" s="16">
        <v>0</v>
      </c>
      <c r="BB150" s="16">
        <v>0</v>
      </c>
      <c r="BC150" s="16">
        <v>0</v>
      </c>
      <c r="BD150" s="16">
        <v>0</v>
      </c>
      <c r="BE150" s="16">
        <v>0</v>
      </c>
      <c r="BF150" s="16">
        <v>0</v>
      </c>
      <c r="BG150" s="16">
        <v>0</v>
      </c>
      <c r="BH150" s="16">
        <v>0</v>
      </c>
      <c r="BI150" s="16">
        <v>0</v>
      </c>
      <c r="BJ150" s="16">
        <v>0</v>
      </c>
      <c r="BK150" s="16">
        <v>0</v>
      </c>
      <c r="BL150" s="16">
        <v>0</v>
      </c>
      <c r="BM150" s="16">
        <v>0</v>
      </c>
      <c r="BN150" s="16">
        <v>0</v>
      </c>
      <c r="BO150" s="16">
        <v>0</v>
      </c>
      <c r="BP150" s="16">
        <v>0</v>
      </c>
      <c r="BQ150" s="16">
        <v>0</v>
      </c>
      <c r="BR150" s="16">
        <v>0</v>
      </c>
      <c r="BS150" s="207">
        <f t="shared" si="79"/>
        <v>0</v>
      </c>
      <c r="BT150" s="207">
        <f t="shared" si="80"/>
        <v>0</v>
      </c>
      <c r="BU150" s="207">
        <f t="shared" si="81"/>
        <v>0</v>
      </c>
      <c r="BV150" s="207">
        <f t="shared" si="67"/>
        <v>0</v>
      </c>
      <c r="BW150" s="207">
        <f t="shared" si="82"/>
        <v>0</v>
      </c>
      <c r="BX150" s="207">
        <f t="shared" si="83"/>
        <v>0</v>
      </c>
      <c r="BY150" s="207">
        <f t="shared" si="84"/>
        <v>13</v>
      </c>
      <c r="BZ150" s="207">
        <f t="shared" si="85"/>
        <v>64</v>
      </c>
      <c r="CA150" s="207">
        <f t="shared" si="86"/>
        <v>12</v>
      </c>
      <c r="CB150" s="207">
        <f t="shared" si="87"/>
        <v>0</v>
      </c>
      <c r="CC150" s="207">
        <f t="shared" si="88"/>
        <v>0</v>
      </c>
      <c r="CD150" s="207">
        <f t="shared" si="89"/>
        <v>0</v>
      </c>
      <c r="CE150" s="207">
        <f t="shared" si="90"/>
        <v>89</v>
      </c>
    </row>
    <row r="151" spans="1:83" x14ac:dyDescent="0.2">
      <c r="A151" s="6">
        <v>1</v>
      </c>
      <c r="B151" s="49" t="str">
        <f t="shared" si="78"/>
        <v>Marin Soriano Olga BeatrizNO FACT.</v>
      </c>
      <c r="C151" s="117" t="str">
        <f>J151</f>
        <v>Marin Soriano Olga Beatriz</v>
      </c>
      <c r="D151" s="49" t="str">
        <f>VLOOKUP(C151,Datos!$B$13:$C$83,2,0)</f>
        <v>CESADO</v>
      </c>
      <c r="E151" s="50" t="s">
        <v>75</v>
      </c>
      <c r="F151" s="49"/>
      <c r="G151" s="49" t="str">
        <f>IFERROR(VLOOKUP(H151,Datos!$J$2:$L$60,3,0),"OBSERVACIONES")</f>
        <v>OBSERVACIONES</v>
      </c>
      <c r="H151" s="50" t="s">
        <v>75</v>
      </c>
      <c r="I151" s="49" t="s">
        <v>131</v>
      </c>
      <c r="J151" s="118" t="s">
        <v>421</v>
      </c>
      <c r="K151" s="16">
        <v>28</v>
      </c>
      <c r="L151" s="16">
        <v>36</v>
      </c>
      <c r="M151" s="16">
        <v>10</v>
      </c>
      <c r="N151" s="16">
        <v>18</v>
      </c>
      <c r="O151" s="16">
        <v>8</v>
      </c>
      <c r="P151" s="16">
        <v>12</v>
      </c>
      <c r="Q151" s="16">
        <v>20</v>
      </c>
      <c r="R151" s="16">
        <v>20</v>
      </c>
      <c r="S151" s="16">
        <v>30</v>
      </c>
      <c r="T151" s="16">
        <v>12</v>
      </c>
      <c r="U151" s="16">
        <v>13</v>
      </c>
      <c r="V151" s="16">
        <v>22</v>
      </c>
      <c r="W151" s="16">
        <v>24</v>
      </c>
      <c r="X151" s="16">
        <v>0</v>
      </c>
      <c r="Y151" s="16">
        <v>0</v>
      </c>
      <c r="Z151" s="16">
        <v>0</v>
      </c>
      <c r="AA151" s="16">
        <v>0</v>
      </c>
      <c r="AB151" s="16">
        <v>0</v>
      </c>
      <c r="AC151" s="16">
        <v>0</v>
      </c>
      <c r="AD151" s="16">
        <v>0</v>
      </c>
      <c r="AE151" s="16">
        <v>0</v>
      </c>
      <c r="AF151" s="16">
        <v>0</v>
      </c>
      <c r="AG151" s="16">
        <v>0</v>
      </c>
      <c r="AH151" s="16">
        <v>0</v>
      </c>
      <c r="AI151" s="16">
        <v>0</v>
      </c>
      <c r="AJ151" s="16">
        <v>0</v>
      </c>
      <c r="AK151" s="16">
        <v>0</v>
      </c>
      <c r="AL151" s="16">
        <v>0</v>
      </c>
      <c r="AM151" s="16">
        <v>0</v>
      </c>
      <c r="AN151" s="16">
        <v>0</v>
      </c>
      <c r="AO151" s="16">
        <v>0</v>
      </c>
      <c r="AP151" s="16">
        <v>0</v>
      </c>
      <c r="AQ151" s="16">
        <v>0</v>
      </c>
      <c r="AR151" s="16">
        <v>0</v>
      </c>
      <c r="AS151" s="16">
        <v>0</v>
      </c>
      <c r="AT151" s="16">
        <v>0</v>
      </c>
      <c r="AU151" s="16">
        <v>0</v>
      </c>
      <c r="AV151" s="16">
        <v>0</v>
      </c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0</v>
      </c>
      <c r="BD151" s="16">
        <v>0</v>
      </c>
      <c r="BE151" s="16">
        <v>0</v>
      </c>
      <c r="BF151" s="16">
        <v>0</v>
      </c>
      <c r="BG151" s="16">
        <v>0</v>
      </c>
      <c r="BH151" s="16">
        <v>0</v>
      </c>
      <c r="BI151" s="16">
        <v>0</v>
      </c>
      <c r="BJ151" s="16">
        <v>0</v>
      </c>
      <c r="BK151" s="16">
        <v>0</v>
      </c>
      <c r="BL151" s="16">
        <v>0</v>
      </c>
      <c r="BM151" s="16">
        <v>0</v>
      </c>
      <c r="BN151" s="16">
        <v>0</v>
      </c>
      <c r="BO151" s="16">
        <v>0</v>
      </c>
      <c r="BP151" s="16">
        <v>0</v>
      </c>
      <c r="BQ151" s="16">
        <v>0</v>
      </c>
      <c r="BR151" s="16">
        <v>0</v>
      </c>
      <c r="BS151" s="207">
        <f t="shared" si="79"/>
        <v>100</v>
      </c>
      <c r="BT151" s="207">
        <f t="shared" si="80"/>
        <v>94</v>
      </c>
      <c r="BU151" s="207">
        <f t="shared" si="81"/>
        <v>59</v>
      </c>
      <c r="BV151" s="207">
        <f t="shared" si="67"/>
        <v>0</v>
      </c>
      <c r="BW151" s="207">
        <f t="shared" si="82"/>
        <v>0</v>
      </c>
      <c r="BX151" s="207">
        <f t="shared" si="83"/>
        <v>0</v>
      </c>
      <c r="BY151" s="207">
        <f t="shared" si="84"/>
        <v>0</v>
      </c>
      <c r="BZ151" s="207">
        <f t="shared" si="85"/>
        <v>0</v>
      </c>
      <c r="CA151" s="207">
        <f t="shared" si="86"/>
        <v>0</v>
      </c>
      <c r="CB151" s="207">
        <f t="shared" si="87"/>
        <v>0</v>
      </c>
      <c r="CC151" s="207">
        <f t="shared" si="88"/>
        <v>0</v>
      </c>
      <c r="CD151" s="207">
        <f t="shared" si="89"/>
        <v>0</v>
      </c>
      <c r="CE151" s="207">
        <f t="shared" si="90"/>
        <v>253</v>
      </c>
    </row>
    <row r="152" spans="1:83" x14ac:dyDescent="0.2">
      <c r="A152" s="6">
        <v>1</v>
      </c>
      <c r="B152" s="49" t="str">
        <f t="shared" si="78"/>
        <v>Cruzado Canal Manuel EnriqueNO FACT.</v>
      </c>
      <c r="C152" s="117" t="str">
        <f>J152</f>
        <v>Cruzado Canal Manuel Enrique</v>
      </c>
      <c r="D152" s="49" t="str">
        <f>VLOOKUP(C152,Datos!$B$13:$C$83,2,0)</f>
        <v>CESADO</v>
      </c>
      <c r="E152" s="50" t="s">
        <v>75</v>
      </c>
      <c r="F152" s="49"/>
      <c r="G152" s="49" t="str">
        <f>IFERROR(VLOOKUP(H152,Datos!$J$2:$L$60,3,0),"OBSERVACIONES")</f>
        <v>OBSERVACIONES</v>
      </c>
      <c r="H152" s="50" t="s">
        <v>75</v>
      </c>
      <c r="I152" s="49" t="s">
        <v>131</v>
      </c>
      <c r="J152" s="118" t="s">
        <v>419</v>
      </c>
      <c r="K152" s="16">
        <v>40</v>
      </c>
      <c r="L152" s="16">
        <v>40</v>
      </c>
      <c r="M152" s="16">
        <v>40</v>
      </c>
      <c r="N152" s="16">
        <v>40</v>
      </c>
      <c r="O152" s="16">
        <v>16</v>
      </c>
      <c r="P152" s="16">
        <v>24</v>
      </c>
      <c r="Q152" s="16">
        <v>40</v>
      </c>
      <c r="R152" s="16">
        <v>40</v>
      </c>
      <c r="S152" s="16">
        <v>40</v>
      </c>
      <c r="T152" s="16">
        <v>16</v>
      </c>
      <c r="U152" s="16">
        <v>24</v>
      </c>
      <c r="V152" s="16">
        <v>40</v>
      </c>
      <c r="W152" s="16">
        <v>40</v>
      </c>
      <c r="X152" s="16">
        <v>40</v>
      </c>
      <c r="Y152" s="16">
        <v>40</v>
      </c>
      <c r="Z152" s="16">
        <v>40</v>
      </c>
      <c r="AA152" s="16">
        <v>24</v>
      </c>
      <c r="AB152" s="16">
        <v>40</v>
      </c>
      <c r="AC152" s="16">
        <v>40</v>
      </c>
      <c r="AD152" s="16">
        <v>0</v>
      </c>
      <c r="AE152" s="16">
        <v>0</v>
      </c>
      <c r="AF152" s="16">
        <v>0</v>
      </c>
      <c r="AG152" s="16">
        <v>0</v>
      </c>
      <c r="AH152" s="16">
        <v>0</v>
      </c>
      <c r="AI152" s="16">
        <v>0</v>
      </c>
      <c r="AJ152" s="16">
        <v>0</v>
      </c>
      <c r="AK152" s="16">
        <v>0</v>
      </c>
      <c r="AL152" s="16">
        <v>0</v>
      </c>
      <c r="AM152" s="16">
        <v>0</v>
      </c>
      <c r="AN152" s="16">
        <v>0</v>
      </c>
      <c r="AO152" s="16">
        <v>0</v>
      </c>
      <c r="AP152" s="16">
        <v>0</v>
      </c>
      <c r="AQ152" s="16">
        <v>0</v>
      </c>
      <c r="AR152" s="16">
        <v>0</v>
      </c>
      <c r="AS152" s="16">
        <v>0</v>
      </c>
      <c r="AT152" s="16">
        <v>0</v>
      </c>
      <c r="AU152" s="16">
        <v>0</v>
      </c>
      <c r="AV152" s="16">
        <v>0</v>
      </c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0</v>
      </c>
      <c r="BD152" s="16">
        <v>0</v>
      </c>
      <c r="BE152" s="16">
        <v>0</v>
      </c>
      <c r="BF152" s="16">
        <v>0</v>
      </c>
      <c r="BG152" s="16">
        <v>0</v>
      </c>
      <c r="BH152" s="16">
        <v>0</v>
      </c>
      <c r="BI152" s="16">
        <v>0</v>
      </c>
      <c r="BJ152" s="16">
        <v>0</v>
      </c>
      <c r="BK152" s="16">
        <v>0</v>
      </c>
      <c r="BL152" s="16">
        <v>0</v>
      </c>
      <c r="BM152" s="16">
        <v>0</v>
      </c>
      <c r="BN152" s="16">
        <v>0</v>
      </c>
      <c r="BO152" s="16">
        <v>0</v>
      </c>
      <c r="BP152" s="16">
        <v>0</v>
      </c>
      <c r="BQ152" s="16">
        <v>0</v>
      </c>
      <c r="BR152" s="16">
        <v>0</v>
      </c>
      <c r="BS152" s="207">
        <f t="shared" si="79"/>
        <v>176</v>
      </c>
      <c r="BT152" s="207">
        <f t="shared" si="80"/>
        <v>160</v>
      </c>
      <c r="BU152" s="207">
        <f t="shared" si="81"/>
        <v>184</v>
      </c>
      <c r="BV152" s="207">
        <f t="shared" si="67"/>
        <v>144</v>
      </c>
      <c r="BW152" s="207">
        <f t="shared" si="82"/>
        <v>0</v>
      </c>
      <c r="BX152" s="207">
        <f t="shared" si="83"/>
        <v>0</v>
      </c>
      <c r="BY152" s="207">
        <f t="shared" si="84"/>
        <v>0</v>
      </c>
      <c r="BZ152" s="207">
        <f t="shared" si="85"/>
        <v>0</v>
      </c>
      <c r="CA152" s="207">
        <f t="shared" si="86"/>
        <v>0</v>
      </c>
      <c r="CB152" s="207">
        <f t="shared" si="87"/>
        <v>0</v>
      </c>
      <c r="CC152" s="207">
        <f t="shared" si="88"/>
        <v>0</v>
      </c>
      <c r="CD152" s="207">
        <f t="shared" si="89"/>
        <v>0</v>
      </c>
      <c r="CE152" s="207">
        <f t="shared" si="90"/>
        <v>664</v>
      </c>
    </row>
    <row r="153" spans="1:83" x14ac:dyDescent="0.2">
      <c r="A153" s="6">
        <v>1</v>
      </c>
      <c r="B153" s="49" t="str">
        <f t="shared" si="78"/>
        <v>Tarazona Falcon Jesus NO FACT.</v>
      </c>
      <c r="C153" s="117" t="str">
        <f>J153</f>
        <v xml:space="preserve">Tarazona Falcon Jesus </v>
      </c>
      <c r="D153" s="49" t="str">
        <f>VLOOKUP(C153,Datos!$B$13:$C$83,2,0)</f>
        <v>CESADO</v>
      </c>
      <c r="E153" s="50" t="s">
        <v>75</v>
      </c>
      <c r="F153" s="49"/>
      <c r="G153" s="49" t="str">
        <f>IFERROR(VLOOKUP(H153,Datos!$J$2:$L$60,3,0),"OBSERVACIONES")</f>
        <v>OBSERVACIONES</v>
      </c>
      <c r="H153" s="50" t="s">
        <v>75</v>
      </c>
      <c r="I153" s="49" t="s">
        <v>131</v>
      </c>
      <c r="J153" s="118" t="s">
        <v>425</v>
      </c>
      <c r="K153" s="16">
        <v>0</v>
      </c>
      <c r="L153" s="16">
        <v>0</v>
      </c>
      <c r="M153" s="16">
        <v>0</v>
      </c>
      <c r="N153" s="16">
        <v>0</v>
      </c>
      <c r="O153" s="16">
        <v>0</v>
      </c>
      <c r="P153" s="16">
        <v>0</v>
      </c>
      <c r="Q153" s="16">
        <v>0</v>
      </c>
      <c r="R153" s="16">
        <v>0</v>
      </c>
      <c r="S153" s="16">
        <v>0</v>
      </c>
      <c r="T153" s="16">
        <v>0</v>
      </c>
      <c r="U153" s="16">
        <v>24</v>
      </c>
      <c r="V153" s="16">
        <v>40</v>
      </c>
      <c r="W153" s="16">
        <v>40</v>
      </c>
      <c r="X153" s="16">
        <v>40</v>
      </c>
      <c r="Y153" s="16">
        <v>40</v>
      </c>
      <c r="Z153" s="16">
        <v>0</v>
      </c>
      <c r="AA153" s="16">
        <v>0</v>
      </c>
      <c r="AB153" s="16">
        <v>0</v>
      </c>
      <c r="AC153" s="16">
        <v>0</v>
      </c>
      <c r="AD153" s="16">
        <v>0</v>
      </c>
      <c r="AE153" s="16">
        <v>0</v>
      </c>
      <c r="AF153" s="16">
        <v>0</v>
      </c>
      <c r="AG153" s="16">
        <v>0</v>
      </c>
      <c r="AH153" s="16">
        <v>0</v>
      </c>
      <c r="AI153" s="16">
        <v>0</v>
      </c>
      <c r="AJ153" s="16">
        <v>0</v>
      </c>
      <c r="AK153" s="16">
        <v>0</v>
      </c>
      <c r="AL153" s="16">
        <v>0</v>
      </c>
      <c r="AM153" s="16">
        <v>0</v>
      </c>
      <c r="AN153" s="16">
        <v>0</v>
      </c>
      <c r="AO153" s="16">
        <v>0</v>
      </c>
      <c r="AP153" s="16">
        <v>0</v>
      </c>
      <c r="AQ153" s="16">
        <v>0</v>
      </c>
      <c r="AR153" s="16">
        <v>0</v>
      </c>
      <c r="AS153" s="16">
        <v>0</v>
      </c>
      <c r="AT153" s="16">
        <v>0</v>
      </c>
      <c r="AU153" s="16">
        <v>0</v>
      </c>
      <c r="AV153" s="16">
        <v>0</v>
      </c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0</v>
      </c>
      <c r="BD153" s="16">
        <v>0</v>
      </c>
      <c r="BE153" s="16">
        <v>0</v>
      </c>
      <c r="BF153" s="16">
        <v>0</v>
      </c>
      <c r="BG153" s="16">
        <v>0</v>
      </c>
      <c r="BH153" s="16">
        <v>0</v>
      </c>
      <c r="BI153" s="16">
        <v>0</v>
      </c>
      <c r="BJ153" s="16">
        <v>0</v>
      </c>
      <c r="BK153" s="16">
        <v>0</v>
      </c>
      <c r="BL153" s="16">
        <v>0</v>
      </c>
      <c r="BM153" s="16">
        <v>0</v>
      </c>
      <c r="BN153" s="16">
        <v>0</v>
      </c>
      <c r="BO153" s="16">
        <v>0</v>
      </c>
      <c r="BP153" s="16">
        <v>0</v>
      </c>
      <c r="BQ153" s="16">
        <v>0</v>
      </c>
      <c r="BR153" s="16">
        <v>0</v>
      </c>
      <c r="BS153" s="207">
        <f t="shared" si="79"/>
        <v>0</v>
      </c>
      <c r="BT153" s="207">
        <f t="shared" si="80"/>
        <v>0</v>
      </c>
      <c r="BU153" s="207">
        <f t="shared" si="81"/>
        <v>184</v>
      </c>
      <c r="BV153" s="207">
        <f t="shared" si="67"/>
        <v>0</v>
      </c>
      <c r="BW153" s="207">
        <f t="shared" si="82"/>
        <v>0</v>
      </c>
      <c r="BX153" s="207">
        <f t="shared" si="83"/>
        <v>0</v>
      </c>
      <c r="BY153" s="207">
        <f t="shared" si="84"/>
        <v>0</v>
      </c>
      <c r="BZ153" s="207">
        <f t="shared" si="85"/>
        <v>0</v>
      </c>
      <c r="CA153" s="207">
        <f t="shared" si="86"/>
        <v>0</v>
      </c>
      <c r="CB153" s="207">
        <f t="shared" si="87"/>
        <v>0</v>
      </c>
      <c r="CC153" s="207">
        <f t="shared" si="88"/>
        <v>0</v>
      </c>
      <c r="CD153" s="207">
        <f t="shared" si="89"/>
        <v>0</v>
      </c>
      <c r="CE153" s="207">
        <f t="shared" si="90"/>
        <v>184</v>
      </c>
    </row>
    <row r="154" spans="1:83" x14ac:dyDescent="0.2">
      <c r="A154" s="6">
        <v>1</v>
      </c>
      <c r="B154" s="49" t="str">
        <f t="shared" si="78"/>
        <v>Pizarro Saldaña Jorge GabrielNO FACT.</v>
      </c>
      <c r="C154" s="117" t="str">
        <f t="shared" si="77"/>
        <v>Pizarro Saldaña Jorge Gabriel</v>
      </c>
      <c r="D154" s="49" t="str">
        <f>VLOOKUP(C154,Datos!$B$13:$C$83,2,0)</f>
        <v>VIGENTE</v>
      </c>
      <c r="E154" s="50" t="s">
        <v>75</v>
      </c>
      <c r="F154" s="49"/>
      <c r="G154" s="49" t="str">
        <f>IFERROR(VLOOKUP(H154,Datos!$J$2:$L$60,3,0),"OBSERVACIONES")</f>
        <v>OBSERVACIONES</v>
      </c>
      <c r="H154" s="50" t="s">
        <v>75</v>
      </c>
      <c r="I154" s="49" t="s">
        <v>131</v>
      </c>
      <c r="J154" s="118" t="s">
        <v>36</v>
      </c>
      <c r="K154" s="16">
        <v>0</v>
      </c>
      <c r="L154" s="16">
        <v>0</v>
      </c>
      <c r="M154" s="16">
        <v>0</v>
      </c>
      <c r="N154" s="16">
        <v>0</v>
      </c>
      <c r="O154" s="16">
        <v>0</v>
      </c>
      <c r="P154" s="16">
        <v>0</v>
      </c>
      <c r="Q154" s="16">
        <v>0</v>
      </c>
      <c r="R154" s="16">
        <v>0</v>
      </c>
      <c r="S154" s="16">
        <v>0</v>
      </c>
      <c r="T154" s="16">
        <v>0</v>
      </c>
      <c r="U154" s="16">
        <v>0</v>
      </c>
      <c r="V154" s="16">
        <v>0</v>
      </c>
      <c r="W154" s="16">
        <v>0</v>
      </c>
      <c r="X154" s="16">
        <v>0</v>
      </c>
      <c r="Y154" s="16">
        <v>0</v>
      </c>
      <c r="Z154" s="16">
        <v>0</v>
      </c>
      <c r="AA154" s="16">
        <v>0</v>
      </c>
      <c r="AB154" s="16">
        <v>0</v>
      </c>
      <c r="AC154" s="16">
        <v>0</v>
      </c>
      <c r="AD154" s="16">
        <v>0</v>
      </c>
      <c r="AE154" s="16">
        <v>0</v>
      </c>
      <c r="AF154" s="16">
        <v>0</v>
      </c>
      <c r="AG154" s="16">
        <v>0</v>
      </c>
      <c r="AH154" s="16">
        <v>0</v>
      </c>
      <c r="AI154" s="16">
        <v>0</v>
      </c>
      <c r="AJ154" s="16">
        <v>0</v>
      </c>
      <c r="AK154" s="16">
        <v>0</v>
      </c>
      <c r="AL154" s="16">
        <v>0</v>
      </c>
      <c r="AM154" s="16">
        <v>0</v>
      </c>
      <c r="AN154" s="16">
        <v>13</v>
      </c>
      <c r="AO154" s="16">
        <v>0</v>
      </c>
      <c r="AP154" s="16">
        <v>0</v>
      </c>
      <c r="AQ154" s="16">
        <v>0</v>
      </c>
      <c r="AR154" s="16">
        <v>0</v>
      </c>
      <c r="AS154" s="16">
        <v>0</v>
      </c>
      <c r="AT154" s="16">
        <v>0</v>
      </c>
      <c r="AU154" s="16">
        <v>0</v>
      </c>
      <c r="AV154" s="16">
        <v>0</v>
      </c>
      <c r="AW154" s="16">
        <v>0</v>
      </c>
      <c r="AX154" s="16">
        <v>8</v>
      </c>
      <c r="AY154" s="16">
        <v>0</v>
      </c>
      <c r="AZ154" s="16">
        <v>12</v>
      </c>
      <c r="BA154" s="16">
        <v>0</v>
      </c>
      <c r="BB154" s="16">
        <v>0</v>
      </c>
      <c r="BC154" s="16">
        <v>0</v>
      </c>
      <c r="BD154" s="16">
        <v>0</v>
      </c>
      <c r="BE154" s="16">
        <v>0</v>
      </c>
      <c r="BF154" s="16">
        <v>0</v>
      </c>
      <c r="BG154" s="16">
        <v>0</v>
      </c>
      <c r="BH154" s="16">
        <v>0</v>
      </c>
      <c r="BI154" s="16">
        <v>0</v>
      </c>
      <c r="BJ154" s="16">
        <v>0</v>
      </c>
      <c r="BK154" s="16">
        <v>0</v>
      </c>
      <c r="BL154" s="16">
        <v>0</v>
      </c>
      <c r="BM154" s="16">
        <v>0</v>
      </c>
      <c r="BN154" s="16">
        <v>0</v>
      </c>
      <c r="BO154" s="16">
        <v>0</v>
      </c>
      <c r="BP154" s="16">
        <v>0</v>
      </c>
      <c r="BQ154" s="16">
        <v>0</v>
      </c>
      <c r="BR154" s="16">
        <v>0</v>
      </c>
      <c r="BS154" s="207">
        <f t="shared" si="79"/>
        <v>0</v>
      </c>
      <c r="BT154" s="207">
        <f t="shared" si="80"/>
        <v>0</v>
      </c>
      <c r="BU154" s="207">
        <f t="shared" si="81"/>
        <v>0</v>
      </c>
      <c r="BV154" s="207">
        <f t="shared" si="67"/>
        <v>0</v>
      </c>
      <c r="BW154" s="207">
        <f t="shared" si="82"/>
        <v>0</v>
      </c>
      <c r="BX154" s="207">
        <f t="shared" si="83"/>
        <v>0</v>
      </c>
      <c r="BY154" s="207">
        <f t="shared" si="84"/>
        <v>13</v>
      </c>
      <c r="BZ154" s="207">
        <f t="shared" si="85"/>
        <v>8</v>
      </c>
      <c r="CA154" s="207">
        <f t="shared" si="86"/>
        <v>12</v>
      </c>
      <c r="CB154" s="207">
        <f t="shared" si="87"/>
        <v>0</v>
      </c>
      <c r="CC154" s="207">
        <f t="shared" si="88"/>
        <v>0</v>
      </c>
      <c r="CD154" s="207">
        <f t="shared" si="89"/>
        <v>0</v>
      </c>
      <c r="CE154" s="207">
        <f t="shared" si="90"/>
        <v>33</v>
      </c>
    </row>
    <row r="155" spans="1:83" x14ac:dyDescent="0.2">
      <c r="A155" s="6">
        <v>2</v>
      </c>
      <c r="B155" s="49" t="str">
        <f t="shared" si="78"/>
        <v>Marin Soriano Olga BeatrizPROPUESTA</v>
      </c>
      <c r="C155" s="117" t="str">
        <f t="shared" si="77"/>
        <v>Marin Soriano Olga Beatriz</v>
      </c>
      <c r="D155" s="49" t="str">
        <f>VLOOKUP(C155,Datos!$B$13:$C$83,2,0)</f>
        <v>CESADO</v>
      </c>
      <c r="E155" s="50" t="s">
        <v>46</v>
      </c>
      <c r="F155" s="49"/>
      <c r="G155" s="49" t="str">
        <f>IFERROR(VLOOKUP(H155,Datos!$J$2:$L$60,3,0),"OBSERVACIONES")</f>
        <v>OBSERVACIONES</v>
      </c>
      <c r="H155" s="50" t="s">
        <v>46</v>
      </c>
      <c r="I155" s="49" t="s">
        <v>132</v>
      </c>
      <c r="J155" s="118" t="s">
        <v>421</v>
      </c>
      <c r="K155" s="16">
        <v>0</v>
      </c>
      <c r="L155" s="16">
        <v>0</v>
      </c>
      <c r="M155" s="16">
        <v>0</v>
      </c>
      <c r="N155" s="16">
        <v>0</v>
      </c>
      <c r="O155" s="16">
        <v>0</v>
      </c>
      <c r="P155" s="16">
        <v>0</v>
      </c>
      <c r="Q155" s="16">
        <v>0</v>
      </c>
      <c r="R155" s="16">
        <v>0</v>
      </c>
      <c r="S155" s="16">
        <v>0</v>
      </c>
      <c r="T155" s="16">
        <v>0</v>
      </c>
      <c r="U155" s="16">
        <v>11</v>
      </c>
      <c r="V155" s="16">
        <v>18</v>
      </c>
      <c r="W155" s="16">
        <v>0</v>
      </c>
      <c r="X155" s="16">
        <v>0</v>
      </c>
      <c r="Y155" s="16">
        <v>0</v>
      </c>
      <c r="Z155" s="16">
        <v>0</v>
      </c>
      <c r="AA155" s="16">
        <v>0</v>
      </c>
      <c r="AB155" s="16">
        <v>0</v>
      </c>
      <c r="AC155" s="16">
        <v>0</v>
      </c>
      <c r="AD155" s="16">
        <v>0</v>
      </c>
      <c r="AE155" s="16">
        <v>0</v>
      </c>
      <c r="AF155" s="16">
        <v>0</v>
      </c>
      <c r="AG155" s="16">
        <v>0</v>
      </c>
      <c r="AH155" s="16">
        <v>0</v>
      </c>
      <c r="AI155" s="16">
        <v>0</v>
      </c>
      <c r="AJ155" s="16">
        <v>0</v>
      </c>
      <c r="AK155" s="16">
        <v>0</v>
      </c>
      <c r="AL155" s="16">
        <v>0</v>
      </c>
      <c r="AM155" s="16">
        <v>0</v>
      </c>
      <c r="AN155" s="16">
        <v>0</v>
      </c>
      <c r="AO155" s="16">
        <v>0</v>
      </c>
      <c r="AP155" s="16">
        <v>0</v>
      </c>
      <c r="AQ155" s="16">
        <v>0</v>
      </c>
      <c r="AR155" s="16">
        <v>0</v>
      </c>
      <c r="AS155" s="16">
        <v>0</v>
      </c>
      <c r="AT155" s="16">
        <v>0</v>
      </c>
      <c r="AU155" s="16">
        <v>0</v>
      </c>
      <c r="AV155" s="16">
        <v>0</v>
      </c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0</v>
      </c>
      <c r="BD155" s="16">
        <v>0</v>
      </c>
      <c r="BE155" s="16">
        <v>0</v>
      </c>
      <c r="BF155" s="16">
        <v>0</v>
      </c>
      <c r="BG155" s="16">
        <v>0</v>
      </c>
      <c r="BH155" s="16">
        <v>0</v>
      </c>
      <c r="BI155" s="16">
        <v>0</v>
      </c>
      <c r="BJ155" s="16">
        <v>0</v>
      </c>
      <c r="BK155" s="16">
        <v>0</v>
      </c>
      <c r="BL155" s="16">
        <v>0</v>
      </c>
      <c r="BM155" s="16">
        <v>0</v>
      </c>
      <c r="BN155" s="16">
        <v>0</v>
      </c>
      <c r="BO155" s="16">
        <v>0</v>
      </c>
      <c r="BP155" s="16">
        <v>0</v>
      </c>
      <c r="BQ155" s="16">
        <v>0</v>
      </c>
      <c r="BR155" s="16">
        <v>0</v>
      </c>
      <c r="BS155" s="207">
        <f t="shared" si="79"/>
        <v>0</v>
      </c>
      <c r="BT155" s="207">
        <f t="shared" si="80"/>
        <v>0</v>
      </c>
      <c r="BU155" s="207">
        <f t="shared" si="81"/>
        <v>29</v>
      </c>
      <c r="BV155" s="207">
        <f t="shared" si="67"/>
        <v>0</v>
      </c>
      <c r="BW155" s="207">
        <f t="shared" si="82"/>
        <v>0</v>
      </c>
      <c r="BX155" s="207">
        <f t="shared" si="83"/>
        <v>0</v>
      </c>
      <c r="BY155" s="207">
        <f t="shared" si="84"/>
        <v>0</v>
      </c>
      <c r="BZ155" s="207">
        <f t="shared" si="85"/>
        <v>0</v>
      </c>
      <c r="CA155" s="207">
        <f t="shared" si="86"/>
        <v>0</v>
      </c>
      <c r="CB155" s="207">
        <f t="shared" si="87"/>
        <v>0</v>
      </c>
      <c r="CC155" s="207">
        <f t="shared" si="88"/>
        <v>0</v>
      </c>
      <c r="CD155" s="207">
        <f t="shared" si="89"/>
        <v>0</v>
      </c>
      <c r="CE155" s="207">
        <f t="shared" si="90"/>
        <v>29</v>
      </c>
    </row>
    <row r="156" spans="1:83" x14ac:dyDescent="0.2">
      <c r="A156" s="6">
        <v>5</v>
      </c>
      <c r="B156" s="49" t="str">
        <f t="shared" si="78"/>
        <v>Atanacio Gonzales Demetrio JesusINASISTENCIAS</v>
      </c>
      <c r="C156" s="117" t="str">
        <f>J156</f>
        <v>Atanacio Gonzales Demetrio Jesus</v>
      </c>
      <c r="D156" s="49" t="str">
        <f>VLOOKUP(C156,Datos!$B$13:$C$83,2,0)</f>
        <v>VIGENTE</v>
      </c>
      <c r="E156" s="50" t="s">
        <v>208</v>
      </c>
      <c r="F156" s="49"/>
      <c r="G156" s="49" t="str">
        <f>IFERROR(VLOOKUP(H156,Datos!$J$2:$L$60,3,0),"OBSERVACIONES")</f>
        <v>OBSERVACIONES</v>
      </c>
      <c r="H156" s="50" t="s">
        <v>208</v>
      </c>
      <c r="I156" s="49" t="s">
        <v>210</v>
      </c>
      <c r="J156" s="118" t="s">
        <v>3</v>
      </c>
      <c r="K156" s="16">
        <v>0</v>
      </c>
      <c r="L156" s="16">
        <v>0</v>
      </c>
      <c r="M156" s="16">
        <v>0</v>
      </c>
      <c r="N156" s="16">
        <v>0</v>
      </c>
      <c r="O156" s="16">
        <v>6</v>
      </c>
      <c r="P156" s="16">
        <v>0</v>
      </c>
      <c r="Q156" s="16">
        <v>0</v>
      </c>
      <c r="R156" s="16">
        <v>0</v>
      </c>
      <c r="S156" s="16">
        <v>8</v>
      </c>
      <c r="T156" s="16">
        <v>0</v>
      </c>
      <c r="U156" s="16">
        <v>0</v>
      </c>
      <c r="V156" s="16">
        <v>0</v>
      </c>
      <c r="W156" s="16">
        <v>0</v>
      </c>
      <c r="X156" s="16">
        <v>0</v>
      </c>
      <c r="Y156" s="16">
        <v>0</v>
      </c>
      <c r="Z156" s="16">
        <v>0</v>
      </c>
      <c r="AA156" s="16">
        <v>8</v>
      </c>
      <c r="AB156" s="16">
        <v>16</v>
      </c>
      <c r="AC156" s="16">
        <v>0</v>
      </c>
      <c r="AD156" s="16">
        <v>0</v>
      </c>
      <c r="AE156" s="16">
        <v>0</v>
      </c>
      <c r="AF156" s="16">
        <v>0</v>
      </c>
      <c r="AG156" s="16">
        <v>0</v>
      </c>
      <c r="AH156" s="16">
        <v>0</v>
      </c>
      <c r="AI156" s="16">
        <v>0</v>
      </c>
      <c r="AJ156" s="16">
        <v>0</v>
      </c>
      <c r="AK156" s="16">
        <v>0</v>
      </c>
      <c r="AL156" s="16">
        <v>0</v>
      </c>
      <c r="AM156" s="16">
        <v>0</v>
      </c>
      <c r="AN156" s="16">
        <v>0</v>
      </c>
      <c r="AO156" s="16">
        <v>0</v>
      </c>
      <c r="AP156" s="16">
        <v>0</v>
      </c>
      <c r="AQ156" s="16">
        <v>0</v>
      </c>
      <c r="AR156" s="16">
        <v>0</v>
      </c>
      <c r="AS156" s="16">
        <v>0</v>
      </c>
      <c r="AT156" s="16">
        <v>0</v>
      </c>
      <c r="AU156" s="16">
        <v>0</v>
      </c>
      <c r="AV156" s="16">
        <v>0</v>
      </c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8</v>
      </c>
      <c r="BC156" s="16">
        <v>0</v>
      </c>
      <c r="BD156" s="16">
        <v>8</v>
      </c>
      <c r="BE156" s="16">
        <v>0</v>
      </c>
      <c r="BF156" s="16">
        <v>0</v>
      </c>
      <c r="BG156" s="16">
        <v>0</v>
      </c>
      <c r="BH156" s="16">
        <v>0</v>
      </c>
      <c r="BI156" s="16">
        <v>0</v>
      </c>
      <c r="BJ156" s="16">
        <v>0</v>
      </c>
      <c r="BK156" s="16">
        <v>0</v>
      </c>
      <c r="BL156" s="16">
        <v>0</v>
      </c>
      <c r="BM156" s="16">
        <v>0</v>
      </c>
      <c r="BN156" s="16">
        <v>0</v>
      </c>
      <c r="BO156" s="16">
        <v>0</v>
      </c>
      <c r="BP156" s="16">
        <v>0</v>
      </c>
      <c r="BQ156" s="16">
        <v>0</v>
      </c>
      <c r="BR156" s="16">
        <v>0</v>
      </c>
      <c r="BS156" s="207">
        <f t="shared" si="79"/>
        <v>6</v>
      </c>
      <c r="BT156" s="207">
        <f t="shared" si="80"/>
        <v>8</v>
      </c>
      <c r="BU156" s="207">
        <f t="shared" si="81"/>
        <v>0</v>
      </c>
      <c r="BV156" s="207">
        <f t="shared" si="67"/>
        <v>24</v>
      </c>
      <c r="BW156" s="207">
        <f t="shared" si="82"/>
        <v>0</v>
      </c>
      <c r="BX156" s="207">
        <f t="shared" si="83"/>
        <v>0</v>
      </c>
      <c r="BY156" s="207">
        <f t="shared" si="84"/>
        <v>0</v>
      </c>
      <c r="BZ156" s="207">
        <f t="shared" si="85"/>
        <v>0</v>
      </c>
      <c r="CA156" s="207">
        <f t="shared" si="86"/>
        <v>8</v>
      </c>
      <c r="CB156" s="207">
        <f t="shared" si="87"/>
        <v>8</v>
      </c>
      <c r="CC156" s="207">
        <f t="shared" si="88"/>
        <v>0</v>
      </c>
      <c r="CD156" s="207">
        <f t="shared" si="89"/>
        <v>0</v>
      </c>
      <c r="CE156" s="207">
        <f t="shared" si="90"/>
        <v>54</v>
      </c>
    </row>
    <row r="157" spans="1:83" x14ac:dyDescent="0.2">
      <c r="A157" s="6">
        <v>6</v>
      </c>
      <c r="B157" s="49" t="str">
        <f>C157&amp;H157</f>
        <v>Atanacio Gonzales Demetrio JesusINASISTENCIAS JUSTIFICADAS</v>
      </c>
      <c r="C157" s="117" t="str">
        <f>J157</f>
        <v>Atanacio Gonzales Demetrio Jesus</v>
      </c>
      <c r="D157" s="49" t="str">
        <f>VLOOKUP(C157,Datos!$B$13:$C$83,2,0)</f>
        <v>VIGENTE</v>
      </c>
      <c r="E157" s="50" t="s">
        <v>855</v>
      </c>
      <c r="F157" s="49"/>
      <c r="G157" s="49" t="str">
        <f>IFERROR(VLOOKUP(H157,Datos!$J$2:$L$60,3,0),"OBSERVACIONES")</f>
        <v>OBSERVACIONES</v>
      </c>
      <c r="H157" s="50" t="s">
        <v>855</v>
      </c>
      <c r="I157" s="49" t="s">
        <v>856</v>
      </c>
      <c r="J157" s="118" t="s">
        <v>3</v>
      </c>
      <c r="K157" s="16">
        <v>0</v>
      </c>
      <c r="L157" s="16">
        <v>0</v>
      </c>
      <c r="M157" s="16">
        <v>0</v>
      </c>
      <c r="N157" s="16">
        <v>0</v>
      </c>
      <c r="O157" s="16">
        <v>0</v>
      </c>
      <c r="P157" s="16">
        <v>0</v>
      </c>
      <c r="Q157" s="16">
        <v>0</v>
      </c>
      <c r="R157" s="16">
        <v>0</v>
      </c>
      <c r="S157" s="16">
        <v>0</v>
      </c>
      <c r="T157" s="16">
        <v>0</v>
      </c>
      <c r="U157" s="16">
        <v>0</v>
      </c>
      <c r="V157" s="16">
        <v>0</v>
      </c>
      <c r="W157" s="16">
        <v>0</v>
      </c>
      <c r="X157" s="16">
        <v>0</v>
      </c>
      <c r="Y157" s="16">
        <v>0</v>
      </c>
      <c r="Z157" s="16">
        <v>0</v>
      </c>
      <c r="AA157" s="16">
        <v>0</v>
      </c>
      <c r="AB157" s="16">
        <v>0</v>
      </c>
      <c r="AC157" s="16">
        <v>0</v>
      </c>
      <c r="AD157" s="16">
        <v>0</v>
      </c>
      <c r="AE157" s="16">
        <v>0</v>
      </c>
      <c r="AF157" s="16">
        <v>0</v>
      </c>
      <c r="AG157" s="16">
        <v>0</v>
      </c>
      <c r="AH157" s="16">
        <v>0</v>
      </c>
      <c r="AI157" s="16">
        <v>0</v>
      </c>
      <c r="AJ157" s="16">
        <v>0</v>
      </c>
      <c r="AK157" s="16">
        <v>0</v>
      </c>
      <c r="AL157" s="16">
        <v>0</v>
      </c>
      <c r="AM157" s="16">
        <v>0</v>
      </c>
      <c r="AN157" s="16">
        <v>0</v>
      </c>
      <c r="AO157" s="16">
        <v>0</v>
      </c>
      <c r="AP157" s="16">
        <v>0</v>
      </c>
      <c r="AQ157" s="16">
        <v>0</v>
      </c>
      <c r="AR157" s="16">
        <v>0</v>
      </c>
      <c r="AS157" s="16">
        <v>0</v>
      </c>
      <c r="AT157" s="16">
        <v>0</v>
      </c>
      <c r="AU157" s="16">
        <v>0</v>
      </c>
      <c r="AV157" s="16">
        <v>0</v>
      </c>
      <c r="AW157" s="16">
        <v>8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0</v>
      </c>
      <c r="BD157" s="16">
        <v>0</v>
      </c>
      <c r="BE157" s="16">
        <v>0</v>
      </c>
      <c r="BF157" s="16">
        <v>0</v>
      </c>
      <c r="BG157" s="16">
        <v>0</v>
      </c>
      <c r="BH157" s="16">
        <v>0</v>
      </c>
      <c r="BI157" s="16">
        <v>0</v>
      </c>
      <c r="BJ157" s="16">
        <v>0</v>
      </c>
      <c r="BK157" s="16">
        <v>0</v>
      </c>
      <c r="BL157" s="16">
        <v>0</v>
      </c>
      <c r="BM157" s="16">
        <v>0</v>
      </c>
      <c r="BN157" s="16">
        <v>0</v>
      </c>
      <c r="BO157" s="16">
        <v>0</v>
      </c>
      <c r="BP157" s="16">
        <v>0</v>
      </c>
      <c r="BQ157" s="16">
        <v>0</v>
      </c>
      <c r="BR157" s="16">
        <v>0</v>
      </c>
      <c r="BS157" s="207">
        <f t="shared" si="79"/>
        <v>0</v>
      </c>
      <c r="BT157" s="207">
        <f t="shared" si="80"/>
        <v>0</v>
      </c>
      <c r="BU157" s="207">
        <f t="shared" si="81"/>
        <v>0</v>
      </c>
      <c r="BV157" s="207">
        <f t="shared" si="67"/>
        <v>0</v>
      </c>
      <c r="BW157" s="207">
        <f t="shared" si="82"/>
        <v>0</v>
      </c>
      <c r="BX157" s="207">
        <f t="shared" si="83"/>
        <v>0</v>
      </c>
      <c r="BY157" s="207">
        <f t="shared" si="84"/>
        <v>0</v>
      </c>
      <c r="BZ157" s="207">
        <f t="shared" si="85"/>
        <v>8</v>
      </c>
      <c r="CA157" s="207">
        <f t="shared" si="86"/>
        <v>0</v>
      </c>
      <c r="CB157" s="207">
        <f t="shared" si="87"/>
        <v>0</v>
      </c>
      <c r="CC157" s="207">
        <f t="shared" si="88"/>
        <v>0</v>
      </c>
      <c r="CD157" s="207">
        <f t="shared" si="89"/>
        <v>0</v>
      </c>
      <c r="CE157" s="207">
        <f t="shared" si="90"/>
        <v>8</v>
      </c>
    </row>
    <row r="158" spans="1:83" x14ac:dyDescent="0.2">
      <c r="A158" s="6">
        <v>4</v>
      </c>
      <c r="B158" s="49" t="str">
        <f t="shared" si="78"/>
        <v>Pizarro Saldaña Jorge GabrielVACACIONES</v>
      </c>
      <c r="C158" s="117" t="str">
        <f t="shared" si="77"/>
        <v>Pizarro Saldaña Jorge Gabriel</v>
      </c>
      <c r="D158" s="49" t="str">
        <f>VLOOKUP(C158,Datos!$B$13:$C$83,2,0)</f>
        <v>VIGENTE</v>
      </c>
      <c r="E158" s="50" t="s">
        <v>209</v>
      </c>
      <c r="F158" s="49"/>
      <c r="G158" s="49" t="str">
        <f>IFERROR(VLOOKUP(H158,Datos!$J$2:$L$60,3,0),"OBSERVACIONES")</f>
        <v>OBSERVACIONES</v>
      </c>
      <c r="H158" s="50" t="s">
        <v>209</v>
      </c>
      <c r="I158" s="49" t="s">
        <v>243</v>
      </c>
      <c r="J158" s="118" t="s">
        <v>36</v>
      </c>
      <c r="K158" s="16">
        <v>0</v>
      </c>
      <c r="L158" s="16">
        <v>0</v>
      </c>
      <c r="M158" s="16">
        <v>0</v>
      </c>
      <c r="N158" s="16">
        <v>0</v>
      </c>
      <c r="O158" s="16">
        <v>0</v>
      </c>
      <c r="P158" s="16">
        <v>0</v>
      </c>
      <c r="Q158" s="16">
        <v>0</v>
      </c>
      <c r="R158" s="16">
        <v>0</v>
      </c>
      <c r="S158" s="16">
        <v>0</v>
      </c>
      <c r="T158" s="16">
        <v>0</v>
      </c>
      <c r="U158" s="16">
        <v>0</v>
      </c>
      <c r="V158" s="16">
        <v>8</v>
      </c>
      <c r="W158" s="16">
        <v>8</v>
      </c>
      <c r="X158" s="16">
        <v>0</v>
      </c>
      <c r="Y158" s="16">
        <v>0</v>
      </c>
      <c r="Z158" s="16">
        <v>0</v>
      </c>
      <c r="AA158" s="16">
        <v>0</v>
      </c>
      <c r="AB158" s="16">
        <v>8</v>
      </c>
      <c r="AC158" s="16">
        <v>0</v>
      </c>
      <c r="AD158" s="16">
        <v>32</v>
      </c>
      <c r="AE158" s="16">
        <v>8</v>
      </c>
      <c r="AF158" s="16">
        <v>0</v>
      </c>
      <c r="AG158" s="16">
        <v>0</v>
      </c>
      <c r="AH158" s="16">
        <v>0</v>
      </c>
      <c r="AI158" s="16">
        <v>0</v>
      </c>
      <c r="AJ158" s="16">
        <v>0</v>
      </c>
      <c r="AK158" s="16">
        <v>0</v>
      </c>
      <c r="AL158" s="16">
        <v>8</v>
      </c>
      <c r="AM158" s="16">
        <v>0</v>
      </c>
      <c r="AN158" s="16">
        <v>0</v>
      </c>
      <c r="AO158" s="16">
        <v>16</v>
      </c>
      <c r="AP158" s="16">
        <v>16</v>
      </c>
      <c r="AQ158" s="16">
        <v>0</v>
      </c>
      <c r="AR158" s="16">
        <v>0</v>
      </c>
      <c r="AS158" s="16">
        <v>0</v>
      </c>
      <c r="AT158" s="16">
        <v>0</v>
      </c>
      <c r="AU158" s="16">
        <v>0</v>
      </c>
      <c r="AV158" s="16">
        <v>40</v>
      </c>
      <c r="AW158" s="16">
        <v>40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0</v>
      </c>
      <c r="BD158" s="16">
        <v>0</v>
      </c>
      <c r="BE158" s="16">
        <v>0</v>
      </c>
      <c r="BF158" s="16">
        <v>0</v>
      </c>
      <c r="BG158" s="16">
        <v>0</v>
      </c>
      <c r="BH158" s="16">
        <v>0</v>
      </c>
      <c r="BI158" s="16">
        <v>0</v>
      </c>
      <c r="BJ158" s="16">
        <v>0</v>
      </c>
      <c r="BK158" s="16">
        <v>0</v>
      </c>
      <c r="BL158" s="16">
        <v>0</v>
      </c>
      <c r="BM158" s="16">
        <v>0</v>
      </c>
      <c r="BN158" s="16">
        <v>0</v>
      </c>
      <c r="BO158" s="16">
        <v>0</v>
      </c>
      <c r="BP158" s="16">
        <v>0</v>
      </c>
      <c r="BQ158" s="16">
        <v>0</v>
      </c>
      <c r="BR158" s="16">
        <v>0</v>
      </c>
      <c r="BS158" s="207">
        <f t="shared" si="79"/>
        <v>0</v>
      </c>
      <c r="BT158" s="207">
        <f t="shared" si="80"/>
        <v>0</v>
      </c>
      <c r="BU158" s="207">
        <f t="shared" si="81"/>
        <v>16</v>
      </c>
      <c r="BV158" s="207">
        <f t="shared" si="67"/>
        <v>8</v>
      </c>
      <c r="BW158" s="207">
        <f t="shared" si="82"/>
        <v>40</v>
      </c>
      <c r="BX158" s="207">
        <f t="shared" si="83"/>
        <v>8</v>
      </c>
      <c r="BY158" s="207">
        <f t="shared" si="84"/>
        <v>32</v>
      </c>
      <c r="BZ158" s="207">
        <f t="shared" si="85"/>
        <v>80</v>
      </c>
      <c r="CA158" s="207">
        <f t="shared" si="86"/>
        <v>0</v>
      </c>
      <c r="CB158" s="207">
        <f t="shared" si="87"/>
        <v>0</v>
      </c>
      <c r="CC158" s="207">
        <f t="shared" si="88"/>
        <v>0</v>
      </c>
      <c r="CD158" s="207">
        <f t="shared" si="89"/>
        <v>0</v>
      </c>
      <c r="CE158" s="207">
        <f t="shared" si="90"/>
        <v>184</v>
      </c>
    </row>
    <row r="159" spans="1:83" x14ac:dyDescent="0.2">
      <c r="A159" s="6">
        <v>2</v>
      </c>
      <c r="B159" s="49" t="str">
        <f t="shared" si="78"/>
        <v>Pizarro Saldaña Jorge GabrielPROPUESTA</v>
      </c>
      <c r="C159" s="117" t="str">
        <f t="shared" si="77"/>
        <v>Pizarro Saldaña Jorge Gabriel</v>
      </c>
      <c r="D159" s="49" t="str">
        <f>VLOOKUP(C159,Datos!$B$13:$C$83,2,0)</f>
        <v>VIGENTE</v>
      </c>
      <c r="E159" s="50" t="s">
        <v>46</v>
      </c>
      <c r="F159" s="49"/>
      <c r="G159" s="49" t="str">
        <f>IFERROR(VLOOKUP(H159,Datos!$J$2:$L$60,3,0),"OBSERVACIONES")</f>
        <v>OBSERVACIONES</v>
      </c>
      <c r="H159" s="50" t="s">
        <v>46</v>
      </c>
      <c r="I159" s="49" t="s">
        <v>132</v>
      </c>
      <c r="J159" s="118" t="s">
        <v>36</v>
      </c>
      <c r="K159" s="16">
        <v>0</v>
      </c>
      <c r="L159" s="16">
        <v>0</v>
      </c>
      <c r="M159" s="16">
        <v>0</v>
      </c>
      <c r="N159" s="16">
        <v>0</v>
      </c>
      <c r="O159" s="16">
        <v>0</v>
      </c>
      <c r="P159" s="16">
        <v>0</v>
      </c>
      <c r="Q159" s="16">
        <v>0</v>
      </c>
      <c r="R159" s="16">
        <v>0</v>
      </c>
      <c r="S159" s="16">
        <v>0</v>
      </c>
      <c r="T159" s="16">
        <v>0</v>
      </c>
      <c r="U159" s="16">
        <v>0</v>
      </c>
      <c r="V159" s="16">
        <v>0</v>
      </c>
      <c r="W159" s="16">
        <v>0</v>
      </c>
      <c r="X159" s="16">
        <v>0</v>
      </c>
      <c r="Y159" s="16">
        <v>0</v>
      </c>
      <c r="Z159" s="16">
        <v>0</v>
      </c>
      <c r="AA159" s="16">
        <v>4</v>
      </c>
      <c r="AB159" s="16">
        <v>0</v>
      </c>
      <c r="AC159" s="16">
        <v>8</v>
      </c>
      <c r="AD159" s="16">
        <v>0</v>
      </c>
      <c r="AE159" s="16">
        <v>0</v>
      </c>
      <c r="AF159" s="16">
        <v>0</v>
      </c>
      <c r="AG159" s="16">
        <v>0</v>
      </c>
      <c r="AH159" s="16">
        <v>0</v>
      </c>
      <c r="AI159" s="16">
        <v>0</v>
      </c>
      <c r="AJ159" s="16">
        <v>0</v>
      </c>
      <c r="AK159" s="16">
        <v>0</v>
      </c>
      <c r="AL159" s="16">
        <v>0</v>
      </c>
      <c r="AM159" s="16">
        <v>0</v>
      </c>
      <c r="AN159" s="16">
        <v>0</v>
      </c>
      <c r="AO159" s="16">
        <v>0</v>
      </c>
      <c r="AP159" s="16">
        <v>0</v>
      </c>
      <c r="AQ159" s="16">
        <v>0</v>
      </c>
      <c r="AR159" s="16">
        <v>0</v>
      </c>
      <c r="AS159" s="16">
        <v>0</v>
      </c>
      <c r="AT159" s="16">
        <v>0</v>
      </c>
      <c r="AU159" s="16">
        <v>0</v>
      </c>
      <c r="AV159" s="16">
        <v>0</v>
      </c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0</v>
      </c>
      <c r="BD159" s="16">
        <v>0</v>
      </c>
      <c r="BE159" s="16">
        <v>0</v>
      </c>
      <c r="BF159" s="16">
        <v>0</v>
      </c>
      <c r="BG159" s="16">
        <v>0</v>
      </c>
      <c r="BH159" s="16">
        <v>0</v>
      </c>
      <c r="BI159" s="16">
        <v>0</v>
      </c>
      <c r="BJ159" s="16">
        <v>0</v>
      </c>
      <c r="BK159" s="16">
        <v>0</v>
      </c>
      <c r="BL159" s="16">
        <v>0</v>
      </c>
      <c r="BM159" s="16">
        <v>0</v>
      </c>
      <c r="BN159" s="16">
        <v>0</v>
      </c>
      <c r="BO159" s="16">
        <v>0</v>
      </c>
      <c r="BP159" s="16">
        <v>0</v>
      </c>
      <c r="BQ159" s="16">
        <v>0</v>
      </c>
      <c r="BR159" s="16">
        <v>0</v>
      </c>
      <c r="BS159" s="207">
        <f t="shared" si="79"/>
        <v>0</v>
      </c>
      <c r="BT159" s="207">
        <f t="shared" si="80"/>
        <v>0</v>
      </c>
      <c r="BU159" s="207">
        <f t="shared" si="81"/>
        <v>0</v>
      </c>
      <c r="BV159" s="207">
        <f t="shared" si="67"/>
        <v>12</v>
      </c>
      <c r="BW159" s="207">
        <f t="shared" si="82"/>
        <v>0</v>
      </c>
      <c r="BX159" s="207">
        <f t="shared" si="83"/>
        <v>0</v>
      </c>
      <c r="BY159" s="207">
        <f t="shared" si="84"/>
        <v>0</v>
      </c>
      <c r="BZ159" s="207">
        <f t="shared" si="85"/>
        <v>0</v>
      </c>
      <c r="CA159" s="207">
        <f t="shared" si="86"/>
        <v>0</v>
      </c>
      <c r="CB159" s="207">
        <f t="shared" si="87"/>
        <v>0</v>
      </c>
      <c r="CC159" s="207">
        <f t="shared" si="88"/>
        <v>0</v>
      </c>
      <c r="CD159" s="207">
        <f t="shared" si="89"/>
        <v>0</v>
      </c>
      <c r="CE159" s="207">
        <f t="shared" si="90"/>
        <v>12</v>
      </c>
    </row>
    <row r="160" spans="1:83" x14ac:dyDescent="0.2">
      <c r="A160" s="6">
        <v>3</v>
      </c>
      <c r="B160" s="49" t="str">
        <f t="shared" si="78"/>
        <v>Carrillo Roque RafaelP0007</v>
      </c>
      <c r="C160" s="117" t="str">
        <f t="shared" si="77"/>
        <v>Carrillo Roque Rafael</v>
      </c>
      <c r="D160" s="49" t="str">
        <f>VLOOKUP(C160,Datos!$B$13:$C$83,2,0)</f>
        <v>CESADO</v>
      </c>
      <c r="E160" s="49" t="s">
        <v>91</v>
      </c>
      <c r="F160" s="49" t="str">
        <f>IFERROR(VLOOKUP(H160,Datos!$J$2:$L$60,3,0),"OBSERVACIONES")</f>
        <v>ABIERTO</v>
      </c>
      <c r="G160" s="49"/>
      <c r="H160" s="49" t="s">
        <v>92</v>
      </c>
      <c r="I160" s="49" t="s">
        <v>117</v>
      </c>
      <c r="J160" s="118" t="s">
        <v>418</v>
      </c>
      <c r="K160" s="16">
        <v>40</v>
      </c>
      <c r="L160" s="16">
        <v>40</v>
      </c>
      <c r="M160" s="16">
        <v>8</v>
      </c>
      <c r="N160" s="16">
        <v>0</v>
      </c>
      <c r="O160" s="16">
        <v>0</v>
      </c>
      <c r="P160" s="16">
        <v>0</v>
      </c>
      <c r="Q160" s="16">
        <v>0</v>
      </c>
      <c r="R160" s="16">
        <v>0</v>
      </c>
      <c r="S160" s="16">
        <v>0</v>
      </c>
      <c r="T160" s="16">
        <v>0</v>
      </c>
      <c r="U160" s="16">
        <v>0</v>
      </c>
      <c r="V160" s="16">
        <v>0</v>
      </c>
      <c r="W160" s="16">
        <v>0</v>
      </c>
      <c r="X160" s="16">
        <v>0</v>
      </c>
      <c r="Y160" s="16">
        <v>0</v>
      </c>
      <c r="Z160" s="16">
        <v>0</v>
      </c>
      <c r="AA160" s="16">
        <v>0</v>
      </c>
      <c r="AB160" s="16">
        <v>0</v>
      </c>
      <c r="AC160" s="16">
        <v>0</v>
      </c>
      <c r="AD160" s="16">
        <v>0</v>
      </c>
      <c r="AE160" s="16">
        <v>0</v>
      </c>
      <c r="AF160" s="16">
        <v>0</v>
      </c>
      <c r="AG160" s="16">
        <v>0</v>
      </c>
      <c r="AH160" s="16">
        <v>0</v>
      </c>
      <c r="AI160" s="16">
        <v>0</v>
      </c>
      <c r="AJ160" s="16">
        <v>0</v>
      </c>
      <c r="AK160" s="16">
        <v>0</v>
      </c>
      <c r="AL160" s="16">
        <v>0</v>
      </c>
      <c r="AM160" s="16">
        <v>0</v>
      </c>
      <c r="AN160" s="16">
        <v>0</v>
      </c>
      <c r="AO160" s="16">
        <v>0</v>
      </c>
      <c r="AP160" s="16">
        <v>0</v>
      </c>
      <c r="AQ160" s="16">
        <v>0</v>
      </c>
      <c r="AR160" s="16">
        <v>0</v>
      </c>
      <c r="AS160" s="16">
        <v>0</v>
      </c>
      <c r="AT160" s="16">
        <v>0</v>
      </c>
      <c r="AU160" s="16">
        <v>0</v>
      </c>
      <c r="AV160" s="16">
        <v>0</v>
      </c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0</v>
      </c>
      <c r="BD160" s="16">
        <v>0</v>
      </c>
      <c r="BE160" s="16">
        <v>0</v>
      </c>
      <c r="BF160" s="16">
        <v>0</v>
      </c>
      <c r="BG160" s="16">
        <v>0</v>
      </c>
      <c r="BH160" s="16">
        <v>0</v>
      </c>
      <c r="BI160" s="16">
        <v>0</v>
      </c>
      <c r="BJ160" s="16">
        <v>0</v>
      </c>
      <c r="BK160" s="16">
        <v>0</v>
      </c>
      <c r="BL160" s="16">
        <v>0</v>
      </c>
      <c r="BM160" s="16">
        <v>0</v>
      </c>
      <c r="BN160" s="16">
        <v>0</v>
      </c>
      <c r="BO160" s="16">
        <v>0</v>
      </c>
      <c r="BP160" s="16">
        <v>0</v>
      </c>
      <c r="BQ160" s="16">
        <v>0</v>
      </c>
      <c r="BR160" s="16">
        <v>0</v>
      </c>
      <c r="BS160" s="207">
        <f t="shared" si="79"/>
        <v>88</v>
      </c>
      <c r="BT160" s="207">
        <f t="shared" si="80"/>
        <v>0</v>
      </c>
      <c r="BU160" s="207">
        <f t="shared" si="81"/>
        <v>0</v>
      </c>
      <c r="BV160" s="207">
        <f t="shared" si="67"/>
        <v>0</v>
      </c>
      <c r="BW160" s="207">
        <f t="shared" si="82"/>
        <v>0</v>
      </c>
      <c r="BX160" s="207">
        <f t="shared" si="83"/>
        <v>0</v>
      </c>
      <c r="BY160" s="207">
        <f t="shared" si="84"/>
        <v>0</v>
      </c>
      <c r="BZ160" s="207">
        <f t="shared" si="85"/>
        <v>0</v>
      </c>
      <c r="CA160" s="207">
        <f t="shared" si="86"/>
        <v>0</v>
      </c>
      <c r="CB160" s="207">
        <f t="shared" si="87"/>
        <v>0</v>
      </c>
      <c r="CC160" s="207">
        <f t="shared" si="88"/>
        <v>0</v>
      </c>
      <c r="CD160" s="207">
        <f t="shared" si="89"/>
        <v>0</v>
      </c>
      <c r="CE160" s="207">
        <f t="shared" si="90"/>
        <v>88</v>
      </c>
    </row>
    <row r="161" spans="1:83" x14ac:dyDescent="0.2">
      <c r="A161" s="6">
        <v>5</v>
      </c>
      <c r="B161" s="49" t="str">
        <f t="shared" si="78"/>
        <v>Pizarro Saldaña Jorge GabrielINASISTENCIAS</v>
      </c>
      <c r="C161" s="117" t="str">
        <f t="shared" si="77"/>
        <v>Pizarro Saldaña Jorge Gabriel</v>
      </c>
      <c r="D161" s="49" t="str">
        <f>VLOOKUP(C161,Datos!$B$13:$C$83,2,0)</f>
        <v>VIGENTE</v>
      </c>
      <c r="E161" s="50" t="s">
        <v>208</v>
      </c>
      <c r="F161" s="49"/>
      <c r="G161" s="49" t="str">
        <f>IFERROR(VLOOKUP(H161,Datos!$J$2:$L$60,3,0),"OBSERVACIONES")</f>
        <v>OBSERVACIONES</v>
      </c>
      <c r="H161" s="50" t="s">
        <v>208</v>
      </c>
      <c r="I161" s="50" t="s">
        <v>210</v>
      </c>
      <c r="J161" s="118" t="s">
        <v>36</v>
      </c>
      <c r="K161" s="16">
        <v>0</v>
      </c>
      <c r="L161" s="16">
        <v>0</v>
      </c>
      <c r="M161" s="16">
        <v>0</v>
      </c>
      <c r="N161" s="16">
        <v>0</v>
      </c>
      <c r="O161" s="16">
        <v>0</v>
      </c>
      <c r="P161" s="16">
        <v>0</v>
      </c>
      <c r="Q161" s="16">
        <v>0</v>
      </c>
      <c r="R161" s="16">
        <v>0</v>
      </c>
      <c r="S161" s="16">
        <v>0</v>
      </c>
      <c r="T161" s="16">
        <v>0</v>
      </c>
      <c r="U161" s="16">
        <v>0</v>
      </c>
      <c r="V161" s="16">
        <v>0</v>
      </c>
      <c r="W161" s="16">
        <v>0</v>
      </c>
      <c r="X161" s="16">
        <v>0</v>
      </c>
      <c r="Y161" s="16">
        <v>0</v>
      </c>
      <c r="Z161" s="16">
        <v>0</v>
      </c>
      <c r="AA161" s="16">
        <v>0</v>
      </c>
      <c r="AB161" s="16">
        <v>0</v>
      </c>
      <c r="AC161" s="16">
        <v>0</v>
      </c>
      <c r="AD161" s="16">
        <v>0</v>
      </c>
      <c r="AE161" s="16">
        <v>0</v>
      </c>
      <c r="AF161" s="16">
        <v>0</v>
      </c>
      <c r="AG161" s="16">
        <v>0</v>
      </c>
      <c r="AH161" s="16">
        <v>0</v>
      </c>
      <c r="AI161" s="16">
        <v>0</v>
      </c>
      <c r="AJ161" s="16">
        <v>0</v>
      </c>
      <c r="AK161" s="16">
        <v>0</v>
      </c>
      <c r="AL161" s="16">
        <v>0</v>
      </c>
      <c r="AM161" s="16">
        <v>0</v>
      </c>
      <c r="AN161" s="16">
        <v>0</v>
      </c>
      <c r="AO161" s="16">
        <v>0</v>
      </c>
      <c r="AP161" s="16">
        <v>0</v>
      </c>
      <c r="AQ161" s="16">
        <v>0</v>
      </c>
      <c r="AR161" s="16">
        <v>0</v>
      </c>
      <c r="AS161" s="16">
        <v>8</v>
      </c>
      <c r="AT161" s="16">
        <v>8</v>
      </c>
      <c r="AU161" s="16">
        <v>0</v>
      </c>
      <c r="AV161" s="16">
        <v>0</v>
      </c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0</v>
      </c>
      <c r="BD161" s="16">
        <v>0</v>
      </c>
      <c r="BE161" s="16">
        <v>0</v>
      </c>
      <c r="BF161" s="16">
        <v>0</v>
      </c>
      <c r="BG161" s="16">
        <v>0</v>
      </c>
      <c r="BH161" s="16">
        <v>0</v>
      </c>
      <c r="BI161" s="16">
        <v>0</v>
      </c>
      <c r="BJ161" s="16">
        <v>0</v>
      </c>
      <c r="BK161" s="16">
        <v>0</v>
      </c>
      <c r="BL161" s="16">
        <v>0</v>
      </c>
      <c r="BM161" s="16">
        <v>0</v>
      </c>
      <c r="BN161" s="16">
        <v>0</v>
      </c>
      <c r="BO161" s="16">
        <v>0</v>
      </c>
      <c r="BP161" s="16">
        <v>0</v>
      </c>
      <c r="BQ161" s="16">
        <v>0</v>
      </c>
      <c r="BR161" s="16">
        <v>0</v>
      </c>
      <c r="BS161" s="207">
        <f t="shared" si="79"/>
        <v>0</v>
      </c>
      <c r="BT161" s="207">
        <f t="shared" si="80"/>
        <v>0</v>
      </c>
      <c r="BU161" s="207">
        <f t="shared" si="81"/>
        <v>0</v>
      </c>
      <c r="BV161" s="207">
        <f t="shared" si="67"/>
        <v>0</v>
      </c>
      <c r="BW161" s="207">
        <f t="shared" si="82"/>
        <v>0</v>
      </c>
      <c r="BX161" s="207">
        <f t="shared" si="83"/>
        <v>0</v>
      </c>
      <c r="BY161" s="207">
        <f t="shared" si="84"/>
        <v>8</v>
      </c>
      <c r="BZ161" s="207">
        <f t="shared" si="85"/>
        <v>8</v>
      </c>
      <c r="CA161" s="207">
        <f t="shared" si="86"/>
        <v>0</v>
      </c>
      <c r="CB161" s="207">
        <f t="shared" si="87"/>
        <v>0</v>
      </c>
      <c r="CC161" s="207">
        <f t="shared" si="88"/>
        <v>0</v>
      </c>
      <c r="CD161" s="207">
        <f t="shared" si="89"/>
        <v>0</v>
      </c>
      <c r="CE161" s="207">
        <f t="shared" si="90"/>
        <v>16</v>
      </c>
    </row>
    <row r="162" spans="1:83" x14ac:dyDescent="0.2">
      <c r="A162" s="6">
        <v>3</v>
      </c>
      <c r="B162" s="49" t="str">
        <f t="shared" si="78"/>
        <v>Revilla Casalino PabloP0002</v>
      </c>
      <c r="C162" s="117" t="str">
        <f t="shared" si="77"/>
        <v>Revilla Casalino Pablo</v>
      </c>
      <c r="D162" s="49" t="str">
        <f>VLOOKUP(C162,Datos!$B$13:$C$83,2,0)</f>
        <v>VIGENTE</v>
      </c>
      <c r="E162" s="49" t="s">
        <v>89</v>
      </c>
      <c r="F162" s="49" t="str">
        <f>IFERROR(VLOOKUP(H162,Datos!$J$2:$L$60,3,0),"OBSERVACIONES")</f>
        <v>CERRADO</v>
      </c>
      <c r="G162" s="49"/>
      <c r="H162" s="49" t="s">
        <v>90</v>
      </c>
      <c r="I162" s="49" t="s">
        <v>113</v>
      </c>
      <c r="J162" s="118" t="s">
        <v>37</v>
      </c>
      <c r="K162" s="16">
        <v>40</v>
      </c>
      <c r="L162" s="16">
        <v>40</v>
      </c>
      <c r="M162" s="16">
        <v>40</v>
      </c>
      <c r="N162" s="16">
        <v>20</v>
      </c>
      <c r="O162" s="16">
        <v>0</v>
      </c>
      <c r="P162" s="16">
        <v>0</v>
      </c>
      <c r="Q162" s="16">
        <v>0</v>
      </c>
      <c r="R162" s="16">
        <v>0</v>
      </c>
      <c r="S162" s="16">
        <v>0</v>
      </c>
      <c r="T162" s="16">
        <v>0</v>
      </c>
      <c r="U162" s="16">
        <v>0</v>
      </c>
      <c r="V162" s="16">
        <v>0</v>
      </c>
      <c r="W162" s="16">
        <v>0</v>
      </c>
      <c r="X162" s="16">
        <v>0</v>
      </c>
      <c r="Y162" s="16">
        <v>0</v>
      </c>
      <c r="Z162" s="16">
        <v>0</v>
      </c>
      <c r="AA162" s="16">
        <v>0</v>
      </c>
      <c r="AB162" s="16">
        <v>0</v>
      </c>
      <c r="AC162" s="16">
        <v>0</v>
      </c>
      <c r="AD162" s="16">
        <v>0</v>
      </c>
      <c r="AE162" s="16">
        <v>0</v>
      </c>
      <c r="AF162" s="16">
        <v>0</v>
      </c>
      <c r="AG162" s="16">
        <v>0</v>
      </c>
      <c r="AH162" s="16">
        <v>0</v>
      </c>
      <c r="AI162" s="16">
        <v>0</v>
      </c>
      <c r="AJ162" s="16">
        <v>0</v>
      </c>
      <c r="AK162" s="16">
        <v>0</v>
      </c>
      <c r="AL162" s="16">
        <v>0</v>
      </c>
      <c r="AM162" s="16">
        <v>0</v>
      </c>
      <c r="AN162" s="16">
        <v>0</v>
      </c>
      <c r="AO162" s="16">
        <v>0</v>
      </c>
      <c r="AP162" s="16">
        <v>0</v>
      </c>
      <c r="AQ162" s="16">
        <v>0</v>
      </c>
      <c r="AR162" s="16">
        <v>0</v>
      </c>
      <c r="AS162" s="16">
        <v>0</v>
      </c>
      <c r="AT162" s="16">
        <v>0</v>
      </c>
      <c r="AU162" s="16">
        <v>0</v>
      </c>
      <c r="AV162" s="16">
        <v>0</v>
      </c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0</v>
      </c>
      <c r="BD162" s="16">
        <v>0</v>
      </c>
      <c r="BE162" s="16">
        <v>0</v>
      </c>
      <c r="BF162" s="16">
        <v>0</v>
      </c>
      <c r="BG162" s="16">
        <v>0</v>
      </c>
      <c r="BH162" s="16">
        <v>0</v>
      </c>
      <c r="BI162" s="16">
        <v>0</v>
      </c>
      <c r="BJ162" s="16">
        <v>0</v>
      </c>
      <c r="BK162" s="16">
        <v>0</v>
      </c>
      <c r="BL162" s="16">
        <v>0</v>
      </c>
      <c r="BM162" s="16">
        <v>0</v>
      </c>
      <c r="BN162" s="16">
        <v>0</v>
      </c>
      <c r="BO162" s="16">
        <v>0</v>
      </c>
      <c r="BP162" s="16">
        <v>0</v>
      </c>
      <c r="BQ162" s="16">
        <v>0</v>
      </c>
      <c r="BR162" s="16">
        <v>0</v>
      </c>
      <c r="BS162" s="207">
        <f t="shared" si="79"/>
        <v>140</v>
      </c>
      <c r="BT162" s="207">
        <f t="shared" si="80"/>
        <v>0</v>
      </c>
      <c r="BU162" s="207">
        <f t="shared" si="81"/>
        <v>0</v>
      </c>
      <c r="BV162" s="207">
        <f t="shared" si="67"/>
        <v>0</v>
      </c>
      <c r="BW162" s="207">
        <f t="shared" si="82"/>
        <v>0</v>
      </c>
      <c r="BX162" s="207">
        <f t="shared" si="83"/>
        <v>0</v>
      </c>
      <c r="BY162" s="207">
        <f t="shared" si="84"/>
        <v>0</v>
      </c>
      <c r="BZ162" s="207">
        <f t="shared" si="85"/>
        <v>0</v>
      </c>
      <c r="CA162" s="207">
        <f t="shared" si="86"/>
        <v>0</v>
      </c>
      <c r="CB162" s="207">
        <f t="shared" si="87"/>
        <v>0</v>
      </c>
      <c r="CC162" s="207">
        <f t="shared" si="88"/>
        <v>0</v>
      </c>
      <c r="CD162" s="207">
        <f t="shared" si="89"/>
        <v>0</v>
      </c>
      <c r="CE162" s="207">
        <f t="shared" si="90"/>
        <v>140</v>
      </c>
    </row>
    <row r="163" spans="1:83" x14ac:dyDescent="0.2">
      <c r="A163" s="6">
        <v>3</v>
      </c>
      <c r="B163" s="49" t="str">
        <f t="shared" si="78"/>
        <v>Revilla Casalino PabloP0003</v>
      </c>
      <c r="C163" s="117" t="str">
        <f t="shared" si="77"/>
        <v>Revilla Casalino Pablo</v>
      </c>
      <c r="D163" s="49" t="str">
        <f>VLOOKUP(C163,Datos!$B$13:$C$83,2,0)</f>
        <v>VIGENTE</v>
      </c>
      <c r="E163" s="49" t="s">
        <v>89</v>
      </c>
      <c r="F163" s="49" t="str">
        <f>IFERROR(VLOOKUP(H163,Datos!$J$2:$L$60,3,0),"OBSERVACIONES")</f>
        <v>CERRADO</v>
      </c>
      <c r="G163" s="49"/>
      <c r="H163" s="49" t="s">
        <v>95</v>
      </c>
      <c r="I163" s="49" t="s">
        <v>165</v>
      </c>
      <c r="J163" s="118" t="s">
        <v>37</v>
      </c>
      <c r="K163" s="16">
        <v>0</v>
      </c>
      <c r="L163" s="16">
        <v>0</v>
      </c>
      <c r="M163" s="16">
        <v>0</v>
      </c>
      <c r="N163" s="16">
        <v>20</v>
      </c>
      <c r="O163" s="16">
        <v>16</v>
      </c>
      <c r="P163" s="16">
        <v>24</v>
      </c>
      <c r="Q163" s="16">
        <v>40</v>
      </c>
      <c r="R163" s="16">
        <v>40</v>
      </c>
      <c r="S163" s="16">
        <v>40</v>
      </c>
      <c r="T163" s="16">
        <v>16</v>
      </c>
      <c r="U163" s="16">
        <v>0</v>
      </c>
      <c r="V163" s="16">
        <v>0</v>
      </c>
      <c r="W163" s="16">
        <v>0</v>
      </c>
      <c r="X163" s="16">
        <v>0</v>
      </c>
      <c r="Y163" s="16">
        <v>0</v>
      </c>
      <c r="Z163" s="16">
        <v>0</v>
      </c>
      <c r="AA163" s="16">
        <v>0</v>
      </c>
      <c r="AB163" s="16">
        <v>0</v>
      </c>
      <c r="AC163" s="16">
        <v>0</v>
      </c>
      <c r="AD163" s="16">
        <v>0</v>
      </c>
      <c r="AE163" s="16">
        <v>0</v>
      </c>
      <c r="AF163" s="16">
        <v>0</v>
      </c>
      <c r="AG163" s="16">
        <v>0</v>
      </c>
      <c r="AH163" s="16">
        <v>0</v>
      </c>
      <c r="AI163" s="16">
        <v>0</v>
      </c>
      <c r="AJ163" s="16">
        <v>0</v>
      </c>
      <c r="AK163" s="16">
        <v>0</v>
      </c>
      <c r="AL163" s="16">
        <v>0</v>
      </c>
      <c r="AM163" s="16">
        <v>0</v>
      </c>
      <c r="AN163" s="16">
        <v>0</v>
      </c>
      <c r="AO163" s="16">
        <v>0</v>
      </c>
      <c r="AP163" s="16">
        <v>0</v>
      </c>
      <c r="AQ163" s="16">
        <v>0</v>
      </c>
      <c r="AR163" s="16">
        <v>0</v>
      </c>
      <c r="AS163" s="16">
        <v>0</v>
      </c>
      <c r="AT163" s="16">
        <v>0</v>
      </c>
      <c r="AU163" s="16">
        <v>0</v>
      </c>
      <c r="AV163" s="16">
        <v>0</v>
      </c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0</v>
      </c>
      <c r="BD163" s="16">
        <v>0</v>
      </c>
      <c r="BE163" s="16">
        <v>0</v>
      </c>
      <c r="BF163" s="16">
        <v>0</v>
      </c>
      <c r="BG163" s="16">
        <v>0</v>
      </c>
      <c r="BH163" s="16">
        <v>0</v>
      </c>
      <c r="BI163" s="16">
        <v>0</v>
      </c>
      <c r="BJ163" s="16">
        <v>0</v>
      </c>
      <c r="BK163" s="16">
        <v>0</v>
      </c>
      <c r="BL163" s="16">
        <v>0</v>
      </c>
      <c r="BM163" s="16">
        <v>0</v>
      </c>
      <c r="BN163" s="16">
        <v>0</v>
      </c>
      <c r="BO163" s="16">
        <v>0</v>
      </c>
      <c r="BP163" s="16">
        <v>0</v>
      </c>
      <c r="BQ163" s="16">
        <v>0</v>
      </c>
      <c r="BR163" s="16">
        <v>0</v>
      </c>
      <c r="BS163" s="207">
        <f t="shared" si="79"/>
        <v>36</v>
      </c>
      <c r="BT163" s="207">
        <f t="shared" si="80"/>
        <v>160</v>
      </c>
      <c r="BU163" s="207">
        <f t="shared" si="81"/>
        <v>0</v>
      </c>
      <c r="BV163" s="207">
        <f t="shared" si="67"/>
        <v>0</v>
      </c>
      <c r="BW163" s="207">
        <f t="shared" si="82"/>
        <v>0</v>
      </c>
      <c r="BX163" s="207">
        <f t="shared" si="83"/>
        <v>0</v>
      </c>
      <c r="BY163" s="207">
        <f t="shared" si="84"/>
        <v>0</v>
      </c>
      <c r="BZ163" s="207">
        <f t="shared" si="85"/>
        <v>0</v>
      </c>
      <c r="CA163" s="207">
        <f t="shared" si="86"/>
        <v>0</v>
      </c>
      <c r="CB163" s="207">
        <f t="shared" si="87"/>
        <v>0</v>
      </c>
      <c r="CC163" s="207">
        <f t="shared" si="88"/>
        <v>0</v>
      </c>
      <c r="CD163" s="207">
        <f t="shared" si="89"/>
        <v>0</v>
      </c>
      <c r="CE163" s="207">
        <f t="shared" si="90"/>
        <v>196</v>
      </c>
    </row>
    <row r="164" spans="1:83" ht="12" customHeight="1" x14ac:dyDescent="0.2">
      <c r="A164" s="6">
        <v>3</v>
      </c>
      <c r="B164" s="49" t="str">
        <f t="shared" si="78"/>
        <v>Revilla Casalino PabloP0009</v>
      </c>
      <c r="C164" s="117" t="str">
        <f t="shared" si="77"/>
        <v>Revilla Casalino Pablo</v>
      </c>
      <c r="D164" s="49" t="str">
        <f>VLOOKUP(C164,Datos!$B$13:$C$83,2,0)</f>
        <v>VIGENTE</v>
      </c>
      <c r="E164" s="49" t="s">
        <v>78</v>
      </c>
      <c r="F164" s="49" t="str">
        <f>IFERROR(VLOOKUP(H164,Datos!$J$2:$L$60,3,0),"OBSERVACIONES")</f>
        <v>CERRADO</v>
      </c>
      <c r="G164" s="49"/>
      <c r="H164" s="49" t="s">
        <v>98</v>
      </c>
      <c r="I164" s="49" t="s">
        <v>135</v>
      </c>
      <c r="J164" s="118" t="s">
        <v>37</v>
      </c>
      <c r="K164" s="16">
        <v>0</v>
      </c>
      <c r="L164" s="16">
        <v>0</v>
      </c>
      <c r="M164" s="16">
        <v>0</v>
      </c>
      <c r="N164" s="16">
        <v>0</v>
      </c>
      <c r="O164" s="16">
        <v>0</v>
      </c>
      <c r="P164" s="16">
        <v>0</v>
      </c>
      <c r="Q164" s="16">
        <v>0</v>
      </c>
      <c r="R164" s="16">
        <v>0</v>
      </c>
      <c r="S164" s="16">
        <v>0</v>
      </c>
      <c r="T164" s="16">
        <v>0</v>
      </c>
      <c r="U164" s="16">
        <v>0</v>
      </c>
      <c r="V164" s="16">
        <v>0</v>
      </c>
      <c r="W164" s="16">
        <v>0</v>
      </c>
      <c r="X164" s="16">
        <v>0</v>
      </c>
      <c r="Y164" s="16">
        <v>0</v>
      </c>
      <c r="Z164" s="16">
        <v>0</v>
      </c>
      <c r="AA164" s="16">
        <v>0</v>
      </c>
      <c r="AB164" s="16">
        <v>2</v>
      </c>
      <c r="AC164" s="16">
        <v>10</v>
      </c>
      <c r="AD164" s="16">
        <v>4</v>
      </c>
      <c r="AE164" s="16">
        <v>4</v>
      </c>
      <c r="AF164" s="16">
        <v>0</v>
      </c>
      <c r="AG164" s="16">
        <v>4</v>
      </c>
      <c r="AH164" s="16">
        <v>0</v>
      </c>
      <c r="AI164" s="16">
        <v>8</v>
      </c>
      <c r="AJ164" s="16">
        <v>20</v>
      </c>
      <c r="AK164" s="16">
        <v>12</v>
      </c>
      <c r="AL164" s="16">
        <v>10</v>
      </c>
      <c r="AM164" s="16">
        <v>0</v>
      </c>
      <c r="AN164" s="16">
        <v>0</v>
      </c>
      <c r="AO164" s="16">
        <v>0</v>
      </c>
      <c r="AP164" s="16">
        <v>0</v>
      </c>
      <c r="AQ164" s="16">
        <v>0</v>
      </c>
      <c r="AR164" s="16">
        <v>0</v>
      </c>
      <c r="AS164" s="16">
        <v>0</v>
      </c>
      <c r="AT164" s="16">
        <v>0</v>
      </c>
      <c r="AU164" s="16">
        <v>0</v>
      </c>
      <c r="AV164" s="16">
        <v>0</v>
      </c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0</v>
      </c>
      <c r="BD164" s="16">
        <v>0</v>
      </c>
      <c r="BE164" s="16">
        <v>0</v>
      </c>
      <c r="BF164" s="16">
        <v>0</v>
      </c>
      <c r="BG164" s="16">
        <v>0</v>
      </c>
      <c r="BH164" s="16">
        <v>0</v>
      </c>
      <c r="BI164" s="16">
        <v>0</v>
      </c>
      <c r="BJ164" s="16">
        <v>0</v>
      </c>
      <c r="BK164" s="16">
        <v>0</v>
      </c>
      <c r="BL164" s="16">
        <v>0</v>
      </c>
      <c r="BM164" s="16">
        <v>0</v>
      </c>
      <c r="BN164" s="16">
        <v>0</v>
      </c>
      <c r="BO164" s="16">
        <v>0</v>
      </c>
      <c r="BP164" s="16">
        <v>0</v>
      </c>
      <c r="BQ164" s="16">
        <v>0</v>
      </c>
      <c r="BR164" s="16">
        <v>0</v>
      </c>
      <c r="BS164" s="207">
        <f t="shared" si="79"/>
        <v>0</v>
      </c>
      <c r="BT164" s="207">
        <f t="shared" si="80"/>
        <v>0</v>
      </c>
      <c r="BU164" s="207">
        <f t="shared" si="81"/>
        <v>0</v>
      </c>
      <c r="BV164" s="207">
        <f t="shared" si="67"/>
        <v>12</v>
      </c>
      <c r="BW164" s="207">
        <f t="shared" si="82"/>
        <v>12</v>
      </c>
      <c r="BX164" s="207">
        <f t="shared" si="83"/>
        <v>50</v>
      </c>
      <c r="BY164" s="207">
        <f t="shared" si="84"/>
        <v>0</v>
      </c>
      <c r="BZ164" s="207">
        <f t="shared" si="85"/>
        <v>0</v>
      </c>
      <c r="CA164" s="207">
        <f t="shared" si="86"/>
        <v>0</v>
      </c>
      <c r="CB164" s="207">
        <f t="shared" si="87"/>
        <v>0</v>
      </c>
      <c r="CC164" s="207">
        <f t="shared" si="88"/>
        <v>0</v>
      </c>
      <c r="CD164" s="207">
        <f t="shared" si="89"/>
        <v>0</v>
      </c>
      <c r="CE164" s="207">
        <f t="shared" si="90"/>
        <v>74</v>
      </c>
    </row>
    <row r="165" spans="1:83" ht="12" customHeight="1" x14ac:dyDescent="0.2">
      <c r="A165" s="6">
        <v>3</v>
      </c>
      <c r="B165" s="49" t="str">
        <f t="shared" si="78"/>
        <v>Chamorro Rojas Pierre NestorP0018</v>
      </c>
      <c r="C165" s="117" t="str">
        <f>J165</f>
        <v>Chamorro Rojas Pierre Nestor</v>
      </c>
      <c r="D165" s="49" t="str">
        <f>VLOOKUP(C165,Datos!$B$13:$C$83,2,0)</f>
        <v>VIGENTE</v>
      </c>
      <c r="E165" s="49" t="s">
        <v>96</v>
      </c>
      <c r="F165" s="49" t="str">
        <f>IFERROR(VLOOKUP(H165,Datos!$J$2:$L$60,3,0),"OBSERVACIONES")</f>
        <v>CERRADO</v>
      </c>
      <c r="G165" s="49"/>
      <c r="H165" s="49" t="s">
        <v>203</v>
      </c>
      <c r="I165" s="49" t="s">
        <v>156</v>
      </c>
      <c r="J165" s="118" t="s">
        <v>134</v>
      </c>
      <c r="K165" s="16">
        <v>0</v>
      </c>
      <c r="L165" s="16">
        <v>0</v>
      </c>
      <c r="M165" s="16">
        <v>0</v>
      </c>
      <c r="N165" s="16">
        <v>0</v>
      </c>
      <c r="O165" s="16">
        <v>0</v>
      </c>
      <c r="P165" s="16">
        <v>0</v>
      </c>
      <c r="Q165" s="16">
        <v>0</v>
      </c>
      <c r="R165" s="16">
        <v>0</v>
      </c>
      <c r="S165" s="16">
        <v>0</v>
      </c>
      <c r="T165" s="16">
        <v>0</v>
      </c>
      <c r="U165" s="16">
        <v>0</v>
      </c>
      <c r="V165" s="16">
        <v>0</v>
      </c>
      <c r="W165" s="16">
        <v>0</v>
      </c>
      <c r="X165" s="16">
        <v>0</v>
      </c>
      <c r="Y165" s="16">
        <v>0</v>
      </c>
      <c r="Z165" s="16">
        <v>0</v>
      </c>
      <c r="AA165" s="16">
        <v>0</v>
      </c>
      <c r="AB165" s="16">
        <v>0</v>
      </c>
      <c r="AC165" s="16">
        <v>0</v>
      </c>
      <c r="AD165" s="16">
        <v>0</v>
      </c>
      <c r="AE165" s="16">
        <v>0</v>
      </c>
      <c r="AF165" s="16">
        <v>0</v>
      </c>
      <c r="AG165" s="16">
        <v>0</v>
      </c>
      <c r="AH165" s="16">
        <v>0</v>
      </c>
      <c r="AI165" s="16">
        <v>0</v>
      </c>
      <c r="AJ165" s="16">
        <v>0</v>
      </c>
      <c r="AK165" s="16">
        <v>0</v>
      </c>
      <c r="AL165" s="16">
        <v>0</v>
      </c>
      <c r="AM165" s="16">
        <v>0</v>
      </c>
      <c r="AN165" s="16">
        <v>0</v>
      </c>
      <c r="AO165" s="16">
        <v>0</v>
      </c>
      <c r="AP165" s="16">
        <v>16</v>
      </c>
      <c r="AQ165" s="16">
        <v>0</v>
      </c>
      <c r="AR165" s="16">
        <v>0</v>
      </c>
      <c r="AS165" s="16">
        <v>0</v>
      </c>
      <c r="AT165" s="16">
        <v>0</v>
      </c>
      <c r="AU165" s="16">
        <v>0</v>
      </c>
      <c r="AV165" s="16">
        <v>0</v>
      </c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0</v>
      </c>
      <c r="BD165" s="16">
        <v>0</v>
      </c>
      <c r="BE165" s="16">
        <v>0</v>
      </c>
      <c r="BF165" s="16">
        <v>0</v>
      </c>
      <c r="BG165" s="16">
        <v>0</v>
      </c>
      <c r="BH165" s="16">
        <v>0</v>
      </c>
      <c r="BI165" s="16">
        <v>0</v>
      </c>
      <c r="BJ165" s="16">
        <v>0</v>
      </c>
      <c r="BK165" s="16">
        <v>0</v>
      </c>
      <c r="BL165" s="16">
        <v>0</v>
      </c>
      <c r="BM165" s="16">
        <v>0</v>
      </c>
      <c r="BN165" s="16">
        <v>0</v>
      </c>
      <c r="BO165" s="16">
        <v>0</v>
      </c>
      <c r="BP165" s="16">
        <v>0</v>
      </c>
      <c r="BQ165" s="16">
        <v>0</v>
      </c>
      <c r="BR165" s="16">
        <v>0</v>
      </c>
      <c r="BS165" s="207">
        <f t="shared" si="79"/>
        <v>0</v>
      </c>
      <c r="BT165" s="207">
        <f t="shared" si="80"/>
        <v>0</v>
      </c>
      <c r="BU165" s="207">
        <f t="shared" si="81"/>
        <v>0</v>
      </c>
      <c r="BV165" s="207">
        <f t="shared" si="67"/>
        <v>0</v>
      </c>
      <c r="BW165" s="207">
        <f t="shared" si="82"/>
        <v>0</v>
      </c>
      <c r="BX165" s="207">
        <f t="shared" si="83"/>
        <v>0</v>
      </c>
      <c r="BY165" s="207">
        <f t="shared" si="84"/>
        <v>16</v>
      </c>
      <c r="BZ165" s="207">
        <f t="shared" si="85"/>
        <v>0</v>
      </c>
      <c r="CA165" s="207">
        <f t="shared" si="86"/>
        <v>0</v>
      </c>
      <c r="CB165" s="207">
        <f t="shared" si="87"/>
        <v>0</v>
      </c>
      <c r="CC165" s="207">
        <f t="shared" si="88"/>
        <v>0</v>
      </c>
      <c r="CD165" s="207">
        <f t="shared" si="89"/>
        <v>0</v>
      </c>
      <c r="CE165" s="207">
        <f t="shared" si="90"/>
        <v>16</v>
      </c>
    </row>
    <row r="166" spans="1:83" ht="12" customHeight="1" x14ac:dyDescent="0.2">
      <c r="A166" s="6">
        <v>3</v>
      </c>
      <c r="B166" s="49" t="str">
        <f t="shared" si="78"/>
        <v>Revilla Casalino PabloP0018</v>
      </c>
      <c r="C166" s="117" t="str">
        <f t="shared" si="77"/>
        <v>Revilla Casalino Pablo</v>
      </c>
      <c r="D166" s="49" t="str">
        <f>VLOOKUP(C166,Datos!$B$13:$C$83,2,0)</f>
        <v>VIGENTE</v>
      </c>
      <c r="E166" s="49" t="s">
        <v>96</v>
      </c>
      <c r="F166" s="49" t="str">
        <f>IFERROR(VLOOKUP(H166,Datos!$J$2:$L$60,3,0),"OBSERVACIONES")</f>
        <v>CERRADO</v>
      </c>
      <c r="G166" s="49"/>
      <c r="H166" s="49" t="s">
        <v>203</v>
      </c>
      <c r="I166" s="49" t="s">
        <v>156</v>
      </c>
      <c r="J166" s="118" t="s">
        <v>37</v>
      </c>
      <c r="K166" s="16">
        <v>0</v>
      </c>
      <c r="L166" s="16">
        <v>0</v>
      </c>
      <c r="M166" s="16">
        <v>0</v>
      </c>
      <c r="N166" s="16">
        <v>0</v>
      </c>
      <c r="O166" s="16">
        <v>0</v>
      </c>
      <c r="P166" s="16">
        <v>0</v>
      </c>
      <c r="Q166" s="16">
        <v>0</v>
      </c>
      <c r="R166" s="16">
        <v>0</v>
      </c>
      <c r="S166" s="16">
        <v>0</v>
      </c>
      <c r="T166" s="16">
        <v>0</v>
      </c>
      <c r="U166" s="16">
        <v>24</v>
      </c>
      <c r="V166" s="16">
        <v>40</v>
      </c>
      <c r="W166" s="16">
        <v>40</v>
      </c>
      <c r="X166" s="16">
        <v>40</v>
      </c>
      <c r="Y166" s="16">
        <v>40</v>
      </c>
      <c r="Z166" s="16">
        <v>32</v>
      </c>
      <c r="AA166" s="16">
        <v>20</v>
      </c>
      <c r="AB166" s="16">
        <v>28</v>
      </c>
      <c r="AC166" s="16">
        <v>12</v>
      </c>
      <c r="AD166" s="16">
        <v>7</v>
      </c>
      <c r="AE166" s="16">
        <v>34</v>
      </c>
      <c r="AF166" s="16">
        <v>40</v>
      </c>
      <c r="AG166" s="16">
        <v>28</v>
      </c>
      <c r="AH166" s="16">
        <v>24</v>
      </c>
      <c r="AI166" s="16">
        <v>8</v>
      </c>
      <c r="AJ166" s="16">
        <v>20</v>
      </c>
      <c r="AK166" s="16">
        <v>8</v>
      </c>
      <c r="AL166" s="16">
        <v>12</v>
      </c>
      <c r="AM166" s="16">
        <v>0</v>
      </c>
      <c r="AN166" s="16">
        <v>0</v>
      </c>
      <c r="AO166" s="16">
        <v>0</v>
      </c>
      <c r="AP166" s="16">
        <v>16</v>
      </c>
      <c r="AQ166" s="16">
        <v>0</v>
      </c>
      <c r="AR166" s="16">
        <v>0</v>
      </c>
      <c r="AS166" s="16">
        <v>0</v>
      </c>
      <c r="AT166" s="16">
        <v>0</v>
      </c>
      <c r="AU166" s="16">
        <v>0</v>
      </c>
      <c r="AV166" s="16">
        <v>0</v>
      </c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0</v>
      </c>
      <c r="BD166" s="16">
        <v>0</v>
      </c>
      <c r="BE166" s="16">
        <v>0</v>
      </c>
      <c r="BF166" s="16">
        <v>0</v>
      </c>
      <c r="BG166" s="16">
        <v>0</v>
      </c>
      <c r="BH166" s="16">
        <v>0</v>
      </c>
      <c r="BI166" s="16">
        <v>0</v>
      </c>
      <c r="BJ166" s="16">
        <v>0</v>
      </c>
      <c r="BK166" s="16">
        <v>0</v>
      </c>
      <c r="BL166" s="16">
        <v>0</v>
      </c>
      <c r="BM166" s="16">
        <v>0</v>
      </c>
      <c r="BN166" s="16">
        <v>0</v>
      </c>
      <c r="BO166" s="16">
        <v>0</v>
      </c>
      <c r="BP166" s="16">
        <v>0</v>
      </c>
      <c r="BQ166" s="16">
        <v>0</v>
      </c>
      <c r="BR166" s="16">
        <v>0</v>
      </c>
      <c r="BS166" s="207">
        <f t="shared" si="79"/>
        <v>0</v>
      </c>
      <c r="BT166" s="207">
        <f t="shared" si="80"/>
        <v>0</v>
      </c>
      <c r="BU166" s="207">
        <f t="shared" si="81"/>
        <v>184</v>
      </c>
      <c r="BV166" s="207">
        <f t="shared" si="67"/>
        <v>92</v>
      </c>
      <c r="BW166" s="207">
        <f t="shared" si="82"/>
        <v>133</v>
      </c>
      <c r="BX166" s="207">
        <f t="shared" si="83"/>
        <v>48</v>
      </c>
      <c r="BY166" s="207">
        <f t="shared" si="84"/>
        <v>16</v>
      </c>
      <c r="BZ166" s="207">
        <f t="shared" si="85"/>
        <v>0</v>
      </c>
      <c r="CA166" s="207">
        <f t="shared" si="86"/>
        <v>0</v>
      </c>
      <c r="CB166" s="207">
        <f t="shared" si="87"/>
        <v>0</v>
      </c>
      <c r="CC166" s="207">
        <f t="shared" si="88"/>
        <v>0</v>
      </c>
      <c r="CD166" s="207">
        <f t="shared" si="89"/>
        <v>0</v>
      </c>
      <c r="CE166" s="207">
        <f t="shared" si="90"/>
        <v>473</v>
      </c>
    </row>
    <row r="167" spans="1:83" ht="12" customHeight="1" x14ac:dyDescent="0.2">
      <c r="A167" s="6">
        <v>3</v>
      </c>
      <c r="B167" s="49" t="str">
        <f t="shared" si="78"/>
        <v>Revilla Casalino PabloP0013</v>
      </c>
      <c r="C167" s="117" t="str">
        <f t="shared" si="77"/>
        <v>Revilla Casalino Pablo</v>
      </c>
      <c r="D167" s="49" t="str">
        <f>VLOOKUP(C167,Datos!$B$13:$C$83,2,0)</f>
        <v>VIGENTE</v>
      </c>
      <c r="E167" s="50" t="s">
        <v>45</v>
      </c>
      <c r="F167" s="49" t="str">
        <f>IFERROR(VLOOKUP(H167,Datos!$J$2:$L$60,3,0),"OBSERVACIONES")</f>
        <v>CERRADO</v>
      </c>
      <c r="G167" s="49"/>
      <c r="H167" s="50" t="s">
        <v>51</v>
      </c>
      <c r="I167" s="49" t="s">
        <v>122</v>
      </c>
      <c r="J167" s="118" t="s">
        <v>37</v>
      </c>
      <c r="K167" s="16">
        <v>0</v>
      </c>
      <c r="L167" s="16">
        <v>0</v>
      </c>
      <c r="M167" s="16">
        <v>0</v>
      </c>
      <c r="N167" s="16">
        <v>0</v>
      </c>
      <c r="O167" s="16">
        <v>0</v>
      </c>
      <c r="P167" s="16">
        <v>0</v>
      </c>
      <c r="Q167" s="16">
        <v>0</v>
      </c>
      <c r="R167" s="16">
        <v>0</v>
      </c>
      <c r="S167" s="16">
        <v>0</v>
      </c>
      <c r="T167" s="16">
        <v>0</v>
      </c>
      <c r="U167" s="16">
        <v>0</v>
      </c>
      <c r="V167" s="16">
        <v>0</v>
      </c>
      <c r="W167" s="16">
        <v>0</v>
      </c>
      <c r="X167" s="16">
        <v>0</v>
      </c>
      <c r="Y167" s="16">
        <v>0</v>
      </c>
      <c r="Z167" s="16">
        <v>0</v>
      </c>
      <c r="AA167" s="16">
        <v>0</v>
      </c>
      <c r="AB167" s="16">
        <v>0</v>
      </c>
      <c r="AC167" s="16">
        <v>0</v>
      </c>
      <c r="AD167" s="16">
        <v>0</v>
      </c>
      <c r="AE167" s="16">
        <v>0</v>
      </c>
      <c r="AF167" s="16">
        <v>0</v>
      </c>
      <c r="AG167" s="16">
        <v>0</v>
      </c>
      <c r="AH167" s="16">
        <v>0</v>
      </c>
      <c r="AI167" s="16">
        <v>0</v>
      </c>
      <c r="AJ167" s="16">
        <v>0</v>
      </c>
      <c r="AK167" s="16">
        <v>16</v>
      </c>
      <c r="AL167" s="16">
        <v>0</v>
      </c>
      <c r="AM167" s="16">
        <v>0</v>
      </c>
      <c r="AN167" s="16">
        <v>0</v>
      </c>
      <c r="AO167" s="16">
        <v>0</v>
      </c>
      <c r="AP167" s="16">
        <v>0</v>
      </c>
      <c r="AQ167" s="16">
        <v>0</v>
      </c>
      <c r="AR167" s="16">
        <v>0</v>
      </c>
      <c r="AS167" s="16">
        <v>0</v>
      </c>
      <c r="AT167" s="16">
        <v>0</v>
      </c>
      <c r="AU167" s="16">
        <v>0</v>
      </c>
      <c r="AV167" s="16">
        <v>0</v>
      </c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0</v>
      </c>
      <c r="BD167" s="16">
        <v>0</v>
      </c>
      <c r="BE167" s="16">
        <v>0</v>
      </c>
      <c r="BF167" s="16">
        <v>0</v>
      </c>
      <c r="BG167" s="16">
        <v>0</v>
      </c>
      <c r="BH167" s="16">
        <v>0</v>
      </c>
      <c r="BI167" s="16">
        <v>0</v>
      </c>
      <c r="BJ167" s="16">
        <v>0</v>
      </c>
      <c r="BK167" s="16">
        <v>0</v>
      </c>
      <c r="BL167" s="16">
        <v>0</v>
      </c>
      <c r="BM167" s="16">
        <v>0</v>
      </c>
      <c r="BN167" s="16">
        <v>0</v>
      </c>
      <c r="BO167" s="16">
        <v>0</v>
      </c>
      <c r="BP167" s="16">
        <v>0</v>
      </c>
      <c r="BQ167" s="16">
        <v>0</v>
      </c>
      <c r="BR167" s="16">
        <v>0</v>
      </c>
      <c r="BS167" s="207">
        <f t="shared" si="79"/>
        <v>0</v>
      </c>
      <c r="BT167" s="207">
        <f t="shared" si="80"/>
        <v>0</v>
      </c>
      <c r="BU167" s="207">
        <f t="shared" si="81"/>
        <v>0</v>
      </c>
      <c r="BV167" s="207">
        <f t="shared" si="67"/>
        <v>0</v>
      </c>
      <c r="BW167" s="207">
        <f t="shared" si="82"/>
        <v>0</v>
      </c>
      <c r="BX167" s="207">
        <f t="shared" si="83"/>
        <v>16</v>
      </c>
      <c r="BY167" s="207">
        <f t="shared" si="84"/>
        <v>0</v>
      </c>
      <c r="BZ167" s="207">
        <f t="shared" si="85"/>
        <v>0</v>
      </c>
      <c r="CA167" s="207">
        <f t="shared" si="86"/>
        <v>0</v>
      </c>
      <c r="CB167" s="207">
        <f t="shared" si="87"/>
        <v>0</v>
      </c>
      <c r="CC167" s="207">
        <f t="shared" si="88"/>
        <v>0</v>
      </c>
      <c r="CD167" s="207">
        <f t="shared" si="89"/>
        <v>0</v>
      </c>
      <c r="CE167" s="207">
        <f t="shared" si="90"/>
        <v>16</v>
      </c>
    </row>
    <row r="168" spans="1:83" ht="12" customHeight="1" x14ac:dyDescent="0.2">
      <c r="A168" s="6">
        <v>3</v>
      </c>
      <c r="B168" s="49" t="str">
        <f t="shared" si="78"/>
        <v>Revilla Casalino PabloP0023</v>
      </c>
      <c r="C168" s="117" t="str">
        <f t="shared" si="77"/>
        <v>Revilla Casalino Pablo</v>
      </c>
      <c r="D168" s="49" t="str">
        <f>VLOOKUP(C168,Datos!$B$13:$C$83,2,0)</f>
        <v>VIGENTE</v>
      </c>
      <c r="E168" s="50" t="s">
        <v>234</v>
      </c>
      <c r="F168" s="49" t="str">
        <f>IFERROR(VLOOKUP(H168,Datos!$J$2:$L$60,3,0),"OBSERVACIONES")</f>
        <v>PROCESO</v>
      </c>
      <c r="G168" s="49"/>
      <c r="H168" s="50" t="s">
        <v>206</v>
      </c>
      <c r="I168" s="49" t="s">
        <v>235</v>
      </c>
      <c r="J168" s="118" t="s">
        <v>37</v>
      </c>
      <c r="K168" s="16">
        <v>0</v>
      </c>
      <c r="L168" s="16">
        <v>0</v>
      </c>
      <c r="M168" s="16">
        <v>0</v>
      </c>
      <c r="N168" s="16">
        <v>0</v>
      </c>
      <c r="O168" s="16">
        <v>0</v>
      </c>
      <c r="P168" s="16">
        <v>0</v>
      </c>
      <c r="Q168" s="16">
        <v>0</v>
      </c>
      <c r="R168" s="16">
        <v>0</v>
      </c>
      <c r="S168" s="16">
        <v>0</v>
      </c>
      <c r="T168" s="16">
        <v>0</v>
      </c>
      <c r="U168" s="16">
        <v>0</v>
      </c>
      <c r="V168" s="16">
        <v>0</v>
      </c>
      <c r="W168" s="16">
        <v>0</v>
      </c>
      <c r="X168" s="16">
        <v>0</v>
      </c>
      <c r="Y168" s="16">
        <v>0</v>
      </c>
      <c r="Z168" s="16">
        <v>0</v>
      </c>
      <c r="AA168" s="16">
        <v>0</v>
      </c>
      <c r="AB168" s="16">
        <v>0</v>
      </c>
      <c r="AC168" s="16">
        <v>0</v>
      </c>
      <c r="AD168" s="16">
        <v>0</v>
      </c>
      <c r="AE168" s="16">
        <v>0</v>
      </c>
      <c r="AF168" s="16">
        <v>0</v>
      </c>
      <c r="AG168" s="16">
        <v>0</v>
      </c>
      <c r="AH168" s="16">
        <v>0</v>
      </c>
      <c r="AI168" s="16">
        <v>0</v>
      </c>
      <c r="AJ168" s="16">
        <v>0</v>
      </c>
      <c r="AK168" s="16">
        <v>0</v>
      </c>
      <c r="AL168" s="16">
        <v>14</v>
      </c>
      <c r="AM168" s="16">
        <v>32</v>
      </c>
      <c r="AN168" s="16">
        <v>19</v>
      </c>
      <c r="AO168" s="16">
        <v>40</v>
      </c>
      <c r="AP168" s="16">
        <v>24</v>
      </c>
      <c r="AQ168" s="16">
        <v>32</v>
      </c>
      <c r="AR168" s="16">
        <v>0</v>
      </c>
      <c r="AS168" s="16">
        <v>0</v>
      </c>
      <c r="AT168" s="16">
        <v>32</v>
      </c>
      <c r="AU168" s="16">
        <v>40</v>
      </c>
      <c r="AV168" s="16">
        <v>24</v>
      </c>
      <c r="AW168" s="16">
        <v>16</v>
      </c>
      <c r="AX168" s="16">
        <v>0</v>
      </c>
      <c r="AY168" s="16">
        <v>4</v>
      </c>
      <c r="AZ168" s="16">
        <v>16</v>
      </c>
      <c r="BA168" s="16">
        <v>24</v>
      </c>
      <c r="BB168" s="16">
        <v>12</v>
      </c>
      <c r="BC168" s="16">
        <v>40</v>
      </c>
      <c r="BD168" s="16">
        <v>32</v>
      </c>
      <c r="BE168" s="16">
        <v>0</v>
      </c>
      <c r="BF168" s="16">
        <v>0</v>
      </c>
      <c r="BG168" s="16">
        <v>0</v>
      </c>
      <c r="BH168" s="16">
        <v>0</v>
      </c>
      <c r="BI168" s="16">
        <v>0</v>
      </c>
      <c r="BJ168" s="16">
        <v>0</v>
      </c>
      <c r="BK168" s="16">
        <v>0</v>
      </c>
      <c r="BL168" s="16">
        <v>0</v>
      </c>
      <c r="BM168" s="16">
        <v>0</v>
      </c>
      <c r="BN168" s="16">
        <v>0</v>
      </c>
      <c r="BO168" s="16">
        <v>0</v>
      </c>
      <c r="BP168" s="16">
        <v>0</v>
      </c>
      <c r="BQ168" s="16">
        <v>0</v>
      </c>
      <c r="BR168" s="16">
        <v>0</v>
      </c>
      <c r="BS168" s="207">
        <f t="shared" si="79"/>
        <v>0</v>
      </c>
      <c r="BT168" s="207">
        <f t="shared" si="80"/>
        <v>0</v>
      </c>
      <c r="BU168" s="207">
        <f t="shared" si="81"/>
        <v>0</v>
      </c>
      <c r="BV168" s="207">
        <f t="shared" si="67"/>
        <v>0</v>
      </c>
      <c r="BW168" s="207">
        <f t="shared" si="82"/>
        <v>0</v>
      </c>
      <c r="BX168" s="207">
        <f t="shared" si="83"/>
        <v>46</v>
      </c>
      <c r="BY168" s="207">
        <f t="shared" si="84"/>
        <v>115</v>
      </c>
      <c r="BZ168" s="207">
        <f t="shared" si="85"/>
        <v>112</v>
      </c>
      <c r="CA168" s="207">
        <f t="shared" si="86"/>
        <v>96</v>
      </c>
      <c r="CB168" s="207">
        <f t="shared" si="87"/>
        <v>32</v>
      </c>
      <c r="CC168" s="207">
        <f t="shared" si="88"/>
        <v>0</v>
      </c>
      <c r="CD168" s="207">
        <f t="shared" si="89"/>
        <v>0</v>
      </c>
      <c r="CE168" s="207">
        <f t="shared" si="90"/>
        <v>401</v>
      </c>
    </row>
    <row r="169" spans="1:83" ht="12" customHeight="1" x14ac:dyDescent="0.2">
      <c r="A169" s="6">
        <v>4</v>
      </c>
      <c r="B169" s="49" t="str">
        <f t="shared" si="78"/>
        <v>Revilla Casalino PabloVACACIONES</v>
      </c>
      <c r="C169" s="117" t="str">
        <f>J169</f>
        <v>Revilla Casalino Pablo</v>
      </c>
      <c r="D169" s="49" t="str">
        <f>VLOOKUP(C169,Datos!$B$13:$C$83,2,0)</f>
        <v>VIGENTE</v>
      </c>
      <c r="E169" s="50" t="s">
        <v>209</v>
      </c>
      <c r="F169" s="49"/>
      <c r="G169" s="49" t="str">
        <f>IFERROR(VLOOKUP(H169,Datos!$J$2:$L$60,3,0),"OBSERVACIONES")</f>
        <v>OBSERVACIONES</v>
      </c>
      <c r="H169" s="50" t="s">
        <v>209</v>
      </c>
      <c r="I169" s="49" t="s">
        <v>243</v>
      </c>
      <c r="J169" s="118" t="s">
        <v>37</v>
      </c>
      <c r="K169" s="16">
        <v>0</v>
      </c>
      <c r="L169" s="16">
        <v>0</v>
      </c>
      <c r="M169" s="16">
        <v>0</v>
      </c>
      <c r="N169" s="16">
        <v>0</v>
      </c>
      <c r="O169" s="16">
        <v>0</v>
      </c>
      <c r="P169" s="16">
        <v>0</v>
      </c>
      <c r="Q169" s="16">
        <v>0</v>
      </c>
      <c r="R169" s="16">
        <v>0</v>
      </c>
      <c r="S169" s="16">
        <v>0</v>
      </c>
      <c r="T169" s="16">
        <v>0</v>
      </c>
      <c r="U169" s="16">
        <v>0</v>
      </c>
      <c r="V169" s="16">
        <v>0</v>
      </c>
      <c r="W169" s="16">
        <v>0</v>
      </c>
      <c r="X169" s="16">
        <v>0</v>
      </c>
      <c r="Y169" s="16">
        <v>0</v>
      </c>
      <c r="Z169" s="16">
        <v>0</v>
      </c>
      <c r="AA169" s="16">
        <v>0</v>
      </c>
      <c r="AB169" s="16">
        <v>0</v>
      </c>
      <c r="AC169" s="16">
        <v>0</v>
      </c>
      <c r="AD169" s="16">
        <v>0</v>
      </c>
      <c r="AE169" s="16">
        <v>0</v>
      </c>
      <c r="AF169" s="16">
        <v>0</v>
      </c>
      <c r="AG169" s="16">
        <v>0</v>
      </c>
      <c r="AH169" s="16">
        <v>0</v>
      </c>
      <c r="AI169" s="16">
        <v>0</v>
      </c>
      <c r="AJ169" s="16">
        <v>0</v>
      </c>
      <c r="AK169" s="16">
        <v>0</v>
      </c>
      <c r="AL169" s="16">
        <v>0</v>
      </c>
      <c r="AM169" s="16">
        <v>0</v>
      </c>
      <c r="AN169" s="16">
        <v>0</v>
      </c>
      <c r="AO169" s="16">
        <v>0</v>
      </c>
      <c r="AP169" s="16">
        <v>0</v>
      </c>
      <c r="AQ169" s="16">
        <v>0</v>
      </c>
      <c r="AR169" s="16">
        <v>0</v>
      </c>
      <c r="AS169" s="16">
        <v>8</v>
      </c>
      <c r="AT169" s="16">
        <v>0</v>
      </c>
      <c r="AU169" s="16">
        <v>0</v>
      </c>
      <c r="AV169" s="16">
        <v>0</v>
      </c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0</v>
      </c>
      <c r="BD169" s="16">
        <v>8</v>
      </c>
      <c r="BE169" s="16">
        <v>0</v>
      </c>
      <c r="BF169" s="16">
        <v>0</v>
      </c>
      <c r="BG169" s="16">
        <v>0</v>
      </c>
      <c r="BH169" s="16">
        <v>0</v>
      </c>
      <c r="BI169" s="16">
        <v>0</v>
      </c>
      <c r="BJ169" s="16">
        <v>0</v>
      </c>
      <c r="BK169" s="16">
        <v>0</v>
      </c>
      <c r="BL169" s="16">
        <v>0</v>
      </c>
      <c r="BM169" s="16">
        <v>0</v>
      </c>
      <c r="BN169" s="16">
        <v>0</v>
      </c>
      <c r="BO169" s="16">
        <v>0</v>
      </c>
      <c r="BP169" s="16">
        <v>0</v>
      </c>
      <c r="BQ169" s="16">
        <v>0</v>
      </c>
      <c r="BR169" s="16">
        <v>0</v>
      </c>
      <c r="BS169" s="207">
        <f t="shared" si="79"/>
        <v>0</v>
      </c>
      <c r="BT169" s="207">
        <f t="shared" si="80"/>
        <v>0</v>
      </c>
      <c r="BU169" s="207">
        <f>SUM(U169:Y169)</f>
        <v>0</v>
      </c>
      <c r="BV169" s="207">
        <f>SUM(Z169:AC169)</f>
        <v>0</v>
      </c>
      <c r="BW169" s="207">
        <f>SUM(AD169:AH169)</f>
        <v>0</v>
      </c>
      <c r="BX169" s="207">
        <f>SUM(AI169:AM169)</f>
        <v>0</v>
      </c>
      <c r="BY169" s="207">
        <f>SUM(AN169:AS169)</f>
        <v>8</v>
      </c>
      <c r="BZ169" s="207">
        <f t="shared" si="85"/>
        <v>0</v>
      </c>
      <c r="CA169" s="207">
        <f t="shared" si="86"/>
        <v>0</v>
      </c>
      <c r="CB169" s="207">
        <f t="shared" si="87"/>
        <v>8</v>
      </c>
      <c r="CC169" s="207">
        <f t="shared" si="88"/>
        <v>0</v>
      </c>
      <c r="CD169" s="207">
        <f t="shared" si="89"/>
        <v>0</v>
      </c>
      <c r="CE169" s="207">
        <f t="shared" si="90"/>
        <v>16</v>
      </c>
    </row>
    <row r="170" spans="1:83" ht="12" customHeight="1" x14ac:dyDescent="0.2">
      <c r="A170" s="6">
        <v>5</v>
      </c>
      <c r="B170" s="49" t="str">
        <f t="shared" ref="B170" si="91">C170&amp;H170</f>
        <v>Revilla Casalino PabloINASISTENCIAS</v>
      </c>
      <c r="C170" s="117" t="str">
        <f t="shared" ref="C170" si="92">J170</f>
        <v>Revilla Casalino Pablo</v>
      </c>
      <c r="D170" s="49" t="str">
        <f>VLOOKUP(C170,Datos!$B$13:$C$83,2,0)</f>
        <v>VIGENTE</v>
      </c>
      <c r="E170" s="50" t="s">
        <v>208</v>
      </c>
      <c r="F170" s="49"/>
      <c r="G170" s="49" t="str">
        <f>IFERROR(VLOOKUP(H170,Datos!$J$2:$L$60,3,0),"OBSERVACIONES")</f>
        <v>OBSERVACIONES</v>
      </c>
      <c r="H170" s="50" t="s">
        <v>208</v>
      </c>
      <c r="I170" s="49" t="s">
        <v>210</v>
      </c>
      <c r="J170" s="118" t="s">
        <v>37</v>
      </c>
      <c r="K170" s="16">
        <v>0</v>
      </c>
      <c r="L170" s="16">
        <v>0</v>
      </c>
      <c r="M170" s="16">
        <v>0</v>
      </c>
      <c r="N170" s="16">
        <v>0</v>
      </c>
      <c r="O170" s="16">
        <v>0</v>
      </c>
      <c r="P170" s="16">
        <v>0</v>
      </c>
      <c r="Q170" s="16">
        <v>0</v>
      </c>
      <c r="R170" s="16">
        <v>0</v>
      </c>
      <c r="S170" s="16">
        <v>0</v>
      </c>
      <c r="T170" s="16">
        <v>0</v>
      </c>
      <c r="U170" s="16">
        <v>0</v>
      </c>
      <c r="V170" s="16">
        <v>0</v>
      </c>
      <c r="W170" s="16">
        <v>0</v>
      </c>
      <c r="X170" s="16">
        <v>0</v>
      </c>
      <c r="Y170" s="16">
        <v>0</v>
      </c>
      <c r="Z170" s="16">
        <v>0</v>
      </c>
      <c r="AA170" s="16">
        <v>0</v>
      </c>
      <c r="AB170" s="16">
        <v>0</v>
      </c>
      <c r="AC170" s="16">
        <v>0</v>
      </c>
      <c r="AD170" s="16">
        <v>0</v>
      </c>
      <c r="AE170" s="16">
        <v>0</v>
      </c>
      <c r="AF170" s="16">
        <v>0</v>
      </c>
      <c r="AG170" s="16">
        <v>0</v>
      </c>
      <c r="AH170" s="16">
        <v>0</v>
      </c>
      <c r="AI170" s="16">
        <v>0</v>
      </c>
      <c r="AJ170" s="16">
        <v>0</v>
      </c>
      <c r="AK170" s="16">
        <v>0</v>
      </c>
      <c r="AL170" s="16">
        <v>0</v>
      </c>
      <c r="AM170" s="16">
        <v>0</v>
      </c>
      <c r="AN170" s="16">
        <v>0</v>
      </c>
      <c r="AO170" s="16">
        <v>0</v>
      </c>
      <c r="AP170" s="16">
        <v>0</v>
      </c>
      <c r="AQ170" s="16">
        <v>0</v>
      </c>
      <c r="AR170" s="16">
        <v>0</v>
      </c>
      <c r="AS170" s="16">
        <v>0</v>
      </c>
      <c r="AT170" s="16">
        <v>0</v>
      </c>
      <c r="AU170" s="16">
        <v>0</v>
      </c>
      <c r="AV170" s="16">
        <v>0</v>
      </c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8</v>
      </c>
      <c r="BC170" s="16">
        <v>0</v>
      </c>
      <c r="BD170" s="16">
        <v>0</v>
      </c>
      <c r="BE170" s="16">
        <v>0</v>
      </c>
      <c r="BF170" s="16">
        <v>0</v>
      </c>
      <c r="BG170" s="16">
        <v>0</v>
      </c>
      <c r="BH170" s="16">
        <v>0</v>
      </c>
      <c r="BI170" s="16">
        <v>0</v>
      </c>
      <c r="BJ170" s="16">
        <v>0</v>
      </c>
      <c r="BK170" s="16">
        <v>0</v>
      </c>
      <c r="BL170" s="16">
        <v>0</v>
      </c>
      <c r="BM170" s="16">
        <v>0</v>
      </c>
      <c r="BN170" s="16">
        <v>0</v>
      </c>
      <c r="BO170" s="16">
        <v>0</v>
      </c>
      <c r="BP170" s="16">
        <v>0</v>
      </c>
      <c r="BQ170" s="16">
        <v>0</v>
      </c>
      <c r="BR170" s="16">
        <v>0</v>
      </c>
      <c r="BS170" s="207">
        <f t="shared" si="79"/>
        <v>0</v>
      </c>
      <c r="BT170" s="207">
        <f t="shared" si="80"/>
        <v>0</v>
      </c>
      <c r="BU170" s="207">
        <f>SUM(U170:Y170)</f>
        <v>0</v>
      </c>
      <c r="BV170" s="207">
        <f>SUM(Z170:AC170)</f>
        <v>0</v>
      </c>
      <c r="BW170" s="207">
        <f>SUM(AD170:AH170)</f>
        <v>0</v>
      </c>
      <c r="BX170" s="207">
        <f>SUM(AI170:AM170)</f>
        <v>0</v>
      </c>
      <c r="BY170" s="207">
        <f>SUM(AN170:AS170)</f>
        <v>0</v>
      </c>
      <c r="BZ170" s="207">
        <f t="shared" si="85"/>
        <v>0</v>
      </c>
      <c r="CA170" s="207">
        <f t="shared" si="86"/>
        <v>8</v>
      </c>
      <c r="CB170" s="207">
        <f t="shared" si="87"/>
        <v>0</v>
      </c>
      <c r="CC170" s="207">
        <f t="shared" si="88"/>
        <v>0</v>
      </c>
      <c r="CD170" s="207">
        <f t="shared" si="89"/>
        <v>0</v>
      </c>
      <c r="CE170" s="207">
        <f t="shared" si="90"/>
        <v>8</v>
      </c>
    </row>
    <row r="171" spans="1:83" ht="12" customHeight="1" x14ac:dyDescent="0.2">
      <c r="A171" s="6">
        <v>2</v>
      </c>
      <c r="B171" s="49" t="str">
        <f t="shared" si="78"/>
        <v>Revilla Casalino PabloPROPUESTA</v>
      </c>
      <c r="C171" s="117" t="str">
        <f t="shared" si="77"/>
        <v>Revilla Casalino Pablo</v>
      </c>
      <c r="D171" s="49" t="str">
        <f>VLOOKUP(C171,Datos!$B$13:$C$83,2,0)</f>
        <v>VIGENTE</v>
      </c>
      <c r="E171" s="50" t="s">
        <v>46</v>
      </c>
      <c r="F171" s="49"/>
      <c r="G171" s="49" t="str">
        <f>IFERROR(VLOOKUP(H171,Datos!$J$2:$L$60,3,0),"OBSERVACIONES")</f>
        <v>OBSERVACIONES</v>
      </c>
      <c r="H171" s="50" t="s">
        <v>46</v>
      </c>
      <c r="I171" s="49" t="s">
        <v>132</v>
      </c>
      <c r="J171" s="118" t="s">
        <v>37</v>
      </c>
      <c r="K171" s="16">
        <v>0</v>
      </c>
      <c r="L171" s="16">
        <v>0</v>
      </c>
      <c r="M171" s="16">
        <v>0</v>
      </c>
      <c r="N171" s="16">
        <v>0</v>
      </c>
      <c r="O171" s="16">
        <v>0</v>
      </c>
      <c r="P171" s="16">
        <v>0</v>
      </c>
      <c r="Q171" s="16">
        <v>0</v>
      </c>
      <c r="R171" s="16">
        <v>0</v>
      </c>
      <c r="S171" s="16">
        <v>0</v>
      </c>
      <c r="T171" s="16">
        <v>0</v>
      </c>
      <c r="U171" s="16">
        <v>0</v>
      </c>
      <c r="V171" s="16">
        <v>0</v>
      </c>
      <c r="W171" s="16">
        <v>0</v>
      </c>
      <c r="X171" s="16">
        <v>0</v>
      </c>
      <c r="Y171" s="16">
        <v>0</v>
      </c>
      <c r="Z171" s="16">
        <v>8</v>
      </c>
      <c r="AA171" s="16">
        <v>4</v>
      </c>
      <c r="AB171" s="16">
        <v>10</v>
      </c>
      <c r="AC171" s="16">
        <v>18</v>
      </c>
      <c r="AD171" s="16">
        <v>21</v>
      </c>
      <c r="AE171" s="16">
        <v>2</v>
      </c>
      <c r="AF171" s="16">
        <v>0</v>
      </c>
      <c r="AG171" s="16">
        <v>8</v>
      </c>
      <c r="AH171" s="16">
        <v>0</v>
      </c>
      <c r="AI171" s="16">
        <v>0</v>
      </c>
      <c r="AJ171" s="16">
        <v>0</v>
      </c>
      <c r="AK171" s="16">
        <v>4</v>
      </c>
      <c r="AL171" s="16">
        <v>4</v>
      </c>
      <c r="AM171" s="16">
        <v>0</v>
      </c>
      <c r="AN171" s="16">
        <v>8</v>
      </c>
      <c r="AO171" s="16">
        <v>0</v>
      </c>
      <c r="AP171" s="16">
        <v>0</v>
      </c>
      <c r="AQ171" s="16">
        <v>0</v>
      </c>
      <c r="AR171" s="16">
        <v>0</v>
      </c>
      <c r="AS171" s="16">
        <v>0</v>
      </c>
      <c r="AT171" s="16">
        <v>0</v>
      </c>
      <c r="AU171" s="16">
        <v>0</v>
      </c>
      <c r="AV171" s="16">
        <v>0</v>
      </c>
      <c r="AW171" s="16">
        <v>0</v>
      </c>
      <c r="AX171" s="16">
        <v>0</v>
      </c>
      <c r="AY171" s="16">
        <v>0</v>
      </c>
      <c r="AZ171" s="16">
        <v>16</v>
      </c>
      <c r="BA171" s="16">
        <v>16</v>
      </c>
      <c r="BB171" s="16">
        <v>20</v>
      </c>
      <c r="BC171" s="16">
        <v>0</v>
      </c>
      <c r="BD171" s="16">
        <v>0</v>
      </c>
      <c r="BE171" s="16">
        <v>0</v>
      </c>
      <c r="BF171" s="16">
        <v>0</v>
      </c>
      <c r="BG171" s="16">
        <v>0</v>
      </c>
      <c r="BH171" s="16">
        <v>0</v>
      </c>
      <c r="BI171" s="16">
        <v>0</v>
      </c>
      <c r="BJ171" s="16">
        <v>0</v>
      </c>
      <c r="BK171" s="16">
        <v>0</v>
      </c>
      <c r="BL171" s="16">
        <v>0</v>
      </c>
      <c r="BM171" s="16">
        <v>0</v>
      </c>
      <c r="BN171" s="16">
        <v>0</v>
      </c>
      <c r="BO171" s="16">
        <v>0</v>
      </c>
      <c r="BP171" s="16">
        <v>0</v>
      </c>
      <c r="BQ171" s="16">
        <v>0</v>
      </c>
      <c r="BR171" s="16">
        <v>0</v>
      </c>
      <c r="BS171" s="207">
        <f t="shared" si="79"/>
        <v>0</v>
      </c>
      <c r="BT171" s="207">
        <f t="shared" si="80"/>
        <v>0</v>
      </c>
      <c r="BU171" s="207">
        <f t="shared" si="81"/>
        <v>0</v>
      </c>
      <c r="BV171" s="207">
        <f t="shared" si="67"/>
        <v>40</v>
      </c>
      <c r="BW171" s="207">
        <f t="shared" si="82"/>
        <v>31</v>
      </c>
      <c r="BX171" s="207">
        <f t="shared" si="83"/>
        <v>8</v>
      </c>
      <c r="BY171" s="207">
        <f t="shared" si="84"/>
        <v>8</v>
      </c>
      <c r="BZ171" s="207">
        <f t="shared" si="85"/>
        <v>0</v>
      </c>
      <c r="CA171" s="207">
        <f t="shared" si="86"/>
        <v>52</v>
      </c>
      <c r="CB171" s="207">
        <f t="shared" si="87"/>
        <v>0</v>
      </c>
      <c r="CC171" s="207">
        <f t="shared" si="88"/>
        <v>0</v>
      </c>
      <c r="CD171" s="207">
        <f t="shared" si="89"/>
        <v>0</v>
      </c>
      <c r="CE171" s="207">
        <f t="shared" si="90"/>
        <v>139</v>
      </c>
    </row>
    <row r="172" spans="1:83" ht="12" customHeight="1" x14ac:dyDescent="0.2">
      <c r="A172" s="6">
        <v>4</v>
      </c>
      <c r="B172" s="49" t="str">
        <f t="shared" si="78"/>
        <v>Garcia Gutierrez Alan DavidVACACIONES</v>
      </c>
      <c r="C172" s="117" t="str">
        <f>J172</f>
        <v>Garcia Gutierrez Alan David</v>
      </c>
      <c r="D172" s="49" t="str">
        <f>VLOOKUP(C172,Datos!$B$13:$C$83,2,0)</f>
        <v>VIGENTE</v>
      </c>
      <c r="E172" s="50" t="s">
        <v>209</v>
      </c>
      <c r="F172" s="49"/>
      <c r="G172" s="49" t="str">
        <f>IFERROR(VLOOKUP(H172,Datos!$J$2:$L$60,3,0),"OBSERVACIONES")</f>
        <v>OBSERVACIONES</v>
      </c>
      <c r="H172" s="50" t="s">
        <v>209</v>
      </c>
      <c r="I172" s="49" t="s">
        <v>243</v>
      </c>
      <c r="J172" s="118" t="s">
        <v>33</v>
      </c>
      <c r="K172" s="16">
        <v>0</v>
      </c>
      <c r="L172" s="16">
        <v>0</v>
      </c>
      <c r="M172" s="16">
        <v>0</v>
      </c>
      <c r="N172" s="16">
        <v>0</v>
      </c>
      <c r="O172" s="16">
        <v>0</v>
      </c>
      <c r="P172" s="16">
        <v>0</v>
      </c>
      <c r="Q172" s="16">
        <v>0</v>
      </c>
      <c r="R172" s="16">
        <v>0</v>
      </c>
      <c r="S172" s="16">
        <v>0</v>
      </c>
      <c r="T172" s="16">
        <v>0</v>
      </c>
      <c r="U172" s="16">
        <v>0</v>
      </c>
      <c r="V172" s="16">
        <v>0</v>
      </c>
      <c r="W172" s="16">
        <v>0</v>
      </c>
      <c r="X172" s="16">
        <v>0</v>
      </c>
      <c r="Y172" s="16">
        <v>0</v>
      </c>
      <c r="Z172" s="16">
        <v>0</v>
      </c>
      <c r="AA172" s="16">
        <v>0</v>
      </c>
      <c r="AB172" s="16">
        <v>0</v>
      </c>
      <c r="AC172" s="16">
        <v>40</v>
      </c>
      <c r="AD172" s="16">
        <v>0</v>
      </c>
      <c r="AE172" s="16">
        <v>0</v>
      </c>
      <c r="AF172" s="16">
        <v>0</v>
      </c>
      <c r="AG172" s="16">
        <v>0</v>
      </c>
      <c r="AH172" s="16">
        <v>0</v>
      </c>
      <c r="AI172" s="16">
        <v>0</v>
      </c>
      <c r="AJ172" s="16">
        <v>0</v>
      </c>
      <c r="AK172" s="16">
        <v>0</v>
      </c>
      <c r="AL172" s="16">
        <v>0</v>
      </c>
      <c r="AM172" s="16">
        <v>0</v>
      </c>
      <c r="AN172" s="16">
        <v>0</v>
      </c>
      <c r="AO172" s="16">
        <v>0</v>
      </c>
      <c r="AP172" s="16">
        <v>0</v>
      </c>
      <c r="AQ172" s="16">
        <v>0</v>
      </c>
      <c r="AR172" s="16">
        <v>0</v>
      </c>
      <c r="AS172" s="16">
        <v>0</v>
      </c>
      <c r="AT172" s="16">
        <v>0</v>
      </c>
      <c r="AU172" s="16">
        <v>0</v>
      </c>
      <c r="AV172" s="16">
        <v>32</v>
      </c>
      <c r="AW172" s="16">
        <v>8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0</v>
      </c>
      <c r="BD172" s="16">
        <v>0</v>
      </c>
      <c r="BE172" s="16">
        <v>0</v>
      </c>
      <c r="BF172" s="16">
        <v>0</v>
      </c>
      <c r="BG172" s="16">
        <v>0</v>
      </c>
      <c r="BH172" s="16">
        <v>0</v>
      </c>
      <c r="BI172" s="16">
        <v>0</v>
      </c>
      <c r="BJ172" s="16">
        <v>0</v>
      </c>
      <c r="BK172" s="16">
        <v>0</v>
      </c>
      <c r="BL172" s="16">
        <v>0</v>
      </c>
      <c r="BM172" s="16">
        <v>0</v>
      </c>
      <c r="BN172" s="16">
        <v>0</v>
      </c>
      <c r="BO172" s="16">
        <v>0</v>
      </c>
      <c r="BP172" s="16">
        <v>0</v>
      </c>
      <c r="BQ172" s="16">
        <v>0</v>
      </c>
      <c r="BR172" s="16">
        <v>0</v>
      </c>
      <c r="BS172" s="207">
        <f t="shared" si="79"/>
        <v>0</v>
      </c>
      <c r="BT172" s="207">
        <f t="shared" si="80"/>
        <v>0</v>
      </c>
      <c r="BU172" s="207">
        <f t="shared" si="81"/>
        <v>0</v>
      </c>
      <c r="BV172" s="207">
        <f t="shared" si="67"/>
        <v>40</v>
      </c>
      <c r="BW172" s="207">
        <f t="shared" si="82"/>
        <v>0</v>
      </c>
      <c r="BX172" s="207">
        <f t="shared" si="83"/>
        <v>0</v>
      </c>
      <c r="BY172" s="207">
        <f t="shared" si="84"/>
        <v>0</v>
      </c>
      <c r="BZ172" s="207">
        <f t="shared" si="85"/>
        <v>40</v>
      </c>
      <c r="CA172" s="207">
        <f t="shared" si="86"/>
        <v>0</v>
      </c>
      <c r="CB172" s="207">
        <f t="shared" si="87"/>
        <v>0</v>
      </c>
      <c r="CC172" s="207">
        <f t="shared" si="88"/>
        <v>0</v>
      </c>
      <c r="CD172" s="207">
        <f t="shared" si="89"/>
        <v>0</v>
      </c>
      <c r="CE172" s="207">
        <f>SUM(BS172:CD172)</f>
        <v>80</v>
      </c>
    </row>
    <row r="173" spans="1:83" ht="12" customHeight="1" x14ac:dyDescent="0.2">
      <c r="A173" s="6">
        <v>3</v>
      </c>
      <c r="B173" s="49" t="str">
        <f t="shared" si="78"/>
        <v>Garcia Gutierrez Alan DavidMP003</v>
      </c>
      <c r="C173" s="117" t="str">
        <f t="shared" si="77"/>
        <v>Garcia Gutierrez Alan David</v>
      </c>
      <c r="D173" s="49" t="str">
        <f>VLOOKUP(C173,Datos!$B$13:$C$83,2,0)</f>
        <v>VIGENTE</v>
      </c>
      <c r="E173" s="49" t="s">
        <v>82</v>
      </c>
      <c r="F173" s="49" t="str">
        <f>IFERROR(VLOOKUP(H173,Datos!$J$2:$L$60,3,0),"OBSERVACIONES")</f>
        <v>PROCESO</v>
      </c>
      <c r="G173" s="49"/>
      <c r="H173" s="49" t="s">
        <v>83</v>
      </c>
      <c r="I173" s="49" t="s">
        <v>126</v>
      </c>
      <c r="J173" s="118" t="s">
        <v>33</v>
      </c>
      <c r="K173" s="16">
        <v>40</v>
      </c>
      <c r="L173" s="16">
        <v>40</v>
      </c>
      <c r="M173" s="16">
        <v>40</v>
      </c>
      <c r="N173" s="16">
        <v>40</v>
      </c>
      <c r="O173" s="16">
        <v>16</v>
      </c>
      <c r="P173" s="16">
        <v>24</v>
      </c>
      <c r="Q173" s="16">
        <v>40</v>
      </c>
      <c r="R173" s="16">
        <v>40</v>
      </c>
      <c r="S173" s="16">
        <v>40</v>
      </c>
      <c r="T173" s="16">
        <v>16</v>
      </c>
      <c r="U173" s="16">
        <v>24</v>
      </c>
      <c r="V173" s="16">
        <v>40</v>
      </c>
      <c r="W173" s="16">
        <v>40</v>
      </c>
      <c r="X173" s="16">
        <v>40</v>
      </c>
      <c r="Y173" s="16">
        <v>40</v>
      </c>
      <c r="Z173" s="16">
        <v>40</v>
      </c>
      <c r="AA173" s="16">
        <v>24</v>
      </c>
      <c r="AB173" s="16">
        <v>40</v>
      </c>
      <c r="AC173" s="16">
        <v>0</v>
      </c>
      <c r="AD173" s="16">
        <v>32</v>
      </c>
      <c r="AE173" s="16">
        <v>40</v>
      </c>
      <c r="AF173" s="16">
        <v>40</v>
      </c>
      <c r="AG173" s="16">
        <v>40</v>
      </c>
      <c r="AH173" s="16">
        <v>24</v>
      </c>
      <c r="AI173" s="16">
        <v>16</v>
      </c>
      <c r="AJ173" s="16">
        <v>40</v>
      </c>
      <c r="AK173" s="16">
        <v>40</v>
      </c>
      <c r="AL173" s="16">
        <v>40</v>
      </c>
      <c r="AM173" s="16">
        <v>32</v>
      </c>
      <c r="AN173" s="16">
        <v>40</v>
      </c>
      <c r="AO173" s="16">
        <v>40</v>
      </c>
      <c r="AP173" s="16">
        <v>40</v>
      </c>
      <c r="AQ173" s="16">
        <v>32</v>
      </c>
      <c r="AR173" s="16">
        <v>0</v>
      </c>
      <c r="AS173" s="16">
        <v>8</v>
      </c>
      <c r="AT173" s="16">
        <v>32</v>
      </c>
      <c r="AU173" s="16">
        <v>40</v>
      </c>
      <c r="AV173" s="16">
        <v>8</v>
      </c>
      <c r="AW173" s="16">
        <v>32</v>
      </c>
      <c r="AX173" s="16">
        <v>24</v>
      </c>
      <c r="AY173" s="16">
        <v>8</v>
      </c>
      <c r="AZ173" s="16">
        <v>40</v>
      </c>
      <c r="BA173" s="16">
        <v>40</v>
      </c>
      <c r="BB173" s="16">
        <v>40</v>
      </c>
      <c r="BC173" s="16">
        <v>40</v>
      </c>
      <c r="BD173" s="16">
        <v>40</v>
      </c>
      <c r="BE173" s="16">
        <v>0</v>
      </c>
      <c r="BF173" s="16">
        <v>0</v>
      </c>
      <c r="BG173" s="16">
        <v>0</v>
      </c>
      <c r="BH173" s="16">
        <v>0</v>
      </c>
      <c r="BI173" s="16">
        <v>0</v>
      </c>
      <c r="BJ173" s="16">
        <v>0</v>
      </c>
      <c r="BK173" s="16">
        <v>0</v>
      </c>
      <c r="BL173" s="16">
        <v>0</v>
      </c>
      <c r="BM173" s="16">
        <v>0</v>
      </c>
      <c r="BN173" s="16">
        <v>0</v>
      </c>
      <c r="BO173" s="16">
        <v>0</v>
      </c>
      <c r="BP173" s="16">
        <v>0</v>
      </c>
      <c r="BQ173" s="16">
        <v>0</v>
      </c>
      <c r="BR173" s="16">
        <v>0</v>
      </c>
      <c r="BS173" s="207">
        <f t="shared" si="79"/>
        <v>176</v>
      </c>
      <c r="BT173" s="207">
        <f t="shared" si="80"/>
        <v>160</v>
      </c>
      <c r="BU173" s="207">
        <f t="shared" si="81"/>
        <v>184</v>
      </c>
      <c r="BV173" s="207">
        <f t="shared" si="67"/>
        <v>104</v>
      </c>
      <c r="BW173" s="207">
        <f t="shared" si="82"/>
        <v>176</v>
      </c>
      <c r="BX173" s="207">
        <f t="shared" si="83"/>
        <v>168</v>
      </c>
      <c r="BY173" s="207">
        <f t="shared" si="84"/>
        <v>160</v>
      </c>
      <c r="BZ173" s="207">
        <f t="shared" si="85"/>
        <v>136</v>
      </c>
      <c r="CA173" s="207">
        <f t="shared" si="86"/>
        <v>168</v>
      </c>
      <c r="CB173" s="207">
        <f t="shared" si="87"/>
        <v>40</v>
      </c>
      <c r="CC173" s="207">
        <f t="shared" si="88"/>
        <v>0</v>
      </c>
      <c r="CD173" s="207">
        <f t="shared" si="89"/>
        <v>0</v>
      </c>
      <c r="CE173" s="207">
        <f t="shared" si="90"/>
        <v>1472</v>
      </c>
    </row>
    <row r="174" spans="1:83" ht="12" customHeight="1" x14ac:dyDescent="0.2">
      <c r="A174" s="6">
        <v>3</v>
      </c>
      <c r="B174" s="49" t="str">
        <f>C174&amp;H174</f>
        <v>Capactinta Bonifacio Luis ReynaldoMP006</v>
      </c>
      <c r="C174" s="117" t="str">
        <f>J174</f>
        <v>Capactinta Bonifacio Luis Reynaldo</v>
      </c>
      <c r="D174" s="49" t="str">
        <f>VLOOKUP(C174,Datos!$B$13:$C$83,2,0)</f>
        <v>VIGENTE</v>
      </c>
      <c r="E174" s="49" t="s">
        <v>84</v>
      </c>
      <c r="F174" s="49" t="str">
        <f>IFERROR(VLOOKUP(H174,Datos!$J$2:$L$60,3,0),"OBSERVACIONES")</f>
        <v>PROCESO</v>
      </c>
      <c r="G174" s="49"/>
      <c r="H174" s="49" t="s">
        <v>929</v>
      </c>
      <c r="I174" s="49" t="s">
        <v>876</v>
      </c>
      <c r="J174" s="118" t="s">
        <v>31</v>
      </c>
      <c r="K174" s="16">
        <v>0</v>
      </c>
      <c r="L174" s="16">
        <v>0</v>
      </c>
      <c r="M174" s="16">
        <v>0</v>
      </c>
      <c r="N174" s="16">
        <v>0</v>
      </c>
      <c r="O174" s="16">
        <v>0</v>
      </c>
      <c r="P174" s="16">
        <v>0</v>
      </c>
      <c r="Q174" s="16">
        <v>0</v>
      </c>
      <c r="R174" s="16">
        <v>0</v>
      </c>
      <c r="S174" s="16">
        <v>0</v>
      </c>
      <c r="T174" s="16">
        <v>0</v>
      </c>
      <c r="U174" s="16">
        <v>0</v>
      </c>
      <c r="V174" s="16">
        <v>0</v>
      </c>
      <c r="W174" s="16">
        <v>0</v>
      </c>
      <c r="X174" s="16">
        <v>0</v>
      </c>
      <c r="Y174" s="16">
        <v>0</v>
      </c>
      <c r="Z174" s="16">
        <v>0</v>
      </c>
      <c r="AA174" s="16">
        <v>0</v>
      </c>
      <c r="AB174" s="16">
        <v>0</v>
      </c>
      <c r="AC174" s="16">
        <v>0</v>
      </c>
      <c r="AD174" s="16">
        <v>0</v>
      </c>
      <c r="AE174" s="16">
        <v>0</v>
      </c>
      <c r="AF174" s="16">
        <v>0</v>
      </c>
      <c r="AG174" s="16">
        <v>0</v>
      </c>
      <c r="AH174" s="16">
        <v>0</v>
      </c>
      <c r="AI174" s="16">
        <v>0</v>
      </c>
      <c r="AJ174" s="16">
        <v>0</v>
      </c>
      <c r="AK174" s="16">
        <v>0</v>
      </c>
      <c r="AL174" s="16">
        <v>0</v>
      </c>
      <c r="AM174" s="16">
        <v>0</v>
      </c>
      <c r="AN174" s="16">
        <v>0</v>
      </c>
      <c r="AO174" s="16">
        <v>0</v>
      </c>
      <c r="AP174" s="16">
        <v>0</v>
      </c>
      <c r="AQ174" s="16">
        <v>0</v>
      </c>
      <c r="AR174" s="16">
        <v>0</v>
      </c>
      <c r="AS174" s="16">
        <v>0</v>
      </c>
      <c r="AT174" s="16">
        <v>0</v>
      </c>
      <c r="AU174" s="16">
        <v>0</v>
      </c>
      <c r="AV174" s="16">
        <v>40</v>
      </c>
      <c r="AW174" s="16">
        <v>32</v>
      </c>
      <c r="AX174" s="16">
        <v>24</v>
      </c>
      <c r="AY174" s="16">
        <v>8</v>
      </c>
      <c r="AZ174" s="16">
        <v>40</v>
      </c>
      <c r="BA174" s="16">
        <v>32</v>
      </c>
      <c r="BB174" s="16">
        <v>40</v>
      </c>
      <c r="BC174" s="16">
        <v>32</v>
      </c>
      <c r="BD174" s="16">
        <v>40</v>
      </c>
      <c r="BE174" s="16">
        <v>0</v>
      </c>
      <c r="BF174" s="16">
        <v>0</v>
      </c>
      <c r="BG174" s="16">
        <v>0</v>
      </c>
      <c r="BH174" s="16">
        <v>0</v>
      </c>
      <c r="BI174" s="16">
        <v>0</v>
      </c>
      <c r="BJ174" s="16">
        <v>0</v>
      </c>
      <c r="BK174" s="16">
        <v>0</v>
      </c>
      <c r="BL174" s="16">
        <v>0</v>
      </c>
      <c r="BM174" s="16">
        <v>0</v>
      </c>
      <c r="BN174" s="16">
        <v>0</v>
      </c>
      <c r="BO174" s="16">
        <v>0</v>
      </c>
      <c r="BP174" s="16">
        <v>0</v>
      </c>
      <c r="BQ174" s="16">
        <v>0</v>
      </c>
      <c r="BR174" s="16">
        <v>0</v>
      </c>
      <c r="BS174" s="207">
        <f t="shared" si="79"/>
        <v>0</v>
      </c>
      <c r="BT174" s="207">
        <f t="shared" si="80"/>
        <v>0</v>
      </c>
      <c r="BU174" s="207">
        <f t="shared" si="81"/>
        <v>0</v>
      </c>
      <c r="BV174" s="207">
        <f t="shared" si="67"/>
        <v>0</v>
      </c>
      <c r="BW174" s="207">
        <f t="shared" si="82"/>
        <v>0</v>
      </c>
      <c r="BX174" s="207">
        <f t="shared" si="83"/>
        <v>0</v>
      </c>
      <c r="BY174" s="207">
        <f t="shared" si="84"/>
        <v>0</v>
      </c>
      <c r="BZ174" s="207">
        <f t="shared" si="85"/>
        <v>96</v>
      </c>
      <c r="CA174" s="207">
        <f t="shared" si="86"/>
        <v>152</v>
      </c>
      <c r="CB174" s="207">
        <f t="shared" si="87"/>
        <v>40</v>
      </c>
      <c r="CC174" s="207">
        <f t="shared" si="88"/>
        <v>0</v>
      </c>
      <c r="CD174" s="207">
        <f t="shared" si="89"/>
        <v>0</v>
      </c>
      <c r="CE174" s="207">
        <f t="shared" si="90"/>
        <v>288</v>
      </c>
    </row>
    <row r="175" spans="1:83" ht="12" customHeight="1" x14ac:dyDescent="0.2">
      <c r="A175" s="6">
        <v>6</v>
      </c>
      <c r="B175" s="49" t="str">
        <f>C175&amp;H175</f>
        <v>Villanueva Melgarejo Andres Angel INASISTENCIAS JUSTIFICADAS</v>
      </c>
      <c r="C175" s="117" t="str">
        <f>J175</f>
        <v xml:space="preserve">Villanueva Melgarejo Andres Angel </v>
      </c>
      <c r="D175" s="49" t="str">
        <f>VLOOKUP(C175,Datos!$B$13:$C$83,2,0)</f>
        <v>VIGENTE</v>
      </c>
      <c r="E175" s="49" t="s">
        <v>855</v>
      </c>
      <c r="F175" s="49"/>
      <c r="G175" s="49" t="str">
        <f>IFERROR(VLOOKUP(H175,Datos!$J$2:$L$60,3,0),"OBSERVACIONES")</f>
        <v>OBSERVACIONES</v>
      </c>
      <c r="H175" s="49" t="s">
        <v>855</v>
      </c>
      <c r="I175" s="49" t="s">
        <v>856</v>
      </c>
      <c r="J175" s="118" t="s">
        <v>644</v>
      </c>
      <c r="K175" s="16">
        <v>0</v>
      </c>
      <c r="L175" s="16">
        <v>0</v>
      </c>
      <c r="M175" s="16">
        <v>0</v>
      </c>
      <c r="N175" s="16">
        <v>0</v>
      </c>
      <c r="O175" s="16">
        <v>0</v>
      </c>
      <c r="P175" s="16">
        <v>0</v>
      </c>
      <c r="Q175" s="16">
        <v>0</v>
      </c>
      <c r="R175" s="16">
        <v>0</v>
      </c>
      <c r="S175" s="16">
        <v>0</v>
      </c>
      <c r="T175" s="16">
        <v>0</v>
      </c>
      <c r="U175" s="16">
        <v>0</v>
      </c>
      <c r="V175" s="16">
        <v>0</v>
      </c>
      <c r="W175" s="16">
        <v>0</v>
      </c>
      <c r="X175" s="16">
        <v>0</v>
      </c>
      <c r="Y175" s="16">
        <v>0</v>
      </c>
      <c r="Z175" s="16">
        <v>0</v>
      </c>
      <c r="AA175" s="16">
        <v>0</v>
      </c>
      <c r="AB175" s="16">
        <v>0</v>
      </c>
      <c r="AC175" s="16">
        <v>0</v>
      </c>
      <c r="AD175" s="16">
        <v>0</v>
      </c>
      <c r="AE175" s="16">
        <v>0</v>
      </c>
      <c r="AF175" s="16">
        <v>0</v>
      </c>
      <c r="AG175" s="16">
        <v>0</v>
      </c>
      <c r="AH175" s="16">
        <v>0</v>
      </c>
      <c r="AI175" s="16">
        <v>0</v>
      </c>
      <c r="AJ175" s="16">
        <v>0</v>
      </c>
      <c r="AK175" s="16">
        <v>0</v>
      </c>
      <c r="AL175" s="16">
        <v>0</v>
      </c>
      <c r="AM175" s="16">
        <v>0</v>
      </c>
      <c r="AN175" s="16">
        <v>0</v>
      </c>
      <c r="AO175" s="16">
        <v>0</v>
      </c>
      <c r="AP175" s="16">
        <v>0</v>
      </c>
      <c r="AQ175" s="16">
        <v>0</v>
      </c>
      <c r="AR175" s="16">
        <v>0</v>
      </c>
      <c r="AS175" s="16">
        <v>0</v>
      </c>
      <c r="AT175" s="16">
        <v>0</v>
      </c>
      <c r="AU175" s="16">
        <v>0</v>
      </c>
      <c r="AV175" s="16">
        <v>0</v>
      </c>
      <c r="AW175" s="16">
        <v>40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0</v>
      </c>
      <c r="BD175" s="16">
        <v>0</v>
      </c>
      <c r="BE175" s="16">
        <v>0</v>
      </c>
      <c r="BF175" s="16">
        <v>0</v>
      </c>
      <c r="BG175" s="16">
        <v>0</v>
      </c>
      <c r="BH175" s="16">
        <v>0</v>
      </c>
      <c r="BI175" s="16">
        <v>0</v>
      </c>
      <c r="BJ175" s="16">
        <v>0</v>
      </c>
      <c r="BK175" s="16">
        <v>0</v>
      </c>
      <c r="BL175" s="16">
        <v>0</v>
      </c>
      <c r="BM175" s="16">
        <v>0</v>
      </c>
      <c r="BN175" s="16">
        <v>0</v>
      </c>
      <c r="BO175" s="16">
        <v>0</v>
      </c>
      <c r="BP175" s="16">
        <v>0</v>
      </c>
      <c r="BQ175" s="16">
        <v>0</v>
      </c>
      <c r="BR175" s="16">
        <v>0</v>
      </c>
      <c r="BS175" s="207">
        <f t="shared" si="79"/>
        <v>0</v>
      </c>
      <c r="BT175" s="207">
        <f t="shared" si="80"/>
        <v>0</v>
      </c>
      <c r="BU175" s="207">
        <f t="shared" si="81"/>
        <v>0</v>
      </c>
      <c r="BV175" s="207">
        <f t="shared" si="67"/>
        <v>0</v>
      </c>
      <c r="BW175" s="207">
        <f t="shared" si="82"/>
        <v>0</v>
      </c>
      <c r="BX175" s="207">
        <f t="shared" si="83"/>
        <v>0</v>
      </c>
      <c r="BY175" s="207">
        <f t="shared" si="84"/>
        <v>0</v>
      </c>
      <c r="BZ175" s="207">
        <f t="shared" si="85"/>
        <v>40</v>
      </c>
      <c r="CA175" s="207">
        <f t="shared" si="86"/>
        <v>0</v>
      </c>
      <c r="CB175" s="207">
        <f t="shared" si="87"/>
        <v>0</v>
      </c>
      <c r="CC175" s="207">
        <f t="shared" si="88"/>
        <v>0</v>
      </c>
      <c r="CD175" s="207">
        <f t="shared" si="89"/>
        <v>0</v>
      </c>
      <c r="CE175" s="207">
        <f t="shared" si="90"/>
        <v>40</v>
      </c>
    </row>
    <row r="176" spans="1:83" ht="12" customHeight="1" x14ac:dyDescent="0.2">
      <c r="A176" s="6">
        <v>3</v>
      </c>
      <c r="B176" s="49" t="str">
        <f t="shared" si="78"/>
        <v>Villanueva Melgarejo Andres Angel MP002</v>
      </c>
      <c r="C176" s="117" t="str">
        <f t="shared" si="77"/>
        <v xml:space="preserve">Villanueva Melgarejo Andres Angel </v>
      </c>
      <c r="D176" s="49" t="str">
        <f>VLOOKUP(C176,Datos!$B$13:$C$83,2,0)</f>
        <v>VIGENTE</v>
      </c>
      <c r="E176" s="49" t="s">
        <v>80</v>
      </c>
      <c r="F176" s="49" t="str">
        <f>IFERROR(VLOOKUP(H176,Datos!$J$2:$L$60,3,0),"OBSERVACIONES")</f>
        <v>PROCESO</v>
      </c>
      <c r="G176" s="49"/>
      <c r="H176" s="49" t="s">
        <v>81</v>
      </c>
      <c r="I176" s="49" t="s">
        <v>126</v>
      </c>
      <c r="J176" s="118" t="s">
        <v>644</v>
      </c>
      <c r="K176" s="16">
        <v>40</v>
      </c>
      <c r="L176" s="16">
        <v>40</v>
      </c>
      <c r="M176" s="16">
        <v>40</v>
      </c>
      <c r="N176" s="16">
        <v>40</v>
      </c>
      <c r="O176" s="16">
        <v>16</v>
      </c>
      <c r="P176" s="16">
        <v>24</v>
      </c>
      <c r="Q176" s="16">
        <v>40</v>
      </c>
      <c r="R176" s="16">
        <v>40</v>
      </c>
      <c r="S176" s="16">
        <v>40</v>
      </c>
      <c r="T176" s="16">
        <v>16</v>
      </c>
      <c r="U176" s="16">
        <v>24</v>
      </c>
      <c r="V176" s="16">
        <v>40</v>
      </c>
      <c r="W176" s="16">
        <v>40</v>
      </c>
      <c r="X176" s="16">
        <v>40</v>
      </c>
      <c r="Y176" s="16">
        <v>40</v>
      </c>
      <c r="Z176" s="16">
        <v>40</v>
      </c>
      <c r="AA176" s="16">
        <v>24</v>
      </c>
      <c r="AB176" s="16">
        <v>40</v>
      </c>
      <c r="AC176" s="16">
        <v>40</v>
      </c>
      <c r="AD176" s="16">
        <v>32</v>
      </c>
      <c r="AE176" s="16">
        <v>40</v>
      </c>
      <c r="AF176" s="16">
        <v>40</v>
      </c>
      <c r="AG176" s="16">
        <v>40</v>
      </c>
      <c r="AH176" s="16">
        <v>24</v>
      </c>
      <c r="AI176" s="16">
        <v>16</v>
      </c>
      <c r="AJ176" s="16">
        <v>40</v>
      </c>
      <c r="AK176" s="16">
        <v>40</v>
      </c>
      <c r="AL176" s="16">
        <v>40</v>
      </c>
      <c r="AM176" s="16">
        <v>32</v>
      </c>
      <c r="AN176" s="16">
        <v>40</v>
      </c>
      <c r="AO176" s="16">
        <v>40</v>
      </c>
      <c r="AP176" s="16">
        <v>40</v>
      </c>
      <c r="AQ176" s="16">
        <v>32</v>
      </c>
      <c r="AR176" s="16">
        <v>0</v>
      </c>
      <c r="AS176" s="16">
        <v>8</v>
      </c>
      <c r="AT176" s="16">
        <v>32</v>
      </c>
      <c r="AU176" s="16">
        <v>40</v>
      </c>
      <c r="AV176" s="16">
        <v>40</v>
      </c>
      <c r="AW176" s="16">
        <v>0</v>
      </c>
      <c r="AX176" s="16">
        <v>24</v>
      </c>
      <c r="AY176" s="16">
        <v>8</v>
      </c>
      <c r="AZ176" s="16">
        <v>40</v>
      </c>
      <c r="BA176" s="16">
        <v>40</v>
      </c>
      <c r="BB176" s="16">
        <v>40</v>
      </c>
      <c r="BC176" s="16">
        <v>40</v>
      </c>
      <c r="BD176" s="16">
        <v>40</v>
      </c>
      <c r="BE176" s="16">
        <v>0</v>
      </c>
      <c r="BF176" s="16">
        <v>0</v>
      </c>
      <c r="BG176" s="16">
        <v>0</v>
      </c>
      <c r="BH176" s="16">
        <v>0</v>
      </c>
      <c r="BI176" s="16">
        <v>0</v>
      </c>
      <c r="BJ176" s="16">
        <v>0</v>
      </c>
      <c r="BK176" s="16">
        <v>0</v>
      </c>
      <c r="BL176" s="16">
        <v>0</v>
      </c>
      <c r="BM176" s="16">
        <v>0</v>
      </c>
      <c r="BN176" s="16">
        <v>0</v>
      </c>
      <c r="BO176" s="16">
        <v>0</v>
      </c>
      <c r="BP176" s="16">
        <v>0</v>
      </c>
      <c r="BQ176" s="16">
        <v>0</v>
      </c>
      <c r="BR176" s="16">
        <v>0</v>
      </c>
      <c r="BS176" s="207">
        <f t="shared" si="79"/>
        <v>176</v>
      </c>
      <c r="BT176" s="207">
        <f t="shared" si="80"/>
        <v>160</v>
      </c>
      <c r="BU176" s="207">
        <f t="shared" si="81"/>
        <v>184</v>
      </c>
      <c r="BV176" s="207">
        <f t="shared" si="67"/>
        <v>144</v>
      </c>
      <c r="BW176" s="207">
        <f>SUM(AD176:AH176)</f>
        <v>176</v>
      </c>
      <c r="BX176" s="207">
        <f t="shared" si="83"/>
        <v>168</v>
      </c>
      <c r="BY176" s="207">
        <f t="shared" si="84"/>
        <v>160</v>
      </c>
      <c r="BZ176" s="207">
        <f t="shared" si="85"/>
        <v>136</v>
      </c>
      <c r="CA176" s="207">
        <f t="shared" si="86"/>
        <v>168</v>
      </c>
      <c r="CB176" s="207">
        <f t="shared" si="87"/>
        <v>40</v>
      </c>
      <c r="CC176" s="207">
        <f t="shared" si="88"/>
        <v>0</v>
      </c>
      <c r="CD176" s="207">
        <f t="shared" si="89"/>
        <v>0</v>
      </c>
      <c r="CE176" s="207">
        <f t="shared" si="90"/>
        <v>1512</v>
      </c>
    </row>
    <row r="177" spans="1:83" ht="12" customHeight="1" x14ac:dyDescent="0.2">
      <c r="A177" s="6">
        <v>4</v>
      </c>
      <c r="B177" s="49" t="str">
        <f t="shared" si="78"/>
        <v>Fernandez Sanchez Walter JoseVACACIONES</v>
      </c>
      <c r="C177" s="117" t="str">
        <f t="shared" si="77"/>
        <v>Fernandez Sanchez Walter Jose</v>
      </c>
      <c r="D177" s="49" t="str">
        <f>VLOOKUP(C177,Datos!$B$13:$C$83,2,0)</f>
        <v>CESADO</v>
      </c>
      <c r="E177" s="49" t="s">
        <v>209</v>
      </c>
      <c r="F177" s="49"/>
      <c r="G177" s="49" t="str">
        <f>IFERROR(VLOOKUP(H177,Datos!$J$2:$L$60,3,0),"OBSERVACIONES")</f>
        <v>OBSERVACIONES</v>
      </c>
      <c r="H177" s="49" t="s">
        <v>209</v>
      </c>
      <c r="I177" s="49" t="s">
        <v>243</v>
      </c>
      <c r="J177" s="118" t="s">
        <v>32</v>
      </c>
      <c r="K177" s="16">
        <v>40</v>
      </c>
      <c r="L177" s="16">
        <v>0</v>
      </c>
      <c r="M177" s="16">
        <v>0</v>
      </c>
      <c r="N177" s="16">
        <v>0</v>
      </c>
      <c r="O177" s="16">
        <v>0</v>
      </c>
      <c r="P177" s="16">
        <v>0</v>
      </c>
      <c r="Q177" s="16">
        <v>0</v>
      </c>
      <c r="R177" s="16">
        <v>0</v>
      </c>
      <c r="S177" s="16">
        <v>0</v>
      </c>
      <c r="T177" s="16">
        <v>0</v>
      </c>
      <c r="U177" s="16">
        <v>0</v>
      </c>
      <c r="V177" s="16">
        <v>0</v>
      </c>
      <c r="W177" s="16">
        <v>0</v>
      </c>
      <c r="X177" s="16">
        <v>0</v>
      </c>
      <c r="Y177" s="16">
        <v>0</v>
      </c>
      <c r="Z177" s="16">
        <v>0</v>
      </c>
      <c r="AA177" s="16">
        <v>0</v>
      </c>
      <c r="AB177" s="16">
        <v>0</v>
      </c>
      <c r="AC177" s="16">
        <v>0</v>
      </c>
      <c r="AD177" s="16">
        <v>0</v>
      </c>
      <c r="AE177" s="16">
        <v>0</v>
      </c>
      <c r="AF177" s="16">
        <v>0</v>
      </c>
      <c r="AG177" s="16">
        <v>0</v>
      </c>
      <c r="AH177" s="16">
        <v>0</v>
      </c>
      <c r="AI177" s="16">
        <v>0</v>
      </c>
      <c r="AJ177" s="16">
        <v>0</v>
      </c>
      <c r="AK177" s="16">
        <v>0</v>
      </c>
      <c r="AL177" s="16">
        <v>0</v>
      </c>
      <c r="AM177" s="16">
        <v>0</v>
      </c>
      <c r="AN177" s="16">
        <v>0</v>
      </c>
      <c r="AO177" s="16">
        <v>0</v>
      </c>
      <c r="AP177" s="16">
        <v>0</v>
      </c>
      <c r="AQ177" s="16">
        <v>0</v>
      </c>
      <c r="AR177" s="16">
        <v>0</v>
      </c>
      <c r="AS177" s="16">
        <v>0</v>
      </c>
      <c r="AT177" s="16">
        <v>0</v>
      </c>
      <c r="AU177" s="16">
        <v>0</v>
      </c>
      <c r="AV177" s="16">
        <v>0</v>
      </c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0</v>
      </c>
      <c r="BD177" s="16">
        <v>0</v>
      </c>
      <c r="BE177" s="16">
        <v>0</v>
      </c>
      <c r="BF177" s="16">
        <v>0</v>
      </c>
      <c r="BG177" s="16">
        <v>0</v>
      </c>
      <c r="BH177" s="16">
        <v>0</v>
      </c>
      <c r="BI177" s="16">
        <v>0</v>
      </c>
      <c r="BJ177" s="16">
        <v>0</v>
      </c>
      <c r="BK177" s="16">
        <v>0</v>
      </c>
      <c r="BL177" s="16">
        <v>0</v>
      </c>
      <c r="BM177" s="16">
        <v>0</v>
      </c>
      <c r="BN177" s="16">
        <v>0</v>
      </c>
      <c r="BO177" s="16">
        <v>0</v>
      </c>
      <c r="BP177" s="16">
        <v>0</v>
      </c>
      <c r="BQ177" s="16">
        <v>0</v>
      </c>
      <c r="BR177" s="16">
        <v>0</v>
      </c>
      <c r="BS177" s="207">
        <f t="shared" si="79"/>
        <v>40</v>
      </c>
      <c r="BT177" s="207">
        <f t="shared" si="80"/>
        <v>0</v>
      </c>
      <c r="BU177" s="207">
        <f t="shared" si="81"/>
        <v>0</v>
      </c>
      <c r="BV177" s="207">
        <f t="shared" si="67"/>
        <v>0</v>
      </c>
      <c r="BW177" s="207">
        <f t="shared" si="82"/>
        <v>0</v>
      </c>
      <c r="BX177" s="207">
        <f t="shared" si="83"/>
        <v>0</v>
      </c>
      <c r="BY177" s="207">
        <f t="shared" si="84"/>
        <v>0</v>
      </c>
      <c r="BZ177" s="207">
        <f t="shared" si="85"/>
        <v>0</v>
      </c>
      <c r="CA177" s="207">
        <f t="shared" si="86"/>
        <v>0</v>
      </c>
      <c r="CB177" s="207">
        <f t="shared" si="87"/>
        <v>0</v>
      </c>
      <c r="CC177" s="207">
        <f t="shared" si="88"/>
        <v>0</v>
      </c>
      <c r="CD177" s="207">
        <f t="shared" si="89"/>
        <v>0</v>
      </c>
      <c r="CE177" s="207">
        <f t="shared" si="90"/>
        <v>40</v>
      </c>
    </row>
    <row r="178" spans="1:83" ht="12" customHeight="1" x14ac:dyDescent="0.2">
      <c r="A178" s="6">
        <v>3</v>
      </c>
      <c r="B178" s="49" t="str">
        <f t="shared" si="78"/>
        <v>Fernandez Sanchez Walter JoseMP001</v>
      </c>
      <c r="C178" s="117" t="str">
        <f t="shared" si="77"/>
        <v>Fernandez Sanchez Walter Jose</v>
      </c>
      <c r="D178" s="49" t="str">
        <f>VLOOKUP(C178,Datos!$B$13:$C$83,2,0)</f>
        <v>CESADO</v>
      </c>
      <c r="E178" s="49" t="s">
        <v>86</v>
      </c>
      <c r="F178" s="49" t="str">
        <f>IFERROR(VLOOKUP(H178,Datos!$J$2:$L$60,3,0),"OBSERVACIONES")</f>
        <v>PROCESO</v>
      </c>
      <c r="G178" s="49"/>
      <c r="H178" s="49" t="s">
        <v>87</v>
      </c>
      <c r="I178" s="49" t="s">
        <v>125</v>
      </c>
      <c r="J178" s="118" t="s">
        <v>32</v>
      </c>
      <c r="K178" s="16">
        <v>0</v>
      </c>
      <c r="L178" s="16">
        <v>40</v>
      </c>
      <c r="M178" s="16">
        <v>40</v>
      </c>
      <c r="N178" s="16">
        <v>40</v>
      </c>
      <c r="O178" s="16">
        <v>16</v>
      </c>
      <c r="P178" s="16">
        <v>24</v>
      </c>
      <c r="Q178" s="16">
        <v>40</v>
      </c>
      <c r="R178" s="16">
        <v>40</v>
      </c>
      <c r="S178" s="16">
        <v>40</v>
      </c>
      <c r="T178" s="16">
        <v>16</v>
      </c>
      <c r="U178" s="16">
        <v>24</v>
      </c>
      <c r="V178" s="16">
        <v>40</v>
      </c>
      <c r="W178" s="16">
        <v>40</v>
      </c>
      <c r="X178" s="16">
        <v>40</v>
      </c>
      <c r="Y178" s="16">
        <v>40</v>
      </c>
      <c r="Z178" s="16">
        <v>40</v>
      </c>
      <c r="AA178" s="16">
        <v>24</v>
      </c>
      <c r="AB178" s="16">
        <v>40</v>
      </c>
      <c r="AC178" s="16">
        <v>40</v>
      </c>
      <c r="AD178" s="16">
        <v>32</v>
      </c>
      <c r="AE178" s="16">
        <v>0</v>
      </c>
      <c r="AF178" s="16">
        <v>0</v>
      </c>
      <c r="AG178" s="16">
        <v>0</v>
      </c>
      <c r="AH178" s="16">
        <v>0</v>
      </c>
      <c r="AI178" s="16">
        <v>0</v>
      </c>
      <c r="AJ178" s="16">
        <v>0</v>
      </c>
      <c r="AK178" s="16">
        <v>0</v>
      </c>
      <c r="AL178" s="16">
        <v>0</v>
      </c>
      <c r="AM178" s="16">
        <v>0</v>
      </c>
      <c r="AN178" s="16">
        <v>0</v>
      </c>
      <c r="AO178" s="16">
        <v>0</v>
      </c>
      <c r="AP178" s="16">
        <v>0</v>
      </c>
      <c r="AQ178" s="16">
        <v>0</v>
      </c>
      <c r="AR178" s="16">
        <v>0</v>
      </c>
      <c r="AS178" s="16">
        <v>0</v>
      </c>
      <c r="AT178" s="16">
        <v>0</v>
      </c>
      <c r="AU178" s="16">
        <v>0</v>
      </c>
      <c r="AV178" s="16">
        <v>0</v>
      </c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0</v>
      </c>
      <c r="BD178" s="16">
        <v>0</v>
      </c>
      <c r="BE178" s="16">
        <v>0</v>
      </c>
      <c r="BF178" s="16">
        <v>0</v>
      </c>
      <c r="BG178" s="16">
        <v>0</v>
      </c>
      <c r="BH178" s="16">
        <v>0</v>
      </c>
      <c r="BI178" s="16">
        <v>0</v>
      </c>
      <c r="BJ178" s="16">
        <v>0</v>
      </c>
      <c r="BK178" s="16">
        <v>0</v>
      </c>
      <c r="BL178" s="16">
        <v>0</v>
      </c>
      <c r="BM178" s="16">
        <v>0</v>
      </c>
      <c r="BN178" s="16">
        <v>0</v>
      </c>
      <c r="BO178" s="16">
        <v>0</v>
      </c>
      <c r="BP178" s="16">
        <v>0</v>
      </c>
      <c r="BQ178" s="16">
        <v>0</v>
      </c>
      <c r="BR178" s="16">
        <v>0</v>
      </c>
      <c r="BS178" s="207">
        <f t="shared" si="79"/>
        <v>136</v>
      </c>
      <c r="BT178" s="207">
        <f t="shared" si="80"/>
        <v>160</v>
      </c>
      <c r="BU178" s="207">
        <f t="shared" si="81"/>
        <v>184</v>
      </c>
      <c r="BV178" s="207">
        <f t="shared" si="67"/>
        <v>144</v>
      </c>
      <c r="BW178" s="207">
        <f t="shared" si="82"/>
        <v>32</v>
      </c>
      <c r="BX178" s="207">
        <f t="shared" si="83"/>
        <v>0</v>
      </c>
      <c r="BY178" s="207">
        <f t="shared" si="84"/>
        <v>0</v>
      </c>
      <c r="BZ178" s="207">
        <f t="shared" si="85"/>
        <v>0</v>
      </c>
      <c r="CA178" s="207">
        <f t="shared" si="86"/>
        <v>0</v>
      </c>
      <c r="CB178" s="207">
        <f t="shared" si="87"/>
        <v>0</v>
      </c>
      <c r="CC178" s="207">
        <f t="shared" si="88"/>
        <v>0</v>
      </c>
      <c r="CD178" s="207">
        <f t="shared" si="89"/>
        <v>0</v>
      </c>
      <c r="CE178" s="207">
        <f t="shared" si="90"/>
        <v>656</v>
      </c>
    </row>
    <row r="179" spans="1:83" ht="12" customHeight="1" x14ac:dyDescent="0.2">
      <c r="A179" s="6">
        <v>3</v>
      </c>
      <c r="B179" s="49" t="str">
        <f t="shared" si="78"/>
        <v>Capactinta Bonifacio Luis ReynaldoP0010</v>
      </c>
      <c r="C179" s="117" t="str">
        <f t="shared" si="77"/>
        <v>Capactinta Bonifacio Luis Reynaldo</v>
      </c>
      <c r="D179" s="49" t="str">
        <f>VLOOKUP(C179,Datos!$B$13:$C$83,2,0)</f>
        <v>VIGENTE</v>
      </c>
      <c r="E179" s="49" t="s">
        <v>84</v>
      </c>
      <c r="F179" s="49" t="str">
        <f>IFERROR(VLOOKUP(H179,Datos!$J$2:$L$60,3,0),"OBSERVACIONES")</f>
        <v>CERRADO</v>
      </c>
      <c r="G179" s="49"/>
      <c r="H179" s="49" t="s">
        <v>85</v>
      </c>
      <c r="I179" s="49" t="s">
        <v>123</v>
      </c>
      <c r="J179" s="118" t="s">
        <v>31</v>
      </c>
      <c r="K179" s="16">
        <v>40</v>
      </c>
      <c r="L179" s="16">
        <v>40</v>
      </c>
      <c r="M179" s="16">
        <v>40</v>
      </c>
      <c r="N179" s="16">
        <v>40</v>
      </c>
      <c r="O179" s="16">
        <v>16</v>
      </c>
      <c r="P179" s="16">
        <v>24</v>
      </c>
      <c r="Q179" s="16">
        <v>40</v>
      </c>
      <c r="R179" s="16">
        <v>40</v>
      </c>
      <c r="S179" s="16">
        <v>40</v>
      </c>
      <c r="T179" s="16">
        <v>16</v>
      </c>
      <c r="U179" s="16">
        <v>16</v>
      </c>
      <c r="V179" s="16">
        <v>0</v>
      </c>
      <c r="W179" s="16">
        <v>0</v>
      </c>
      <c r="X179" s="16">
        <v>0</v>
      </c>
      <c r="Y179" s="16">
        <v>0</v>
      </c>
      <c r="Z179" s="16">
        <v>40</v>
      </c>
      <c r="AA179" s="16">
        <v>24</v>
      </c>
      <c r="AB179" s="16">
        <v>40</v>
      </c>
      <c r="AC179" s="16">
        <v>40</v>
      </c>
      <c r="AD179" s="16">
        <v>32</v>
      </c>
      <c r="AE179" s="16">
        <v>32</v>
      </c>
      <c r="AF179" s="16">
        <v>32</v>
      </c>
      <c r="AG179" s="16">
        <v>40</v>
      </c>
      <c r="AH179" s="16">
        <v>24</v>
      </c>
      <c r="AI179" s="16">
        <v>16</v>
      </c>
      <c r="AJ179" s="16">
        <v>8</v>
      </c>
      <c r="AK179" s="16">
        <v>0</v>
      </c>
      <c r="AL179" s="16">
        <v>0</v>
      </c>
      <c r="AM179" s="16">
        <v>0</v>
      </c>
      <c r="AN179" s="16">
        <v>0</v>
      </c>
      <c r="AO179" s="16">
        <v>0</v>
      </c>
      <c r="AP179" s="16">
        <v>0</v>
      </c>
      <c r="AQ179" s="16">
        <v>0</v>
      </c>
      <c r="AR179" s="16">
        <v>0</v>
      </c>
      <c r="AS179" s="16">
        <v>0</v>
      </c>
      <c r="AT179" s="16">
        <v>0</v>
      </c>
      <c r="AU179" s="16">
        <v>0</v>
      </c>
      <c r="AV179" s="16">
        <v>0</v>
      </c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0</v>
      </c>
      <c r="BD179" s="16">
        <v>0</v>
      </c>
      <c r="BE179" s="16">
        <v>0</v>
      </c>
      <c r="BF179" s="16">
        <v>0</v>
      </c>
      <c r="BG179" s="16">
        <v>0</v>
      </c>
      <c r="BH179" s="16">
        <v>0</v>
      </c>
      <c r="BI179" s="16">
        <v>0</v>
      </c>
      <c r="BJ179" s="16">
        <v>0</v>
      </c>
      <c r="BK179" s="16">
        <v>0</v>
      </c>
      <c r="BL179" s="16">
        <v>0</v>
      </c>
      <c r="BM179" s="16">
        <v>0</v>
      </c>
      <c r="BN179" s="16">
        <v>0</v>
      </c>
      <c r="BO179" s="16">
        <v>0</v>
      </c>
      <c r="BP179" s="16">
        <v>0</v>
      </c>
      <c r="BQ179" s="16">
        <v>0</v>
      </c>
      <c r="BR179" s="16">
        <v>0</v>
      </c>
      <c r="BS179" s="207">
        <f t="shared" si="79"/>
        <v>176</v>
      </c>
      <c r="BT179" s="207">
        <f t="shared" si="80"/>
        <v>160</v>
      </c>
      <c r="BU179" s="207">
        <f t="shared" si="81"/>
        <v>16</v>
      </c>
      <c r="BV179" s="207">
        <f t="shared" si="67"/>
        <v>144</v>
      </c>
      <c r="BW179" s="207">
        <f t="shared" si="82"/>
        <v>160</v>
      </c>
      <c r="BX179" s="207">
        <f t="shared" si="83"/>
        <v>24</v>
      </c>
      <c r="BY179" s="207">
        <f t="shared" si="84"/>
        <v>0</v>
      </c>
      <c r="BZ179" s="207">
        <f t="shared" si="85"/>
        <v>0</v>
      </c>
      <c r="CA179" s="207">
        <f t="shared" si="86"/>
        <v>0</v>
      </c>
      <c r="CB179" s="207">
        <f t="shared" si="87"/>
        <v>0</v>
      </c>
      <c r="CC179" s="207">
        <f t="shared" si="88"/>
        <v>0</v>
      </c>
      <c r="CD179" s="207">
        <f t="shared" si="89"/>
        <v>0</v>
      </c>
      <c r="CE179" s="207">
        <f t="shared" si="90"/>
        <v>680</v>
      </c>
    </row>
    <row r="180" spans="1:83" ht="12" customHeight="1" x14ac:dyDescent="0.2">
      <c r="A180" s="6">
        <v>3</v>
      </c>
      <c r="B180" s="49" t="str">
        <f t="shared" si="78"/>
        <v>Rodas Alanya Victor EliezerMP003</v>
      </c>
      <c r="C180" s="117" t="str">
        <f>J180</f>
        <v>Rodas Alanya Victor Eliezer</v>
      </c>
      <c r="D180" s="49" t="str">
        <f>VLOOKUP(C180,Datos!$B$13:$C$83,2,0)</f>
        <v>CESADO</v>
      </c>
      <c r="E180" s="49" t="s">
        <v>82</v>
      </c>
      <c r="F180" s="49" t="str">
        <f>IFERROR(VLOOKUP(H180,Datos!$J$2:$L$60,3,0),"OBSERVCIONES")</f>
        <v>PROCESO</v>
      </c>
      <c r="G180" s="49"/>
      <c r="H180" s="49" t="s">
        <v>83</v>
      </c>
      <c r="I180" s="49" t="s">
        <v>126</v>
      </c>
      <c r="J180" s="118" t="s">
        <v>614</v>
      </c>
      <c r="K180" s="16">
        <v>0</v>
      </c>
      <c r="L180" s="16">
        <v>0</v>
      </c>
      <c r="M180" s="16">
        <v>0</v>
      </c>
      <c r="N180" s="16">
        <v>0</v>
      </c>
      <c r="O180" s="16">
        <v>0</v>
      </c>
      <c r="P180" s="16">
        <v>0</v>
      </c>
      <c r="Q180" s="16">
        <v>0</v>
      </c>
      <c r="R180" s="16">
        <v>0</v>
      </c>
      <c r="S180" s="16">
        <v>0</v>
      </c>
      <c r="T180" s="16">
        <v>0</v>
      </c>
      <c r="U180" s="16">
        <v>0</v>
      </c>
      <c r="V180" s="16">
        <v>0</v>
      </c>
      <c r="W180" s="16">
        <v>0</v>
      </c>
      <c r="X180" s="16">
        <v>0</v>
      </c>
      <c r="Y180" s="16">
        <v>0</v>
      </c>
      <c r="Z180" s="16">
        <v>0</v>
      </c>
      <c r="AA180" s="16">
        <v>0</v>
      </c>
      <c r="AB180" s="16">
        <v>0</v>
      </c>
      <c r="AC180" s="16">
        <v>0</v>
      </c>
      <c r="AD180" s="16">
        <v>0</v>
      </c>
      <c r="AE180" s="16">
        <v>0</v>
      </c>
      <c r="AF180" s="16">
        <v>0</v>
      </c>
      <c r="AG180" s="16">
        <v>0</v>
      </c>
      <c r="AH180" s="16">
        <v>0</v>
      </c>
      <c r="AI180" s="16">
        <v>0</v>
      </c>
      <c r="AJ180" s="16">
        <v>0</v>
      </c>
      <c r="AK180" s="16">
        <v>0</v>
      </c>
      <c r="AL180" s="16">
        <v>0</v>
      </c>
      <c r="AM180" s="16">
        <v>0</v>
      </c>
      <c r="AN180" s="16">
        <v>0</v>
      </c>
      <c r="AO180" s="16">
        <v>0</v>
      </c>
      <c r="AP180" s="16">
        <v>0</v>
      </c>
      <c r="AQ180" s="16">
        <v>0</v>
      </c>
      <c r="AR180" s="16">
        <v>0</v>
      </c>
      <c r="AS180" s="16">
        <v>0</v>
      </c>
      <c r="AT180" s="16">
        <v>0</v>
      </c>
      <c r="AU180" s="16">
        <v>24</v>
      </c>
      <c r="AV180" s="16">
        <v>0</v>
      </c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0</v>
      </c>
      <c r="BD180" s="16">
        <v>0</v>
      </c>
      <c r="BE180" s="16">
        <v>0</v>
      </c>
      <c r="BF180" s="16">
        <v>0</v>
      </c>
      <c r="BG180" s="16">
        <v>0</v>
      </c>
      <c r="BH180" s="16">
        <v>0</v>
      </c>
      <c r="BI180" s="16">
        <v>0</v>
      </c>
      <c r="BJ180" s="16">
        <v>0</v>
      </c>
      <c r="BK180" s="16">
        <v>0</v>
      </c>
      <c r="BL180" s="16">
        <v>0</v>
      </c>
      <c r="BM180" s="16">
        <v>0</v>
      </c>
      <c r="BN180" s="16">
        <v>0</v>
      </c>
      <c r="BO180" s="16">
        <v>0</v>
      </c>
      <c r="BP180" s="16">
        <v>0</v>
      </c>
      <c r="BQ180" s="16">
        <v>0</v>
      </c>
      <c r="BR180" s="16">
        <v>0</v>
      </c>
      <c r="BS180" s="207">
        <f t="shared" si="79"/>
        <v>0</v>
      </c>
      <c r="BT180" s="207">
        <f t="shared" si="80"/>
        <v>0</v>
      </c>
      <c r="BU180" s="207">
        <f t="shared" si="81"/>
        <v>0</v>
      </c>
      <c r="BV180" s="207">
        <f t="shared" si="67"/>
        <v>0</v>
      </c>
      <c r="BW180" s="207">
        <f t="shared" si="82"/>
        <v>0</v>
      </c>
      <c r="BX180" s="207">
        <f t="shared" si="83"/>
        <v>0</v>
      </c>
      <c r="BY180" s="207">
        <f t="shared" si="84"/>
        <v>0</v>
      </c>
      <c r="BZ180" s="207">
        <f t="shared" si="85"/>
        <v>24</v>
      </c>
      <c r="CA180" s="207">
        <f t="shared" si="86"/>
        <v>0</v>
      </c>
      <c r="CB180" s="207">
        <f t="shared" si="87"/>
        <v>0</v>
      </c>
      <c r="CC180" s="207">
        <f t="shared" si="88"/>
        <v>0</v>
      </c>
      <c r="CD180" s="207">
        <f t="shared" si="89"/>
        <v>0</v>
      </c>
      <c r="CE180" s="207">
        <f t="shared" si="90"/>
        <v>24</v>
      </c>
    </row>
    <row r="181" spans="1:83" ht="12" customHeight="1" x14ac:dyDescent="0.2">
      <c r="A181" s="6">
        <v>5</v>
      </c>
      <c r="B181" s="49" t="str">
        <f t="shared" si="78"/>
        <v>Capactinta Bonifacio Luis ReynaldoINASISTENCIAS</v>
      </c>
      <c r="C181" s="117" t="str">
        <f>J181</f>
        <v>Capactinta Bonifacio Luis Reynaldo</v>
      </c>
      <c r="D181" s="49" t="str">
        <f>VLOOKUP(C181,Datos!$B$13:$C$83,2,0)</f>
        <v>VIGENTE</v>
      </c>
      <c r="E181" s="50" t="s">
        <v>208</v>
      </c>
      <c r="F181" s="49"/>
      <c r="G181" s="49" t="str">
        <f>IFERROR(VLOOKUP(H181,Datos!$J$2:$L$60,3,0),"OBSERVACIONES")</f>
        <v>OBSERVACIONES</v>
      </c>
      <c r="H181" s="50" t="s">
        <v>208</v>
      </c>
      <c r="I181" s="49" t="s">
        <v>210</v>
      </c>
      <c r="J181" s="118" t="s">
        <v>31</v>
      </c>
      <c r="K181" s="16">
        <v>0</v>
      </c>
      <c r="L181" s="16">
        <v>0</v>
      </c>
      <c r="M181" s="16">
        <v>0</v>
      </c>
      <c r="N181" s="16">
        <v>0</v>
      </c>
      <c r="O181" s="16">
        <v>0</v>
      </c>
      <c r="P181" s="16">
        <v>0</v>
      </c>
      <c r="Q181" s="16">
        <v>0</v>
      </c>
      <c r="R181" s="16">
        <v>0</v>
      </c>
      <c r="S181" s="16">
        <v>0</v>
      </c>
      <c r="T181" s="16">
        <v>0</v>
      </c>
      <c r="U181" s="16">
        <v>0</v>
      </c>
      <c r="V181" s="16">
        <v>0</v>
      </c>
      <c r="W181" s="16">
        <v>0</v>
      </c>
      <c r="X181" s="16">
        <v>0</v>
      </c>
      <c r="Y181" s="16">
        <v>0</v>
      </c>
      <c r="Z181" s="16">
        <v>0</v>
      </c>
      <c r="AA181" s="16">
        <v>0</v>
      </c>
      <c r="AB181" s="16">
        <v>0</v>
      </c>
      <c r="AC181" s="16">
        <v>0</v>
      </c>
      <c r="AD181" s="16">
        <v>0</v>
      </c>
      <c r="AE181" s="16">
        <v>8</v>
      </c>
      <c r="AF181" s="16">
        <v>8</v>
      </c>
      <c r="AG181" s="16">
        <v>0</v>
      </c>
      <c r="AH181" s="16">
        <v>0</v>
      </c>
      <c r="AI181" s="16">
        <v>0</v>
      </c>
      <c r="AJ181" s="16">
        <v>0</v>
      </c>
      <c r="AK181" s="16">
        <v>0</v>
      </c>
      <c r="AL181" s="16">
        <v>0</v>
      </c>
      <c r="AM181" s="16">
        <v>0</v>
      </c>
      <c r="AN181" s="16">
        <v>0</v>
      </c>
      <c r="AO181" s="16">
        <v>0</v>
      </c>
      <c r="AP181" s="16">
        <v>0</v>
      </c>
      <c r="AQ181" s="16">
        <v>0</v>
      </c>
      <c r="AR181" s="16">
        <v>0</v>
      </c>
      <c r="AS181" s="16">
        <v>0</v>
      </c>
      <c r="AT181" s="16">
        <v>0</v>
      </c>
      <c r="AU181" s="16">
        <v>0</v>
      </c>
      <c r="AV181" s="16">
        <v>0</v>
      </c>
      <c r="AW181" s="16">
        <v>8</v>
      </c>
      <c r="AX181" s="16">
        <v>0</v>
      </c>
      <c r="AY181" s="16">
        <v>0</v>
      </c>
      <c r="AZ181" s="16">
        <v>0</v>
      </c>
      <c r="BA181" s="16">
        <v>8</v>
      </c>
      <c r="BB181" s="16">
        <v>0</v>
      </c>
      <c r="BC181" s="16">
        <v>8</v>
      </c>
      <c r="BD181" s="16">
        <v>0</v>
      </c>
      <c r="BE181" s="16">
        <v>0</v>
      </c>
      <c r="BF181" s="16">
        <v>0</v>
      </c>
      <c r="BG181" s="16">
        <v>0</v>
      </c>
      <c r="BH181" s="16">
        <v>0</v>
      </c>
      <c r="BI181" s="16">
        <v>0</v>
      </c>
      <c r="BJ181" s="16">
        <v>0</v>
      </c>
      <c r="BK181" s="16">
        <v>0</v>
      </c>
      <c r="BL181" s="16">
        <v>0</v>
      </c>
      <c r="BM181" s="16">
        <v>0</v>
      </c>
      <c r="BN181" s="16">
        <v>0</v>
      </c>
      <c r="BO181" s="16">
        <v>0</v>
      </c>
      <c r="BP181" s="16">
        <v>0</v>
      </c>
      <c r="BQ181" s="16">
        <v>0</v>
      </c>
      <c r="BR181" s="16">
        <v>0</v>
      </c>
      <c r="BS181" s="207">
        <f t="shared" si="79"/>
        <v>0</v>
      </c>
      <c r="BT181" s="207">
        <f t="shared" si="80"/>
        <v>0</v>
      </c>
      <c r="BU181" s="207">
        <f t="shared" si="81"/>
        <v>0</v>
      </c>
      <c r="BV181" s="207">
        <f t="shared" si="67"/>
        <v>0</v>
      </c>
      <c r="BW181" s="207">
        <f t="shared" si="82"/>
        <v>16</v>
      </c>
      <c r="BX181" s="207">
        <f t="shared" si="83"/>
        <v>0</v>
      </c>
      <c r="BY181" s="207">
        <f t="shared" si="84"/>
        <v>0</v>
      </c>
      <c r="BZ181" s="207">
        <f t="shared" si="85"/>
        <v>8</v>
      </c>
      <c r="CA181" s="207">
        <f t="shared" si="86"/>
        <v>16</v>
      </c>
      <c r="CB181" s="207">
        <f t="shared" si="87"/>
        <v>0</v>
      </c>
      <c r="CC181" s="207">
        <f t="shared" si="88"/>
        <v>0</v>
      </c>
      <c r="CD181" s="207">
        <f t="shared" si="89"/>
        <v>0</v>
      </c>
      <c r="CE181" s="207">
        <f t="shared" si="90"/>
        <v>40</v>
      </c>
    </row>
    <row r="182" spans="1:83" ht="12" customHeight="1" x14ac:dyDescent="0.2">
      <c r="A182" s="6">
        <v>4</v>
      </c>
      <c r="B182" s="49" t="str">
        <f t="shared" si="78"/>
        <v>Capactinta Bonifacio Luis ReynaldoVACACIONES</v>
      </c>
      <c r="C182" s="117" t="str">
        <f>J182</f>
        <v>Capactinta Bonifacio Luis Reynaldo</v>
      </c>
      <c r="D182" s="49" t="str">
        <f>VLOOKUP(C182,Datos!$B$13:$C$83,2,0)</f>
        <v>VIGENTE</v>
      </c>
      <c r="E182" s="50" t="s">
        <v>209</v>
      </c>
      <c r="F182" s="49"/>
      <c r="G182" s="49" t="str">
        <f>IFERROR(VLOOKUP(H182,Datos!$J$2:$L$60,3,0),"OBSERVACIONES")</f>
        <v>OBSERVACIONES</v>
      </c>
      <c r="H182" s="50" t="s">
        <v>209</v>
      </c>
      <c r="I182" s="49" t="s">
        <v>243</v>
      </c>
      <c r="J182" s="118" t="s">
        <v>31</v>
      </c>
      <c r="K182" s="16">
        <v>0</v>
      </c>
      <c r="L182" s="16">
        <v>0</v>
      </c>
      <c r="M182" s="16">
        <v>0</v>
      </c>
      <c r="N182" s="16">
        <v>0</v>
      </c>
      <c r="O182" s="16">
        <v>0</v>
      </c>
      <c r="P182" s="16">
        <v>0</v>
      </c>
      <c r="Q182" s="16">
        <v>0</v>
      </c>
      <c r="R182" s="16">
        <v>0</v>
      </c>
      <c r="S182" s="16">
        <v>0</v>
      </c>
      <c r="T182" s="16">
        <v>0</v>
      </c>
      <c r="U182" s="16">
        <v>8</v>
      </c>
      <c r="V182" s="16">
        <v>40</v>
      </c>
      <c r="W182" s="16">
        <v>40</v>
      </c>
      <c r="X182" s="16">
        <v>0</v>
      </c>
      <c r="Y182" s="16">
        <v>0</v>
      </c>
      <c r="Z182" s="16">
        <v>0</v>
      </c>
      <c r="AA182" s="16">
        <v>0</v>
      </c>
      <c r="AB182" s="16">
        <v>0</v>
      </c>
      <c r="AC182" s="16">
        <v>0</v>
      </c>
      <c r="AD182" s="16">
        <v>0</v>
      </c>
      <c r="AE182" s="16">
        <v>0</v>
      </c>
      <c r="AF182" s="16">
        <v>0</v>
      </c>
      <c r="AG182" s="16">
        <v>0</v>
      </c>
      <c r="AH182" s="16">
        <v>0</v>
      </c>
      <c r="AI182" s="16">
        <v>0</v>
      </c>
      <c r="AJ182" s="16">
        <v>0</v>
      </c>
      <c r="AK182" s="16">
        <v>0</v>
      </c>
      <c r="AL182" s="16">
        <v>0</v>
      </c>
      <c r="AM182" s="16">
        <v>0</v>
      </c>
      <c r="AN182" s="16">
        <v>0</v>
      </c>
      <c r="AO182" s="16">
        <v>0</v>
      </c>
      <c r="AP182" s="16">
        <v>0</v>
      </c>
      <c r="AQ182" s="16">
        <v>0</v>
      </c>
      <c r="AR182" s="16">
        <v>0</v>
      </c>
      <c r="AS182" s="16">
        <v>0</v>
      </c>
      <c r="AT182" s="16">
        <v>0</v>
      </c>
      <c r="AU182" s="16">
        <v>0</v>
      </c>
      <c r="AV182" s="16">
        <v>0</v>
      </c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0</v>
      </c>
      <c r="BD182" s="16">
        <v>0</v>
      </c>
      <c r="BE182" s="16">
        <v>0</v>
      </c>
      <c r="BF182" s="16">
        <v>0</v>
      </c>
      <c r="BG182" s="16">
        <v>0</v>
      </c>
      <c r="BH182" s="16">
        <v>0</v>
      </c>
      <c r="BI182" s="16">
        <v>0</v>
      </c>
      <c r="BJ182" s="16">
        <v>0</v>
      </c>
      <c r="BK182" s="16">
        <v>0</v>
      </c>
      <c r="BL182" s="16">
        <v>0</v>
      </c>
      <c r="BM182" s="16">
        <v>0</v>
      </c>
      <c r="BN182" s="16">
        <v>0</v>
      </c>
      <c r="BO182" s="16">
        <v>0</v>
      </c>
      <c r="BP182" s="16">
        <v>0</v>
      </c>
      <c r="BQ182" s="16">
        <v>0</v>
      </c>
      <c r="BR182" s="16">
        <v>0</v>
      </c>
      <c r="BS182" s="207">
        <f t="shared" si="79"/>
        <v>0</v>
      </c>
      <c r="BT182" s="207">
        <f t="shared" si="80"/>
        <v>0</v>
      </c>
      <c r="BU182" s="207">
        <f t="shared" si="81"/>
        <v>88</v>
      </c>
      <c r="BV182" s="207">
        <f t="shared" si="67"/>
        <v>0</v>
      </c>
      <c r="BW182" s="207">
        <f t="shared" si="82"/>
        <v>0</v>
      </c>
      <c r="BX182" s="207">
        <f t="shared" si="83"/>
        <v>0</v>
      </c>
      <c r="BY182" s="207">
        <f t="shared" si="84"/>
        <v>0</v>
      </c>
      <c r="BZ182" s="207">
        <f t="shared" si="85"/>
        <v>0</v>
      </c>
      <c r="CA182" s="207">
        <f t="shared" si="86"/>
        <v>0</v>
      </c>
      <c r="CB182" s="207">
        <f t="shared" si="87"/>
        <v>0</v>
      </c>
      <c r="CC182" s="207">
        <f t="shared" si="88"/>
        <v>0</v>
      </c>
      <c r="CD182" s="207">
        <f t="shared" si="89"/>
        <v>0</v>
      </c>
      <c r="CE182" s="207">
        <f t="shared" si="90"/>
        <v>88</v>
      </c>
    </row>
    <row r="183" spans="1:83" ht="12" customHeight="1" x14ac:dyDescent="0.2">
      <c r="A183" s="6">
        <v>1</v>
      </c>
      <c r="B183" s="49" t="str">
        <f t="shared" si="78"/>
        <v>Capactinta Bonifacio Luis ReynaldoNO FACT.</v>
      </c>
      <c r="C183" s="117" t="str">
        <f t="shared" si="77"/>
        <v>Capactinta Bonifacio Luis Reynaldo</v>
      </c>
      <c r="D183" s="49" t="str">
        <f>VLOOKUP(C183,Datos!$B$13:$C$83,2,0)</f>
        <v>VIGENTE</v>
      </c>
      <c r="E183" s="50" t="s">
        <v>75</v>
      </c>
      <c r="F183" s="49"/>
      <c r="G183" s="49" t="str">
        <f>IFERROR(VLOOKUP(H183,Datos!$J$2:$L$60,3,0),"OBSERVACIONES")</f>
        <v>OBSERVACIONES</v>
      </c>
      <c r="H183" s="50" t="s">
        <v>75</v>
      </c>
      <c r="I183" s="49" t="s">
        <v>131</v>
      </c>
      <c r="J183" s="118" t="s">
        <v>31</v>
      </c>
      <c r="K183" s="16">
        <v>0</v>
      </c>
      <c r="L183" s="16">
        <v>0</v>
      </c>
      <c r="M183" s="16">
        <v>0</v>
      </c>
      <c r="N183" s="16">
        <v>0</v>
      </c>
      <c r="O183" s="16">
        <v>0</v>
      </c>
      <c r="P183" s="16">
        <v>0</v>
      </c>
      <c r="Q183" s="16">
        <v>0</v>
      </c>
      <c r="R183" s="16">
        <v>0</v>
      </c>
      <c r="S183" s="16">
        <v>0</v>
      </c>
      <c r="T183" s="16">
        <v>0</v>
      </c>
      <c r="U183" s="16">
        <v>0</v>
      </c>
      <c r="V183" s="16">
        <v>0</v>
      </c>
      <c r="W183" s="16">
        <v>0</v>
      </c>
      <c r="X183" s="16">
        <v>40</v>
      </c>
      <c r="Y183" s="16">
        <v>40</v>
      </c>
      <c r="Z183" s="16">
        <v>0</v>
      </c>
      <c r="AA183" s="16">
        <v>0</v>
      </c>
      <c r="AB183" s="16">
        <v>0</v>
      </c>
      <c r="AC183" s="16">
        <v>0</v>
      </c>
      <c r="AD183" s="16">
        <v>0</v>
      </c>
      <c r="AE183" s="16">
        <v>0</v>
      </c>
      <c r="AF183" s="16">
        <v>0</v>
      </c>
      <c r="AG183" s="16">
        <v>0</v>
      </c>
      <c r="AH183" s="16">
        <v>0</v>
      </c>
      <c r="AI183" s="16">
        <v>0</v>
      </c>
      <c r="AJ183" s="16">
        <v>24</v>
      </c>
      <c r="AK183" s="16">
        <v>40</v>
      </c>
      <c r="AL183" s="16">
        <v>40</v>
      </c>
      <c r="AM183" s="16">
        <v>0</v>
      </c>
      <c r="AN183" s="16">
        <v>0</v>
      </c>
      <c r="AO183" s="16">
        <v>0</v>
      </c>
      <c r="AP183" s="16">
        <v>0</v>
      </c>
      <c r="AQ183" s="16">
        <v>0</v>
      </c>
      <c r="AR183" s="16">
        <v>0</v>
      </c>
      <c r="AS183" s="16">
        <v>0</v>
      </c>
      <c r="AT183" s="16">
        <v>0</v>
      </c>
      <c r="AU183" s="16">
        <v>0</v>
      </c>
      <c r="AV183" s="16">
        <v>0</v>
      </c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0</v>
      </c>
      <c r="BD183" s="16">
        <v>0</v>
      </c>
      <c r="BE183" s="16">
        <v>0</v>
      </c>
      <c r="BF183" s="16">
        <v>0</v>
      </c>
      <c r="BG183" s="16">
        <v>0</v>
      </c>
      <c r="BH183" s="16">
        <v>0</v>
      </c>
      <c r="BI183" s="16">
        <v>0</v>
      </c>
      <c r="BJ183" s="16">
        <v>0</v>
      </c>
      <c r="BK183" s="16">
        <v>0</v>
      </c>
      <c r="BL183" s="16">
        <v>0</v>
      </c>
      <c r="BM183" s="16">
        <v>0</v>
      </c>
      <c r="BN183" s="16">
        <v>0</v>
      </c>
      <c r="BO183" s="16">
        <v>0</v>
      </c>
      <c r="BP183" s="16">
        <v>0</v>
      </c>
      <c r="BQ183" s="16">
        <v>0</v>
      </c>
      <c r="BR183" s="16">
        <v>0</v>
      </c>
      <c r="BS183" s="207">
        <f t="shared" si="79"/>
        <v>0</v>
      </c>
      <c r="BT183" s="207">
        <f t="shared" si="80"/>
        <v>0</v>
      </c>
      <c r="BU183" s="207">
        <f t="shared" si="81"/>
        <v>80</v>
      </c>
      <c r="BV183" s="207">
        <f t="shared" si="67"/>
        <v>0</v>
      </c>
      <c r="BW183" s="207">
        <f t="shared" si="82"/>
        <v>0</v>
      </c>
      <c r="BX183" s="207">
        <f t="shared" si="83"/>
        <v>104</v>
      </c>
      <c r="BY183" s="207">
        <f t="shared" si="84"/>
        <v>0</v>
      </c>
      <c r="BZ183" s="207">
        <f t="shared" si="85"/>
        <v>0</v>
      </c>
      <c r="CA183" s="207">
        <f t="shared" si="86"/>
        <v>0</v>
      </c>
      <c r="CB183" s="207">
        <f t="shared" si="87"/>
        <v>0</v>
      </c>
      <c r="CC183" s="207">
        <f t="shared" si="88"/>
        <v>0</v>
      </c>
      <c r="CD183" s="207">
        <f t="shared" si="89"/>
        <v>0</v>
      </c>
      <c r="CE183" s="207">
        <f t="shared" si="90"/>
        <v>184</v>
      </c>
    </row>
    <row r="184" spans="1:83" ht="12" customHeight="1" x14ac:dyDescent="0.2">
      <c r="A184" s="6">
        <v>3</v>
      </c>
      <c r="B184" s="49" t="str">
        <f t="shared" si="78"/>
        <v>Barbaran Broncales EmanuelP0013</v>
      </c>
      <c r="C184" s="117" t="str">
        <f t="shared" si="77"/>
        <v>Barbaran Broncales Emanuel</v>
      </c>
      <c r="D184" s="49" t="str">
        <f>VLOOKUP(C184,Datos!$B$13:$C$83,2,0)</f>
        <v>VIGENTE</v>
      </c>
      <c r="E184" s="50" t="s">
        <v>45</v>
      </c>
      <c r="F184" s="49" t="str">
        <f>IFERROR(VLOOKUP(H184,Datos!$J$2:$L$60,3,0),"ADICIONALES")</f>
        <v>CERRADO</v>
      </c>
      <c r="G184" s="49"/>
      <c r="H184" s="50" t="s">
        <v>51</v>
      </c>
      <c r="I184" s="49" t="s">
        <v>122</v>
      </c>
      <c r="J184" s="118" t="s">
        <v>29</v>
      </c>
      <c r="K184" s="16">
        <v>0</v>
      </c>
      <c r="L184" s="16">
        <v>0</v>
      </c>
      <c r="M184" s="16">
        <v>0</v>
      </c>
      <c r="N184" s="16">
        <v>0</v>
      </c>
      <c r="O184" s="16">
        <v>0</v>
      </c>
      <c r="P184" s="16">
        <v>0</v>
      </c>
      <c r="Q184" s="16">
        <v>0</v>
      </c>
      <c r="R184" s="16">
        <v>0</v>
      </c>
      <c r="S184" s="16">
        <v>0</v>
      </c>
      <c r="T184" s="16">
        <v>0</v>
      </c>
      <c r="U184" s="16">
        <v>0</v>
      </c>
      <c r="V184" s="16">
        <v>0</v>
      </c>
      <c r="W184" s="16">
        <v>0</v>
      </c>
      <c r="X184" s="16">
        <v>0</v>
      </c>
      <c r="Y184" s="16">
        <v>0</v>
      </c>
      <c r="Z184" s="16">
        <v>0</v>
      </c>
      <c r="AA184" s="16">
        <v>0</v>
      </c>
      <c r="AB184" s="16">
        <v>0</v>
      </c>
      <c r="AC184" s="16">
        <v>32</v>
      </c>
      <c r="AD184" s="16">
        <v>32</v>
      </c>
      <c r="AE184" s="16">
        <v>40</v>
      </c>
      <c r="AF184" s="16">
        <v>40</v>
      </c>
      <c r="AG184" s="16">
        <v>40</v>
      </c>
      <c r="AH184" s="16">
        <v>24</v>
      </c>
      <c r="AI184" s="16">
        <v>16</v>
      </c>
      <c r="AJ184" s="16">
        <v>40</v>
      </c>
      <c r="AK184" s="16">
        <v>40</v>
      </c>
      <c r="AL184" s="16">
        <v>40</v>
      </c>
      <c r="AM184" s="16">
        <v>32</v>
      </c>
      <c r="AN184" s="16">
        <v>0</v>
      </c>
      <c r="AO184" s="16">
        <v>0</v>
      </c>
      <c r="AP184" s="16">
        <v>0</v>
      </c>
      <c r="AQ184" s="16">
        <v>0</v>
      </c>
      <c r="AR184" s="16">
        <v>0</v>
      </c>
      <c r="AS184" s="16">
        <v>0</v>
      </c>
      <c r="AT184" s="16">
        <v>0</v>
      </c>
      <c r="AU184" s="16">
        <v>0</v>
      </c>
      <c r="AV184" s="16">
        <v>0</v>
      </c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0</v>
      </c>
      <c r="BD184" s="16">
        <v>0</v>
      </c>
      <c r="BE184" s="16">
        <v>0</v>
      </c>
      <c r="BF184" s="16">
        <v>0</v>
      </c>
      <c r="BG184" s="16">
        <v>0</v>
      </c>
      <c r="BH184" s="16">
        <v>0</v>
      </c>
      <c r="BI184" s="16">
        <v>0</v>
      </c>
      <c r="BJ184" s="16">
        <v>0</v>
      </c>
      <c r="BK184" s="16">
        <v>0</v>
      </c>
      <c r="BL184" s="16">
        <v>0</v>
      </c>
      <c r="BM184" s="16">
        <v>0</v>
      </c>
      <c r="BN184" s="16">
        <v>0</v>
      </c>
      <c r="BO184" s="16">
        <v>0</v>
      </c>
      <c r="BP184" s="16">
        <v>0</v>
      </c>
      <c r="BQ184" s="16">
        <v>0</v>
      </c>
      <c r="BR184" s="16">
        <v>0</v>
      </c>
      <c r="BS184" s="207">
        <f t="shared" ref="BS184:BS242" si="93">SUM(K184:O184)</f>
        <v>0</v>
      </c>
      <c r="BT184" s="207">
        <f t="shared" ref="BT184:BT242" si="94">SUM(P184:T184)</f>
        <v>0</v>
      </c>
      <c r="BU184" s="207">
        <f t="shared" ref="BU184:BU242" si="95">SUM(U184:Y184)</f>
        <v>0</v>
      </c>
      <c r="BV184" s="207">
        <f t="shared" si="67"/>
        <v>32</v>
      </c>
      <c r="BW184" s="207">
        <f t="shared" ref="BW184:BW236" si="96">SUM(AD184:AH184)</f>
        <v>176</v>
      </c>
      <c r="BX184" s="207">
        <f t="shared" ref="BX184:BY242" si="97">SUM(AI184:AM184)</f>
        <v>168</v>
      </c>
      <c r="BY184" s="207">
        <f t="shared" ref="BY184:BY242" si="98">SUM(AN184:AS184)</f>
        <v>0</v>
      </c>
      <c r="BZ184" s="207">
        <f t="shared" ref="BY184:BZ242" si="99">SUM(AT184:AX184)</f>
        <v>0</v>
      </c>
      <c r="CA184" s="207">
        <f t="shared" ref="CA184:CA242" si="100">SUM(AY184:BC184)</f>
        <v>0</v>
      </c>
      <c r="CB184" s="207">
        <f t="shared" ref="CB184:CB242" si="101">SUM(BD184:BH184)</f>
        <v>0</v>
      </c>
      <c r="CC184" s="207">
        <f t="shared" ref="CC184:CC242" si="102">SUM(BI184:BM184)</f>
        <v>0</v>
      </c>
      <c r="CD184" s="207">
        <f t="shared" ref="CD184:CD242" si="103">SUM(BN184:BR184)</f>
        <v>0</v>
      </c>
      <c r="CE184" s="207">
        <f t="shared" ref="CE184:CE242" si="104">SUM(BS184:CD184)</f>
        <v>376</v>
      </c>
    </row>
    <row r="185" spans="1:83" ht="12" customHeight="1" x14ac:dyDescent="0.2">
      <c r="A185" s="6">
        <v>3</v>
      </c>
      <c r="B185" s="49" t="str">
        <f t="shared" si="78"/>
        <v>Barbaran Broncales EmanuelMP004</v>
      </c>
      <c r="C185" s="117" t="str">
        <f>J185</f>
        <v>Barbaran Broncales Emanuel</v>
      </c>
      <c r="D185" s="49" t="str">
        <f>VLOOKUP(C185,Datos!$B$13:$C$83,2,0)</f>
        <v>VIGENTE</v>
      </c>
      <c r="E185" s="50" t="s">
        <v>44</v>
      </c>
      <c r="F185" s="49" t="str">
        <f>IFERROR(VLOOKUP(H185,Datos!$J$2:$L$60,3,0),"ADICIONALES")</f>
        <v>PROCESO</v>
      </c>
      <c r="G185" s="49"/>
      <c r="H185" s="50" t="s">
        <v>42</v>
      </c>
      <c r="I185" s="49" t="s">
        <v>304</v>
      </c>
      <c r="J185" s="118" t="s">
        <v>29</v>
      </c>
      <c r="K185" s="16">
        <v>40</v>
      </c>
      <c r="L185" s="16">
        <v>40</v>
      </c>
      <c r="M185" s="16">
        <v>40</v>
      </c>
      <c r="N185" s="16">
        <v>40</v>
      </c>
      <c r="O185" s="16">
        <v>16</v>
      </c>
      <c r="P185" s="16">
        <v>24</v>
      </c>
      <c r="Q185" s="16">
        <v>40</v>
      </c>
      <c r="R185" s="16">
        <v>40</v>
      </c>
      <c r="S185" s="16">
        <v>40</v>
      </c>
      <c r="T185" s="16">
        <v>16</v>
      </c>
      <c r="U185" s="16">
        <v>24</v>
      </c>
      <c r="V185" s="16">
        <v>40</v>
      </c>
      <c r="W185" s="16">
        <v>40</v>
      </c>
      <c r="X185" s="16">
        <v>40</v>
      </c>
      <c r="Y185" s="16">
        <v>40</v>
      </c>
      <c r="Z185" s="16">
        <v>16</v>
      </c>
      <c r="AA185" s="16">
        <v>0</v>
      </c>
      <c r="AB185" s="16">
        <v>0</v>
      </c>
      <c r="AC185" s="16">
        <v>0</v>
      </c>
      <c r="AD185" s="16">
        <v>0</v>
      </c>
      <c r="AE185" s="16">
        <v>0</v>
      </c>
      <c r="AF185" s="16">
        <v>0</v>
      </c>
      <c r="AG185" s="16">
        <v>0</v>
      </c>
      <c r="AH185" s="16">
        <v>0</v>
      </c>
      <c r="AI185" s="16">
        <v>0</v>
      </c>
      <c r="AJ185" s="16">
        <v>0</v>
      </c>
      <c r="AK185" s="16">
        <v>0</v>
      </c>
      <c r="AL185" s="16">
        <v>0</v>
      </c>
      <c r="AM185" s="16">
        <v>0</v>
      </c>
      <c r="AN185" s="16">
        <v>0</v>
      </c>
      <c r="AO185" s="16">
        <v>0</v>
      </c>
      <c r="AP185" s="16">
        <v>0</v>
      </c>
      <c r="AQ185" s="16">
        <v>0</v>
      </c>
      <c r="AR185" s="16">
        <v>0</v>
      </c>
      <c r="AS185" s="16">
        <v>0</v>
      </c>
      <c r="AT185" s="16">
        <v>0</v>
      </c>
      <c r="AU185" s="16">
        <v>0</v>
      </c>
      <c r="AV185" s="16">
        <v>0</v>
      </c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0</v>
      </c>
      <c r="BD185" s="16">
        <v>0</v>
      </c>
      <c r="BE185" s="16">
        <v>0</v>
      </c>
      <c r="BF185" s="16">
        <v>0</v>
      </c>
      <c r="BG185" s="16">
        <v>0</v>
      </c>
      <c r="BH185" s="16">
        <v>0</v>
      </c>
      <c r="BI185" s="16">
        <v>0</v>
      </c>
      <c r="BJ185" s="16">
        <v>0</v>
      </c>
      <c r="BK185" s="16">
        <v>0</v>
      </c>
      <c r="BL185" s="16">
        <v>0</v>
      </c>
      <c r="BM185" s="16">
        <v>0</v>
      </c>
      <c r="BN185" s="16">
        <v>0</v>
      </c>
      <c r="BO185" s="16">
        <v>0</v>
      </c>
      <c r="BP185" s="16">
        <v>0</v>
      </c>
      <c r="BQ185" s="16">
        <v>0</v>
      </c>
      <c r="BR185" s="16">
        <v>0</v>
      </c>
      <c r="BS185" s="207">
        <f t="shared" si="93"/>
        <v>176</v>
      </c>
      <c r="BT185" s="207">
        <f t="shared" si="94"/>
        <v>160</v>
      </c>
      <c r="BU185" s="207">
        <f t="shared" si="95"/>
        <v>184</v>
      </c>
      <c r="BV185" s="207">
        <f t="shared" si="67"/>
        <v>16</v>
      </c>
      <c r="BW185" s="207">
        <f t="shared" si="96"/>
        <v>0</v>
      </c>
      <c r="BX185" s="207">
        <f t="shared" si="97"/>
        <v>0</v>
      </c>
      <c r="BY185" s="207">
        <f t="shared" si="98"/>
        <v>0</v>
      </c>
      <c r="BZ185" s="207">
        <f t="shared" si="99"/>
        <v>0</v>
      </c>
      <c r="CA185" s="207">
        <f t="shared" si="100"/>
        <v>0</v>
      </c>
      <c r="CB185" s="207">
        <f t="shared" si="101"/>
        <v>0</v>
      </c>
      <c r="CC185" s="207">
        <f t="shared" si="102"/>
        <v>0</v>
      </c>
      <c r="CD185" s="207">
        <f t="shared" si="103"/>
        <v>0</v>
      </c>
      <c r="CE185" s="207">
        <f t="shared" si="104"/>
        <v>536</v>
      </c>
    </row>
    <row r="186" spans="1:83" ht="12" customHeight="1" x14ac:dyDescent="0.2">
      <c r="A186" s="6">
        <v>1</v>
      </c>
      <c r="B186" s="49" t="str">
        <f t="shared" si="78"/>
        <v>Barbaran Broncales EmanuelNO FACT.</v>
      </c>
      <c r="C186" s="117" t="str">
        <f t="shared" si="77"/>
        <v>Barbaran Broncales Emanuel</v>
      </c>
      <c r="D186" s="49" t="str">
        <f>VLOOKUP(C186,Datos!$B$13:$C$83,2,0)</f>
        <v>VIGENTE</v>
      </c>
      <c r="E186" s="50" t="s">
        <v>75</v>
      </c>
      <c r="F186" s="49"/>
      <c r="G186" s="49" t="str">
        <f>IFERROR(VLOOKUP(H186,Datos!$J$2:$L$60,3,0),"OBSERVACIONES")</f>
        <v>OBSERVACIONES</v>
      </c>
      <c r="H186" s="50" t="s">
        <v>75</v>
      </c>
      <c r="I186" s="49" t="s">
        <v>131</v>
      </c>
      <c r="J186" s="118" t="s">
        <v>29</v>
      </c>
      <c r="K186" s="16">
        <v>0</v>
      </c>
      <c r="L186" s="16">
        <v>0</v>
      </c>
      <c r="M186" s="16">
        <v>0</v>
      </c>
      <c r="N186" s="16">
        <v>0</v>
      </c>
      <c r="O186" s="16">
        <v>0</v>
      </c>
      <c r="P186" s="16">
        <v>0</v>
      </c>
      <c r="Q186" s="16">
        <v>0</v>
      </c>
      <c r="R186" s="16">
        <v>0</v>
      </c>
      <c r="S186" s="16">
        <v>0</v>
      </c>
      <c r="T186" s="16">
        <v>0</v>
      </c>
      <c r="U186" s="16">
        <v>0</v>
      </c>
      <c r="V186" s="16">
        <v>0</v>
      </c>
      <c r="W186" s="16">
        <v>0</v>
      </c>
      <c r="X186" s="16">
        <v>0</v>
      </c>
      <c r="Y186" s="16">
        <v>0</v>
      </c>
      <c r="Z186" s="16">
        <v>24</v>
      </c>
      <c r="AA186" s="16">
        <v>24</v>
      </c>
      <c r="AB186" s="16">
        <v>40</v>
      </c>
      <c r="AC186" s="16">
        <v>8</v>
      </c>
      <c r="AD186" s="16">
        <v>0</v>
      </c>
      <c r="AE186" s="16">
        <v>0</v>
      </c>
      <c r="AF186" s="16">
        <v>0</v>
      </c>
      <c r="AG186" s="16">
        <v>0</v>
      </c>
      <c r="AH186" s="16">
        <v>0</v>
      </c>
      <c r="AI186" s="16">
        <v>0</v>
      </c>
      <c r="AJ186" s="16">
        <v>0</v>
      </c>
      <c r="AK186" s="16">
        <v>0</v>
      </c>
      <c r="AL186" s="16">
        <v>0</v>
      </c>
      <c r="AM186" s="16">
        <v>0</v>
      </c>
      <c r="AN186" s="16">
        <v>40</v>
      </c>
      <c r="AO186" s="16">
        <v>40</v>
      </c>
      <c r="AP186" s="16">
        <v>40</v>
      </c>
      <c r="AQ186" s="16">
        <v>0</v>
      </c>
      <c r="AR186" s="16">
        <v>0</v>
      </c>
      <c r="AS186" s="16">
        <v>0</v>
      </c>
      <c r="AT186" s="16">
        <v>0</v>
      </c>
      <c r="AU186" s="16">
        <v>0</v>
      </c>
      <c r="AV186" s="16">
        <v>0</v>
      </c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0</v>
      </c>
      <c r="BD186" s="16">
        <v>0</v>
      </c>
      <c r="BE186" s="16">
        <v>0</v>
      </c>
      <c r="BF186" s="16">
        <v>0</v>
      </c>
      <c r="BG186" s="16">
        <v>0</v>
      </c>
      <c r="BH186" s="16">
        <v>0</v>
      </c>
      <c r="BI186" s="16">
        <v>0</v>
      </c>
      <c r="BJ186" s="16">
        <v>0</v>
      </c>
      <c r="BK186" s="16">
        <v>0</v>
      </c>
      <c r="BL186" s="16">
        <v>0</v>
      </c>
      <c r="BM186" s="16">
        <v>0</v>
      </c>
      <c r="BN186" s="16">
        <v>0</v>
      </c>
      <c r="BO186" s="16">
        <v>0</v>
      </c>
      <c r="BP186" s="16">
        <v>0</v>
      </c>
      <c r="BQ186" s="16">
        <v>0</v>
      </c>
      <c r="BR186" s="16">
        <v>0</v>
      </c>
      <c r="BS186" s="207">
        <f t="shared" si="93"/>
        <v>0</v>
      </c>
      <c r="BT186" s="207">
        <f t="shared" si="94"/>
        <v>0</v>
      </c>
      <c r="BU186" s="207">
        <f t="shared" si="95"/>
        <v>0</v>
      </c>
      <c r="BV186" s="207">
        <f t="shared" si="67"/>
        <v>96</v>
      </c>
      <c r="BW186" s="207">
        <f t="shared" si="96"/>
        <v>0</v>
      </c>
      <c r="BX186" s="207">
        <f t="shared" si="97"/>
        <v>0</v>
      </c>
      <c r="BY186" s="207">
        <f t="shared" si="98"/>
        <v>120</v>
      </c>
      <c r="BZ186" s="207">
        <f t="shared" si="99"/>
        <v>0</v>
      </c>
      <c r="CA186" s="207">
        <f t="shared" si="100"/>
        <v>0</v>
      </c>
      <c r="CB186" s="207">
        <f t="shared" si="101"/>
        <v>0</v>
      </c>
      <c r="CC186" s="207">
        <f t="shared" si="102"/>
        <v>0</v>
      </c>
      <c r="CD186" s="207">
        <f t="shared" si="103"/>
        <v>0</v>
      </c>
      <c r="CE186" s="207">
        <f t="shared" si="104"/>
        <v>216</v>
      </c>
    </row>
    <row r="187" spans="1:83" ht="12" customHeight="1" x14ac:dyDescent="0.2">
      <c r="A187" s="6">
        <v>1</v>
      </c>
      <c r="B187" s="49" t="str">
        <f t="shared" si="78"/>
        <v>Huanes Bautista Cesar AlfredoNO FACT.</v>
      </c>
      <c r="C187" s="117" t="str">
        <f t="shared" si="77"/>
        <v>Huanes Bautista Cesar Alfredo</v>
      </c>
      <c r="D187" s="49" t="str">
        <f>VLOOKUP(C187,Datos!$B$13:$C$83,2,0)</f>
        <v>CESADO</v>
      </c>
      <c r="E187" s="50" t="s">
        <v>75</v>
      </c>
      <c r="F187" s="49"/>
      <c r="G187" s="49" t="str">
        <f>IFERROR(VLOOKUP(H187,Datos!$J$2:$L$60,3,0),"OBSERVACIONES")</f>
        <v>OBSERVACIONES</v>
      </c>
      <c r="H187" s="50" t="s">
        <v>75</v>
      </c>
      <c r="I187" s="49" t="s">
        <v>131</v>
      </c>
      <c r="J187" s="119" t="s">
        <v>428</v>
      </c>
      <c r="K187" s="16">
        <v>0</v>
      </c>
      <c r="L187" s="16">
        <v>0</v>
      </c>
      <c r="M187" s="16">
        <v>0</v>
      </c>
      <c r="N187" s="16">
        <v>0</v>
      </c>
      <c r="O187" s="16">
        <v>0</v>
      </c>
      <c r="P187" s="16">
        <v>0</v>
      </c>
      <c r="Q187" s="16">
        <v>0</v>
      </c>
      <c r="R187" s="16">
        <v>0</v>
      </c>
      <c r="S187" s="16">
        <v>0</v>
      </c>
      <c r="T187" s="16">
        <v>0</v>
      </c>
      <c r="U187" s="16">
        <v>0</v>
      </c>
      <c r="V187" s="16">
        <v>0</v>
      </c>
      <c r="W187" s="16">
        <v>0</v>
      </c>
      <c r="X187" s="16">
        <v>0</v>
      </c>
      <c r="Y187" s="16">
        <v>0</v>
      </c>
      <c r="Z187" s="16">
        <v>0</v>
      </c>
      <c r="AA187" s="16">
        <v>0</v>
      </c>
      <c r="AB187" s="16">
        <v>0</v>
      </c>
      <c r="AC187" s="16">
        <v>0</v>
      </c>
      <c r="AD187" s="16">
        <v>0</v>
      </c>
      <c r="AE187" s="16">
        <v>0</v>
      </c>
      <c r="AF187" s="16">
        <v>0</v>
      </c>
      <c r="AG187" s="16">
        <v>0</v>
      </c>
      <c r="AH187" s="16">
        <v>0</v>
      </c>
      <c r="AI187" s="16">
        <v>0</v>
      </c>
      <c r="AJ187" s="16">
        <v>0</v>
      </c>
      <c r="AK187" s="16">
        <v>0</v>
      </c>
      <c r="AL187" s="16">
        <v>0</v>
      </c>
      <c r="AM187" s="16">
        <v>0</v>
      </c>
      <c r="AN187" s="16">
        <v>40</v>
      </c>
      <c r="AO187" s="16">
        <v>0</v>
      </c>
      <c r="AP187" s="16">
        <v>0</v>
      </c>
      <c r="AQ187" s="16">
        <v>0</v>
      </c>
      <c r="AR187" s="16">
        <v>0</v>
      </c>
      <c r="AS187" s="16">
        <v>0</v>
      </c>
      <c r="AT187" s="16">
        <v>0</v>
      </c>
      <c r="AU187" s="16">
        <v>0</v>
      </c>
      <c r="AV187" s="16">
        <v>32</v>
      </c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0</v>
      </c>
      <c r="BD187" s="16">
        <v>0</v>
      </c>
      <c r="BE187" s="16">
        <v>0</v>
      </c>
      <c r="BF187" s="16">
        <v>0</v>
      </c>
      <c r="BG187" s="16">
        <v>0</v>
      </c>
      <c r="BH187" s="16">
        <v>0</v>
      </c>
      <c r="BI187" s="16">
        <v>0</v>
      </c>
      <c r="BJ187" s="16">
        <v>0</v>
      </c>
      <c r="BK187" s="16">
        <v>0</v>
      </c>
      <c r="BL187" s="16">
        <v>0</v>
      </c>
      <c r="BM187" s="16">
        <v>0</v>
      </c>
      <c r="BN187" s="16">
        <v>0</v>
      </c>
      <c r="BO187" s="16">
        <v>0</v>
      </c>
      <c r="BP187" s="16">
        <v>0</v>
      </c>
      <c r="BQ187" s="16">
        <v>0</v>
      </c>
      <c r="BR187" s="16">
        <v>0</v>
      </c>
      <c r="BS187" s="207">
        <f t="shared" si="93"/>
        <v>0</v>
      </c>
      <c r="BT187" s="207">
        <f t="shared" si="94"/>
        <v>0</v>
      </c>
      <c r="BU187" s="207">
        <f t="shared" si="95"/>
        <v>0</v>
      </c>
      <c r="BV187" s="207">
        <f t="shared" si="67"/>
        <v>0</v>
      </c>
      <c r="BW187" s="207">
        <f t="shared" si="96"/>
        <v>0</v>
      </c>
      <c r="BX187" s="207">
        <f t="shared" si="97"/>
        <v>0</v>
      </c>
      <c r="BY187" s="207">
        <f t="shared" si="98"/>
        <v>40</v>
      </c>
      <c r="BZ187" s="207">
        <f t="shared" si="99"/>
        <v>32</v>
      </c>
      <c r="CA187" s="207">
        <f t="shared" si="100"/>
        <v>0</v>
      </c>
      <c r="CB187" s="207">
        <f t="shared" si="101"/>
        <v>0</v>
      </c>
      <c r="CC187" s="207">
        <f t="shared" si="102"/>
        <v>0</v>
      </c>
      <c r="CD187" s="207">
        <f t="shared" si="103"/>
        <v>0</v>
      </c>
      <c r="CE187" s="207">
        <f>SUM(BS187:CD187)</f>
        <v>72</v>
      </c>
    </row>
    <row r="188" spans="1:83" ht="12" customHeight="1" x14ac:dyDescent="0.2">
      <c r="A188" s="6">
        <v>5</v>
      </c>
      <c r="B188" s="49" t="str">
        <f t="shared" si="78"/>
        <v>Huanes Bautista Cesar AlfredoINASISTENCIAS</v>
      </c>
      <c r="C188" s="117" t="str">
        <f t="shared" si="77"/>
        <v>Huanes Bautista Cesar Alfredo</v>
      </c>
      <c r="D188" s="49" t="str">
        <f>VLOOKUP(C188,Datos!$B$13:$C$83,2,0)</f>
        <v>CESADO</v>
      </c>
      <c r="E188" s="50" t="s">
        <v>208</v>
      </c>
      <c r="F188" s="49"/>
      <c r="G188" s="49" t="str">
        <f>IFERROR(VLOOKUP(H188,Datos!$J$2:$L$60,3,0),"OBSERVACIONES")</f>
        <v>OBSERVACIONES</v>
      </c>
      <c r="H188" s="50" t="s">
        <v>208</v>
      </c>
      <c r="I188" s="49" t="s">
        <v>210</v>
      </c>
      <c r="J188" s="119" t="s">
        <v>428</v>
      </c>
      <c r="K188" s="16">
        <v>0</v>
      </c>
      <c r="L188" s="16">
        <v>0</v>
      </c>
      <c r="M188" s="16">
        <v>0</v>
      </c>
      <c r="N188" s="16">
        <v>0</v>
      </c>
      <c r="O188" s="16">
        <v>0</v>
      </c>
      <c r="P188" s="16">
        <v>0</v>
      </c>
      <c r="Q188" s="16">
        <v>0</v>
      </c>
      <c r="R188" s="16">
        <v>0</v>
      </c>
      <c r="S188" s="16">
        <v>0</v>
      </c>
      <c r="T188" s="16">
        <v>0</v>
      </c>
      <c r="U188" s="16">
        <v>0</v>
      </c>
      <c r="V188" s="16">
        <v>0</v>
      </c>
      <c r="W188" s="16">
        <v>0</v>
      </c>
      <c r="X188" s="16">
        <v>0</v>
      </c>
      <c r="Y188" s="16">
        <v>0</v>
      </c>
      <c r="Z188" s="16">
        <v>0</v>
      </c>
      <c r="AA188" s="16">
        <v>0</v>
      </c>
      <c r="AB188" s="16">
        <v>0</v>
      </c>
      <c r="AC188" s="16">
        <v>0</v>
      </c>
      <c r="AD188" s="16">
        <v>0</v>
      </c>
      <c r="AE188" s="16">
        <v>0</v>
      </c>
      <c r="AF188" s="16">
        <v>0</v>
      </c>
      <c r="AG188" s="16">
        <v>0</v>
      </c>
      <c r="AH188" s="16">
        <v>0</v>
      </c>
      <c r="AI188" s="16">
        <v>0</v>
      </c>
      <c r="AJ188" s="16">
        <v>0</v>
      </c>
      <c r="AK188" s="16">
        <v>0</v>
      </c>
      <c r="AL188" s="16">
        <v>0</v>
      </c>
      <c r="AM188" s="16">
        <v>0</v>
      </c>
      <c r="AN188" s="16">
        <v>0</v>
      </c>
      <c r="AO188" s="16">
        <v>0</v>
      </c>
      <c r="AP188" s="16">
        <v>0</v>
      </c>
      <c r="AQ188" s="16">
        <v>0</v>
      </c>
      <c r="AR188" s="16">
        <v>0</v>
      </c>
      <c r="AS188" s="16">
        <v>0</v>
      </c>
      <c r="AT188" s="16">
        <v>0</v>
      </c>
      <c r="AU188" s="16">
        <v>0</v>
      </c>
      <c r="AV188" s="16">
        <v>8</v>
      </c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0</v>
      </c>
      <c r="BD188" s="16">
        <v>0</v>
      </c>
      <c r="BE188" s="16">
        <v>0</v>
      </c>
      <c r="BF188" s="16">
        <v>0</v>
      </c>
      <c r="BG188" s="16">
        <v>0</v>
      </c>
      <c r="BH188" s="16">
        <v>0</v>
      </c>
      <c r="BI188" s="16">
        <v>0</v>
      </c>
      <c r="BJ188" s="16">
        <v>0</v>
      </c>
      <c r="BK188" s="16">
        <v>0</v>
      </c>
      <c r="BL188" s="16">
        <v>0</v>
      </c>
      <c r="BM188" s="16">
        <v>0</v>
      </c>
      <c r="BN188" s="16">
        <v>0</v>
      </c>
      <c r="BO188" s="16">
        <v>0</v>
      </c>
      <c r="BP188" s="16">
        <v>0</v>
      </c>
      <c r="BQ188" s="16">
        <v>0</v>
      </c>
      <c r="BR188" s="16">
        <v>0</v>
      </c>
      <c r="BS188" s="207">
        <f t="shared" si="93"/>
        <v>0</v>
      </c>
      <c r="BT188" s="207">
        <f t="shared" si="94"/>
        <v>0</v>
      </c>
      <c r="BU188" s="207">
        <f t="shared" si="95"/>
        <v>0</v>
      </c>
      <c r="BV188" s="207">
        <f t="shared" si="67"/>
        <v>0</v>
      </c>
      <c r="BW188" s="207">
        <f t="shared" si="96"/>
        <v>0</v>
      </c>
      <c r="BX188" s="207">
        <f t="shared" si="97"/>
        <v>0</v>
      </c>
      <c r="BY188" s="207">
        <f t="shared" si="98"/>
        <v>0</v>
      </c>
      <c r="BZ188" s="207">
        <f t="shared" si="99"/>
        <v>8</v>
      </c>
      <c r="CA188" s="207">
        <f t="shared" si="100"/>
        <v>0</v>
      </c>
      <c r="CB188" s="207">
        <f t="shared" si="101"/>
        <v>0</v>
      </c>
      <c r="CC188" s="207">
        <f t="shared" si="102"/>
        <v>0</v>
      </c>
      <c r="CD188" s="207">
        <f t="shared" si="103"/>
        <v>0</v>
      </c>
      <c r="CE188" s="207">
        <f>SUM(BS188:CD188)</f>
        <v>8</v>
      </c>
    </row>
    <row r="189" spans="1:83" ht="12" customHeight="1" x14ac:dyDescent="0.2">
      <c r="A189" s="6">
        <v>7</v>
      </c>
      <c r="B189" s="49" t="str">
        <f t="shared" si="78"/>
        <v>Huanes Bautista Cesar AlfredoGESTION DE PROYECTOS</v>
      </c>
      <c r="C189" s="117" t="str">
        <f t="shared" si="77"/>
        <v>Huanes Bautista Cesar Alfredo</v>
      </c>
      <c r="D189" s="49" t="str">
        <f>VLOOKUP(C189,Datos!$B$13:$C$83,2,0)</f>
        <v>CESADO</v>
      </c>
      <c r="E189" s="50" t="s">
        <v>967</v>
      </c>
      <c r="F189" s="49"/>
      <c r="G189" s="49" t="str">
        <f>IFERROR(VLOOKUP(H189,Datos!$J$2:$L$60,3,0),"OBSERVACIONES")</f>
        <v>OBSERVACIONES</v>
      </c>
      <c r="H189" s="50" t="s">
        <v>967</v>
      </c>
      <c r="I189" s="49" t="s">
        <v>968</v>
      </c>
      <c r="J189" s="119" t="s">
        <v>428</v>
      </c>
      <c r="K189" s="16">
        <v>0</v>
      </c>
      <c r="L189" s="16">
        <v>0</v>
      </c>
      <c r="M189" s="16">
        <v>0</v>
      </c>
      <c r="N189" s="16">
        <v>0</v>
      </c>
      <c r="O189" s="16">
        <v>0</v>
      </c>
      <c r="P189" s="16">
        <v>0</v>
      </c>
      <c r="Q189" s="16">
        <v>0</v>
      </c>
      <c r="R189" s="16">
        <v>0</v>
      </c>
      <c r="S189" s="16">
        <v>0</v>
      </c>
      <c r="T189" s="16">
        <v>0</v>
      </c>
      <c r="U189" s="16">
        <v>0</v>
      </c>
      <c r="V189" s="16">
        <v>0</v>
      </c>
      <c r="W189" s="16">
        <v>0</v>
      </c>
      <c r="X189" s="16">
        <v>0</v>
      </c>
      <c r="Y189" s="16">
        <v>0</v>
      </c>
      <c r="Z189" s="16">
        <v>0</v>
      </c>
      <c r="AA189" s="16">
        <v>0</v>
      </c>
      <c r="AB189" s="16">
        <v>0</v>
      </c>
      <c r="AC189" s="16">
        <v>0</v>
      </c>
      <c r="AD189" s="16">
        <v>0</v>
      </c>
      <c r="AE189" s="16">
        <v>0</v>
      </c>
      <c r="AF189" s="16">
        <v>0</v>
      </c>
      <c r="AG189" s="16">
        <v>0</v>
      </c>
      <c r="AH189" s="16">
        <v>0</v>
      </c>
      <c r="AI189" s="16">
        <v>0</v>
      </c>
      <c r="AJ189" s="16">
        <v>0</v>
      </c>
      <c r="AK189" s="16">
        <v>0</v>
      </c>
      <c r="AL189" s="16">
        <v>0</v>
      </c>
      <c r="AM189" s="16">
        <v>0</v>
      </c>
      <c r="AN189" s="16">
        <v>0</v>
      </c>
      <c r="AO189" s="16">
        <v>0</v>
      </c>
      <c r="AP189" s="16">
        <v>0</v>
      </c>
      <c r="AQ189" s="16">
        <v>0</v>
      </c>
      <c r="AR189" s="16">
        <v>0</v>
      </c>
      <c r="AS189" s="16">
        <v>0</v>
      </c>
      <c r="AT189" s="16">
        <v>0</v>
      </c>
      <c r="AU189" s="16">
        <v>0</v>
      </c>
      <c r="AV189" s="16">
        <v>0</v>
      </c>
      <c r="AW189" s="16">
        <v>24</v>
      </c>
      <c r="AX189" s="16">
        <v>16</v>
      </c>
      <c r="AY189" s="16">
        <v>0</v>
      </c>
      <c r="AZ189" s="16">
        <v>0</v>
      </c>
      <c r="BA189" s="16">
        <v>0</v>
      </c>
      <c r="BB189" s="16">
        <v>0</v>
      </c>
      <c r="BC189" s="16">
        <v>0</v>
      </c>
      <c r="BD189" s="16">
        <v>0</v>
      </c>
      <c r="BE189" s="16">
        <v>0</v>
      </c>
      <c r="BF189" s="16">
        <v>0</v>
      </c>
      <c r="BG189" s="16">
        <v>0</v>
      </c>
      <c r="BH189" s="16">
        <v>0</v>
      </c>
      <c r="BI189" s="16">
        <v>0</v>
      </c>
      <c r="BJ189" s="16">
        <v>0</v>
      </c>
      <c r="BK189" s="16">
        <v>0</v>
      </c>
      <c r="BL189" s="16">
        <v>0</v>
      </c>
      <c r="BM189" s="16">
        <v>0</v>
      </c>
      <c r="BN189" s="16">
        <v>0</v>
      </c>
      <c r="BO189" s="16">
        <v>0</v>
      </c>
      <c r="BP189" s="16">
        <v>0</v>
      </c>
      <c r="BQ189" s="16">
        <v>0</v>
      </c>
      <c r="BR189" s="16">
        <v>0</v>
      </c>
      <c r="BS189" s="207">
        <f t="shared" si="93"/>
        <v>0</v>
      </c>
      <c r="BT189" s="207">
        <f t="shared" si="94"/>
        <v>0</v>
      </c>
      <c r="BU189" s="207">
        <f t="shared" si="95"/>
        <v>0</v>
      </c>
      <c r="BV189" s="207">
        <f t="shared" si="67"/>
        <v>0</v>
      </c>
      <c r="BW189" s="207">
        <f t="shared" si="96"/>
        <v>0</v>
      </c>
      <c r="BX189" s="207">
        <f t="shared" si="97"/>
        <v>0</v>
      </c>
      <c r="BY189" s="207">
        <f t="shared" si="98"/>
        <v>0</v>
      </c>
      <c r="BZ189" s="207">
        <f t="shared" si="99"/>
        <v>40</v>
      </c>
      <c r="CA189" s="207">
        <f t="shared" si="100"/>
        <v>0</v>
      </c>
      <c r="CB189" s="207">
        <f t="shared" si="101"/>
        <v>0</v>
      </c>
      <c r="CC189" s="207">
        <f t="shared" si="102"/>
        <v>0</v>
      </c>
      <c r="CD189" s="207">
        <f t="shared" si="103"/>
        <v>0</v>
      </c>
      <c r="CE189" s="207">
        <f>SUM(BS189:CD189)</f>
        <v>40</v>
      </c>
    </row>
    <row r="190" spans="1:83" ht="12" customHeight="1" x14ac:dyDescent="0.2">
      <c r="A190" s="6">
        <v>3</v>
      </c>
      <c r="B190" s="49" t="str">
        <f t="shared" si="78"/>
        <v>Huanes Bautista Cesar AlfredoP0013</v>
      </c>
      <c r="C190" s="117" t="str">
        <f t="shared" ref="C190:C241" si="105">J190</f>
        <v>Huanes Bautista Cesar Alfredo</v>
      </c>
      <c r="D190" s="49" t="str">
        <f>VLOOKUP(C190,Datos!$B$13:$C$83,2,0)</f>
        <v>CESADO</v>
      </c>
      <c r="E190" s="50" t="s">
        <v>45</v>
      </c>
      <c r="F190" s="49" t="str">
        <f>IFERROR(VLOOKUP(H190,Datos!$J$2:$L$60,3,0),"OBSERVACIONES")</f>
        <v>CERRADO</v>
      </c>
      <c r="G190" s="49"/>
      <c r="H190" s="50" t="s">
        <v>51</v>
      </c>
      <c r="I190" s="49" t="s">
        <v>122</v>
      </c>
      <c r="J190" s="119" t="s">
        <v>428</v>
      </c>
      <c r="K190" s="16">
        <v>0</v>
      </c>
      <c r="L190" s="16">
        <v>0</v>
      </c>
      <c r="M190" s="16">
        <v>0</v>
      </c>
      <c r="N190" s="16">
        <v>0</v>
      </c>
      <c r="O190" s="16">
        <v>0</v>
      </c>
      <c r="P190" s="16">
        <v>0</v>
      </c>
      <c r="Q190" s="16">
        <v>0</v>
      </c>
      <c r="R190" s="16">
        <v>0</v>
      </c>
      <c r="S190" s="16">
        <v>0</v>
      </c>
      <c r="T190" s="16">
        <v>0</v>
      </c>
      <c r="U190" s="16">
        <v>0</v>
      </c>
      <c r="V190" s="16">
        <v>0</v>
      </c>
      <c r="W190" s="16">
        <v>0</v>
      </c>
      <c r="X190" s="16">
        <v>0</v>
      </c>
      <c r="Y190" s="16">
        <v>0</v>
      </c>
      <c r="Z190" s="16">
        <v>0</v>
      </c>
      <c r="AA190" s="16">
        <v>0</v>
      </c>
      <c r="AB190" s="16">
        <v>0</v>
      </c>
      <c r="AC190" s="16">
        <v>0</v>
      </c>
      <c r="AD190" s="16">
        <v>24</v>
      </c>
      <c r="AE190" s="16">
        <v>40</v>
      </c>
      <c r="AF190" s="16">
        <v>40</v>
      </c>
      <c r="AG190" s="16">
        <v>40</v>
      </c>
      <c r="AH190" s="16">
        <v>24</v>
      </c>
      <c r="AI190" s="16">
        <v>16</v>
      </c>
      <c r="AJ190" s="16">
        <v>40</v>
      </c>
      <c r="AK190" s="16">
        <v>40</v>
      </c>
      <c r="AL190" s="16">
        <v>40</v>
      </c>
      <c r="AM190" s="16">
        <v>32</v>
      </c>
      <c r="AN190" s="16">
        <v>0</v>
      </c>
      <c r="AO190" s="16">
        <v>24</v>
      </c>
      <c r="AP190" s="16">
        <v>0</v>
      </c>
      <c r="AQ190" s="16">
        <v>16</v>
      </c>
      <c r="AR190" s="16">
        <v>0</v>
      </c>
      <c r="AS190" s="16">
        <v>8</v>
      </c>
      <c r="AT190" s="16">
        <v>32</v>
      </c>
      <c r="AU190" s="16">
        <v>40</v>
      </c>
      <c r="AV190" s="16">
        <v>0</v>
      </c>
      <c r="AW190" s="16">
        <v>16</v>
      </c>
      <c r="AX190" s="16">
        <v>8</v>
      </c>
      <c r="AY190" s="16">
        <v>8</v>
      </c>
      <c r="AZ190" s="16">
        <v>0</v>
      </c>
      <c r="BA190" s="16">
        <v>0</v>
      </c>
      <c r="BB190" s="16">
        <v>0</v>
      </c>
      <c r="BC190" s="16">
        <v>0</v>
      </c>
      <c r="BD190" s="16">
        <v>0</v>
      </c>
      <c r="BE190" s="16">
        <v>0</v>
      </c>
      <c r="BF190" s="16">
        <v>0</v>
      </c>
      <c r="BG190" s="16">
        <v>0</v>
      </c>
      <c r="BH190" s="16">
        <v>0</v>
      </c>
      <c r="BI190" s="16">
        <v>0</v>
      </c>
      <c r="BJ190" s="16">
        <v>0</v>
      </c>
      <c r="BK190" s="16">
        <v>0</v>
      </c>
      <c r="BL190" s="16">
        <v>0</v>
      </c>
      <c r="BM190" s="16">
        <v>0</v>
      </c>
      <c r="BN190" s="16">
        <v>0</v>
      </c>
      <c r="BO190" s="16">
        <v>0</v>
      </c>
      <c r="BP190" s="16">
        <v>0</v>
      </c>
      <c r="BQ190" s="16">
        <v>0</v>
      </c>
      <c r="BR190" s="16">
        <v>0</v>
      </c>
      <c r="BS190" s="207">
        <f t="shared" si="93"/>
        <v>0</v>
      </c>
      <c r="BT190" s="207">
        <f t="shared" si="94"/>
        <v>0</v>
      </c>
      <c r="BU190" s="207">
        <f t="shared" si="95"/>
        <v>0</v>
      </c>
      <c r="BV190" s="207">
        <f t="shared" ref="BV190:BV242" si="106">SUM(Z190:AC190)</f>
        <v>0</v>
      </c>
      <c r="BW190" s="207">
        <f t="shared" si="96"/>
        <v>168</v>
      </c>
      <c r="BX190" s="207">
        <f t="shared" si="97"/>
        <v>168</v>
      </c>
      <c r="BY190" s="207">
        <f t="shared" si="98"/>
        <v>48</v>
      </c>
      <c r="BZ190" s="207">
        <f t="shared" si="99"/>
        <v>96</v>
      </c>
      <c r="CA190" s="207">
        <f t="shared" si="100"/>
        <v>8</v>
      </c>
      <c r="CB190" s="207">
        <f t="shared" si="101"/>
        <v>0</v>
      </c>
      <c r="CC190" s="207">
        <f t="shared" si="102"/>
        <v>0</v>
      </c>
      <c r="CD190" s="207">
        <f t="shared" si="103"/>
        <v>0</v>
      </c>
      <c r="CE190" s="207">
        <f t="shared" si="104"/>
        <v>488</v>
      </c>
    </row>
    <row r="191" spans="1:83" ht="12" customHeight="1" x14ac:dyDescent="0.2">
      <c r="A191" s="6">
        <v>5</v>
      </c>
      <c r="B191" s="49" t="str">
        <f t="shared" si="78"/>
        <v>Lopez Borja Amadeo FelixINASISTENCIAS</v>
      </c>
      <c r="C191" s="117" t="str">
        <f t="shared" si="105"/>
        <v>Lopez Borja Amadeo Felix</v>
      </c>
      <c r="D191" s="49" t="str">
        <f>VLOOKUP(C191,Datos!$B$13:$C$83,2,0)</f>
        <v>CESADO</v>
      </c>
      <c r="E191" s="50" t="s">
        <v>208</v>
      </c>
      <c r="F191" s="49"/>
      <c r="G191" s="49" t="str">
        <f>IFERROR(VLOOKUP(H191,Datos!$J$2:$L$60,3,0),"OBSERVACIONES")</f>
        <v>OBSERVACIONES</v>
      </c>
      <c r="H191" s="50" t="s">
        <v>208</v>
      </c>
      <c r="I191" s="50" t="s">
        <v>210</v>
      </c>
      <c r="J191" s="119" t="s">
        <v>19</v>
      </c>
      <c r="K191" s="16">
        <v>0</v>
      </c>
      <c r="L191" s="16">
        <v>2</v>
      </c>
      <c r="M191" s="16">
        <v>0</v>
      </c>
      <c r="N191" s="16">
        <v>0</v>
      </c>
      <c r="O191" s="16">
        <v>0</v>
      </c>
      <c r="P191" s="16">
        <v>0</v>
      </c>
      <c r="Q191" s="16">
        <v>0</v>
      </c>
      <c r="R191" s="16">
        <v>0</v>
      </c>
      <c r="S191" s="16">
        <v>0</v>
      </c>
      <c r="T191" s="16">
        <v>0</v>
      </c>
      <c r="U191" s="16">
        <v>0</v>
      </c>
      <c r="V191" s="16">
        <v>0</v>
      </c>
      <c r="W191" s="16">
        <v>0</v>
      </c>
      <c r="X191" s="16">
        <v>0</v>
      </c>
      <c r="Y191" s="16">
        <v>0</v>
      </c>
      <c r="Z191" s="16">
        <v>0</v>
      </c>
      <c r="AA191" s="16">
        <v>0</v>
      </c>
      <c r="AB191" s="16">
        <v>0</v>
      </c>
      <c r="AC191" s="16">
        <v>0</v>
      </c>
      <c r="AD191" s="16">
        <v>0</v>
      </c>
      <c r="AE191" s="16">
        <v>0</v>
      </c>
      <c r="AF191" s="16">
        <v>0</v>
      </c>
      <c r="AG191" s="16">
        <v>0</v>
      </c>
      <c r="AH191" s="16">
        <v>0</v>
      </c>
      <c r="AI191" s="16">
        <v>0</v>
      </c>
      <c r="AJ191" s="16">
        <v>0</v>
      </c>
      <c r="AK191" s="16">
        <v>0</v>
      </c>
      <c r="AL191" s="16">
        <v>0</v>
      </c>
      <c r="AM191" s="16">
        <v>0</v>
      </c>
      <c r="AN191" s="16">
        <v>0</v>
      </c>
      <c r="AO191" s="16">
        <v>0</v>
      </c>
      <c r="AP191" s="16">
        <v>0</v>
      </c>
      <c r="AQ191" s="16">
        <v>8</v>
      </c>
      <c r="AR191" s="16">
        <v>0</v>
      </c>
      <c r="AS191" s="16">
        <v>0</v>
      </c>
      <c r="AT191" s="16">
        <v>0</v>
      </c>
      <c r="AU191" s="16">
        <v>0</v>
      </c>
      <c r="AV191" s="16">
        <v>0</v>
      </c>
      <c r="AW191" s="16">
        <v>4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0</v>
      </c>
      <c r="BD191" s="16">
        <v>0</v>
      </c>
      <c r="BE191" s="16">
        <v>0</v>
      </c>
      <c r="BF191" s="16">
        <v>0</v>
      </c>
      <c r="BG191" s="16">
        <v>0</v>
      </c>
      <c r="BH191" s="16">
        <v>0</v>
      </c>
      <c r="BI191" s="16">
        <v>0</v>
      </c>
      <c r="BJ191" s="16">
        <v>0</v>
      </c>
      <c r="BK191" s="16">
        <v>0</v>
      </c>
      <c r="BL191" s="16">
        <v>0</v>
      </c>
      <c r="BM191" s="16">
        <v>0</v>
      </c>
      <c r="BN191" s="16">
        <v>0</v>
      </c>
      <c r="BO191" s="16">
        <v>0</v>
      </c>
      <c r="BP191" s="16">
        <v>0</v>
      </c>
      <c r="BQ191" s="16">
        <v>0</v>
      </c>
      <c r="BR191" s="16">
        <v>0</v>
      </c>
      <c r="BS191" s="207">
        <f t="shared" si="93"/>
        <v>2</v>
      </c>
      <c r="BT191" s="207">
        <f t="shared" si="94"/>
        <v>0</v>
      </c>
      <c r="BU191" s="207">
        <f t="shared" si="95"/>
        <v>0</v>
      </c>
      <c r="BV191" s="207">
        <f t="shared" si="106"/>
        <v>0</v>
      </c>
      <c r="BW191" s="207">
        <f t="shared" si="96"/>
        <v>0</v>
      </c>
      <c r="BX191" s="207">
        <f t="shared" si="97"/>
        <v>0</v>
      </c>
      <c r="BY191" s="207">
        <f t="shared" si="98"/>
        <v>8</v>
      </c>
      <c r="BZ191" s="207">
        <f t="shared" si="99"/>
        <v>4</v>
      </c>
      <c r="CA191" s="207">
        <f t="shared" si="100"/>
        <v>0</v>
      </c>
      <c r="CB191" s="207">
        <f t="shared" si="101"/>
        <v>0</v>
      </c>
      <c r="CC191" s="207">
        <f t="shared" si="102"/>
        <v>0</v>
      </c>
      <c r="CD191" s="207">
        <f t="shared" si="103"/>
        <v>0</v>
      </c>
      <c r="CE191" s="207">
        <f t="shared" si="104"/>
        <v>14</v>
      </c>
    </row>
    <row r="192" spans="1:83" ht="12" customHeight="1" x14ac:dyDescent="0.2">
      <c r="A192" s="6">
        <v>5</v>
      </c>
      <c r="B192" s="49" t="str">
        <f t="shared" si="78"/>
        <v>Galvez Aguilar Arturo JesusINASISTENCIAS</v>
      </c>
      <c r="C192" s="117" t="str">
        <f t="shared" si="105"/>
        <v>Galvez Aguilar Arturo Jesus</v>
      </c>
      <c r="D192" s="49" t="str">
        <f>VLOOKUP(C192,Datos!$B$13:$C$83,2,0)</f>
        <v>CESADO</v>
      </c>
      <c r="E192" s="50" t="s">
        <v>208</v>
      </c>
      <c r="F192" s="49"/>
      <c r="G192" s="49" t="str">
        <f>IFERROR(VLOOKUP(H192,Datos!$J$2:$L$60,3,0),"OBSERVACIONES")</f>
        <v>OBSERVACIONES</v>
      </c>
      <c r="H192" s="50" t="s">
        <v>208</v>
      </c>
      <c r="I192" s="49" t="s">
        <v>210</v>
      </c>
      <c r="J192" s="119" t="s">
        <v>107</v>
      </c>
      <c r="K192" s="16">
        <v>0</v>
      </c>
      <c r="L192" s="16">
        <v>0</v>
      </c>
      <c r="M192" s="16">
        <v>0</v>
      </c>
      <c r="N192" s="16">
        <v>0</v>
      </c>
      <c r="O192" s="16">
        <v>0</v>
      </c>
      <c r="P192" s="16">
        <v>0</v>
      </c>
      <c r="Q192" s="16">
        <v>0</v>
      </c>
      <c r="R192" s="16">
        <v>0</v>
      </c>
      <c r="S192" s="16">
        <v>0</v>
      </c>
      <c r="T192" s="16">
        <v>0</v>
      </c>
      <c r="U192" s="16">
        <v>0</v>
      </c>
      <c r="V192" s="16">
        <v>0</v>
      </c>
      <c r="W192" s="16">
        <v>0</v>
      </c>
      <c r="X192" s="16">
        <v>0</v>
      </c>
      <c r="Y192" s="16">
        <v>0</v>
      </c>
      <c r="Z192" s="16">
        <v>0</v>
      </c>
      <c r="AA192" s="16">
        <v>0</v>
      </c>
      <c r="AB192" s="16">
        <v>0</v>
      </c>
      <c r="AC192" s="16">
        <v>0</v>
      </c>
      <c r="AD192" s="16">
        <v>0</v>
      </c>
      <c r="AE192" s="16">
        <v>0</v>
      </c>
      <c r="AF192" s="16">
        <v>0</v>
      </c>
      <c r="AG192" s="16">
        <v>0</v>
      </c>
      <c r="AH192" s="16">
        <v>0</v>
      </c>
      <c r="AI192" s="16">
        <v>0</v>
      </c>
      <c r="AJ192" s="16">
        <v>0</v>
      </c>
      <c r="AK192" s="16">
        <v>0</v>
      </c>
      <c r="AL192" s="16">
        <v>0</v>
      </c>
      <c r="AM192" s="16">
        <v>0</v>
      </c>
      <c r="AN192" s="16">
        <v>0</v>
      </c>
      <c r="AO192" s="16">
        <v>0</v>
      </c>
      <c r="AP192" s="16">
        <v>0</v>
      </c>
      <c r="AQ192" s="16">
        <v>8</v>
      </c>
      <c r="AR192" s="16">
        <v>0</v>
      </c>
      <c r="AS192" s="16">
        <v>0</v>
      </c>
      <c r="AT192" s="16">
        <v>0</v>
      </c>
      <c r="AU192" s="16">
        <v>0</v>
      </c>
      <c r="AV192" s="16">
        <v>0</v>
      </c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0</v>
      </c>
      <c r="BD192" s="16">
        <v>0</v>
      </c>
      <c r="BE192" s="16">
        <v>0</v>
      </c>
      <c r="BF192" s="16">
        <v>0</v>
      </c>
      <c r="BG192" s="16">
        <v>0</v>
      </c>
      <c r="BH192" s="16">
        <v>0</v>
      </c>
      <c r="BI192" s="16">
        <v>0</v>
      </c>
      <c r="BJ192" s="16">
        <v>0</v>
      </c>
      <c r="BK192" s="16">
        <v>0</v>
      </c>
      <c r="BL192" s="16">
        <v>0</v>
      </c>
      <c r="BM192" s="16">
        <v>0</v>
      </c>
      <c r="BN192" s="16">
        <v>0</v>
      </c>
      <c r="BO192" s="16">
        <v>0</v>
      </c>
      <c r="BP192" s="16">
        <v>0</v>
      </c>
      <c r="BQ192" s="16">
        <v>0</v>
      </c>
      <c r="BR192" s="16">
        <v>0</v>
      </c>
      <c r="BS192" s="207">
        <f t="shared" si="93"/>
        <v>0</v>
      </c>
      <c r="BT192" s="207">
        <f t="shared" si="94"/>
        <v>0</v>
      </c>
      <c r="BU192" s="207">
        <f t="shared" si="95"/>
        <v>0</v>
      </c>
      <c r="BV192" s="207">
        <f t="shared" si="106"/>
        <v>0</v>
      </c>
      <c r="BW192" s="207">
        <f t="shared" si="96"/>
        <v>0</v>
      </c>
      <c r="BX192" s="207">
        <f t="shared" si="97"/>
        <v>0</v>
      </c>
      <c r="BY192" s="207">
        <f t="shared" si="98"/>
        <v>8</v>
      </c>
      <c r="BZ192" s="207">
        <f t="shared" si="99"/>
        <v>0</v>
      </c>
      <c r="CA192" s="207">
        <f t="shared" si="100"/>
        <v>0</v>
      </c>
      <c r="CB192" s="207">
        <f t="shared" si="101"/>
        <v>0</v>
      </c>
      <c r="CC192" s="207">
        <f t="shared" si="102"/>
        <v>0</v>
      </c>
      <c r="CD192" s="207">
        <f t="shared" si="103"/>
        <v>0</v>
      </c>
      <c r="CE192" s="207">
        <f t="shared" si="104"/>
        <v>8</v>
      </c>
    </row>
    <row r="193" spans="1:83" ht="12" customHeight="1" x14ac:dyDescent="0.2">
      <c r="A193" s="6">
        <v>1</v>
      </c>
      <c r="B193" s="49" t="str">
        <f t="shared" si="78"/>
        <v>Galvez Aguilar Arturo JesusNO FACT.</v>
      </c>
      <c r="C193" s="117" t="str">
        <f t="shared" ref="C193:C199" si="107">J193</f>
        <v>Galvez Aguilar Arturo Jesus</v>
      </c>
      <c r="D193" s="49" t="str">
        <f>VLOOKUP(C193,Datos!$B$13:$C$83,2,0)</f>
        <v>CESADO</v>
      </c>
      <c r="E193" s="50" t="s">
        <v>75</v>
      </c>
      <c r="F193" s="49"/>
      <c r="G193" s="49" t="str">
        <f>IFERROR(VLOOKUP(H193,Datos!$J$2:$L$60,3,0),"OBSERVACIONES")</f>
        <v>OBSERVACIONES</v>
      </c>
      <c r="H193" s="50" t="s">
        <v>75</v>
      </c>
      <c r="I193" s="49" t="s">
        <v>131</v>
      </c>
      <c r="J193" s="119" t="s">
        <v>107</v>
      </c>
      <c r="K193" s="16">
        <v>0</v>
      </c>
      <c r="L193" s="16">
        <v>0</v>
      </c>
      <c r="M193" s="16">
        <v>0</v>
      </c>
      <c r="N193" s="16">
        <v>0</v>
      </c>
      <c r="O193" s="16">
        <v>0</v>
      </c>
      <c r="P193" s="16">
        <v>0</v>
      </c>
      <c r="Q193" s="16">
        <v>0</v>
      </c>
      <c r="R193" s="16">
        <v>0</v>
      </c>
      <c r="S193" s="16">
        <v>0</v>
      </c>
      <c r="T193" s="16">
        <v>0</v>
      </c>
      <c r="U193" s="16">
        <v>0</v>
      </c>
      <c r="V193" s="16">
        <v>0</v>
      </c>
      <c r="W193" s="16">
        <v>0</v>
      </c>
      <c r="X193" s="16">
        <v>0</v>
      </c>
      <c r="Y193" s="16">
        <v>0</v>
      </c>
      <c r="Z193" s="16">
        <v>0</v>
      </c>
      <c r="AA193" s="16">
        <v>0</v>
      </c>
      <c r="AB193" s="16">
        <v>0</v>
      </c>
      <c r="AC193" s="16">
        <v>0</v>
      </c>
      <c r="AD193" s="16">
        <v>0</v>
      </c>
      <c r="AE193" s="16">
        <v>0</v>
      </c>
      <c r="AF193" s="16">
        <v>0</v>
      </c>
      <c r="AG193" s="16">
        <v>0</v>
      </c>
      <c r="AH193" s="16">
        <v>0</v>
      </c>
      <c r="AI193" s="16">
        <v>0</v>
      </c>
      <c r="AJ193" s="16">
        <v>0</v>
      </c>
      <c r="AK193" s="16">
        <v>0</v>
      </c>
      <c r="AL193" s="16">
        <v>0</v>
      </c>
      <c r="AM193" s="16">
        <v>0</v>
      </c>
      <c r="AN193" s="16">
        <v>0</v>
      </c>
      <c r="AO193" s="16">
        <v>0</v>
      </c>
      <c r="AP193" s="16">
        <v>0</v>
      </c>
      <c r="AQ193" s="16">
        <v>24</v>
      </c>
      <c r="AR193" s="16">
        <v>0</v>
      </c>
      <c r="AS193" s="16">
        <v>8</v>
      </c>
      <c r="AT193" s="16">
        <v>16</v>
      </c>
      <c r="AU193" s="16">
        <v>0</v>
      </c>
      <c r="AV193" s="16">
        <v>0</v>
      </c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0</v>
      </c>
      <c r="BD193" s="16">
        <v>0</v>
      </c>
      <c r="BE193" s="16">
        <v>0</v>
      </c>
      <c r="BF193" s="16">
        <v>0</v>
      </c>
      <c r="BG193" s="16">
        <v>0</v>
      </c>
      <c r="BH193" s="16">
        <v>0</v>
      </c>
      <c r="BI193" s="16">
        <v>0</v>
      </c>
      <c r="BJ193" s="16">
        <v>0</v>
      </c>
      <c r="BK193" s="16">
        <v>0</v>
      </c>
      <c r="BL193" s="16">
        <v>0</v>
      </c>
      <c r="BM193" s="16">
        <v>0</v>
      </c>
      <c r="BN193" s="16">
        <v>0</v>
      </c>
      <c r="BO193" s="16">
        <v>0</v>
      </c>
      <c r="BP193" s="16">
        <v>0</v>
      </c>
      <c r="BQ193" s="16">
        <v>0</v>
      </c>
      <c r="BR193" s="16">
        <v>0</v>
      </c>
      <c r="BS193" s="207">
        <f t="shared" si="93"/>
        <v>0</v>
      </c>
      <c r="BT193" s="207">
        <f t="shared" si="94"/>
        <v>0</v>
      </c>
      <c r="BU193" s="207">
        <f t="shared" si="95"/>
        <v>0</v>
      </c>
      <c r="BV193" s="207">
        <f t="shared" si="106"/>
        <v>0</v>
      </c>
      <c r="BW193" s="207">
        <f t="shared" si="96"/>
        <v>0</v>
      </c>
      <c r="BX193" s="207">
        <f t="shared" si="97"/>
        <v>0</v>
      </c>
      <c r="BY193" s="207">
        <f t="shared" si="98"/>
        <v>32</v>
      </c>
      <c r="BZ193" s="207">
        <f t="shared" si="99"/>
        <v>16</v>
      </c>
      <c r="CA193" s="207">
        <f t="shared" si="100"/>
        <v>0</v>
      </c>
      <c r="CB193" s="207">
        <f t="shared" si="101"/>
        <v>0</v>
      </c>
      <c r="CC193" s="207">
        <f t="shared" si="102"/>
        <v>0</v>
      </c>
      <c r="CD193" s="207">
        <f t="shared" si="103"/>
        <v>0</v>
      </c>
      <c r="CE193" s="207">
        <f t="shared" si="104"/>
        <v>48</v>
      </c>
    </row>
    <row r="194" spans="1:83" ht="12" customHeight="1" x14ac:dyDescent="0.2">
      <c r="A194" s="6">
        <v>3</v>
      </c>
      <c r="B194" s="49" t="str">
        <f t="shared" si="78"/>
        <v>Taipe Aylas Ronald DavidMP001</v>
      </c>
      <c r="C194" s="117" t="str">
        <f t="shared" si="107"/>
        <v>Taipe Aylas Ronald David</v>
      </c>
      <c r="D194" s="49" t="str">
        <f>VLOOKUP(C194,Datos!$B$13:$C$83,2,0)</f>
        <v>VIGENTE</v>
      </c>
      <c r="E194" s="49" t="s">
        <v>86</v>
      </c>
      <c r="F194" s="49" t="str">
        <f>IFERROR(VLOOKUP(H194,Datos!$J$2:$L$60,3,0),"OBSERVACIONES")</f>
        <v>PROCESO</v>
      </c>
      <c r="G194" s="49"/>
      <c r="H194" s="49" t="s">
        <v>87</v>
      </c>
      <c r="I194" s="49" t="s">
        <v>125</v>
      </c>
      <c r="J194" s="119" t="s">
        <v>432</v>
      </c>
      <c r="K194" s="16">
        <v>0</v>
      </c>
      <c r="L194" s="16">
        <v>0</v>
      </c>
      <c r="M194" s="16">
        <v>0</v>
      </c>
      <c r="N194" s="16">
        <v>0</v>
      </c>
      <c r="O194" s="16">
        <v>0</v>
      </c>
      <c r="P194" s="16">
        <v>0</v>
      </c>
      <c r="Q194" s="16">
        <v>0</v>
      </c>
      <c r="R194" s="16">
        <v>0</v>
      </c>
      <c r="S194" s="16">
        <v>0</v>
      </c>
      <c r="T194" s="16">
        <v>0</v>
      </c>
      <c r="U194" s="16">
        <v>0</v>
      </c>
      <c r="V194" s="16">
        <v>0</v>
      </c>
      <c r="W194" s="16">
        <v>0</v>
      </c>
      <c r="X194" s="16">
        <v>0</v>
      </c>
      <c r="Y194" s="16">
        <v>0</v>
      </c>
      <c r="Z194" s="16">
        <v>0</v>
      </c>
      <c r="AA194" s="16">
        <v>0</v>
      </c>
      <c r="AB194" s="16">
        <v>0</v>
      </c>
      <c r="AC194" s="16">
        <v>0</v>
      </c>
      <c r="AD194" s="16">
        <v>0</v>
      </c>
      <c r="AE194" s="16">
        <v>0</v>
      </c>
      <c r="AF194" s="16">
        <v>0</v>
      </c>
      <c r="AG194" s="16">
        <v>0</v>
      </c>
      <c r="AH194" s="16">
        <v>0</v>
      </c>
      <c r="AI194" s="16">
        <v>0</v>
      </c>
      <c r="AJ194" s="16">
        <v>0</v>
      </c>
      <c r="AK194" s="16">
        <v>0</v>
      </c>
      <c r="AL194" s="16">
        <v>0</v>
      </c>
      <c r="AM194" s="16">
        <v>0</v>
      </c>
      <c r="AN194" s="16">
        <v>0</v>
      </c>
      <c r="AO194" s="16">
        <v>0</v>
      </c>
      <c r="AP194" s="16">
        <v>0</v>
      </c>
      <c r="AQ194" s="16">
        <v>0</v>
      </c>
      <c r="AR194" s="16">
        <v>0</v>
      </c>
      <c r="AS194" s="16">
        <v>8</v>
      </c>
      <c r="AT194" s="16">
        <v>32</v>
      </c>
      <c r="AU194" s="16">
        <v>40</v>
      </c>
      <c r="AV194" s="16">
        <v>40</v>
      </c>
      <c r="AW194" s="16">
        <v>40</v>
      </c>
      <c r="AX194" s="16">
        <v>24</v>
      </c>
      <c r="AY194" s="16">
        <v>8</v>
      </c>
      <c r="AZ194" s="16">
        <v>40</v>
      </c>
      <c r="BA194" s="16">
        <v>40</v>
      </c>
      <c r="BB194" s="16">
        <v>40</v>
      </c>
      <c r="BC194" s="16">
        <v>40</v>
      </c>
      <c r="BD194" s="16">
        <v>40</v>
      </c>
      <c r="BE194" s="16">
        <v>0</v>
      </c>
      <c r="BF194" s="16">
        <v>0</v>
      </c>
      <c r="BG194" s="16">
        <v>0</v>
      </c>
      <c r="BH194" s="16">
        <v>0</v>
      </c>
      <c r="BI194" s="16">
        <v>0</v>
      </c>
      <c r="BJ194" s="16">
        <v>0</v>
      </c>
      <c r="BK194" s="16">
        <v>0</v>
      </c>
      <c r="BL194" s="16">
        <v>0</v>
      </c>
      <c r="BM194" s="16">
        <v>0</v>
      </c>
      <c r="BN194" s="16">
        <v>0</v>
      </c>
      <c r="BO194" s="16">
        <v>0</v>
      </c>
      <c r="BP194" s="16">
        <v>0</v>
      </c>
      <c r="BQ194" s="16">
        <v>0</v>
      </c>
      <c r="BR194" s="16">
        <v>0</v>
      </c>
      <c r="BS194" s="207">
        <f t="shared" si="93"/>
        <v>0</v>
      </c>
      <c r="BT194" s="207">
        <f t="shared" si="94"/>
        <v>0</v>
      </c>
      <c r="BU194" s="207">
        <f t="shared" si="95"/>
        <v>0</v>
      </c>
      <c r="BV194" s="207">
        <f t="shared" si="106"/>
        <v>0</v>
      </c>
      <c r="BW194" s="207">
        <f t="shared" si="96"/>
        <v>0</v>
      </c>
      <c r="BX194" s="207">
        <f t="shared" si="97"/>
        <v>0</v>
      </c>
      <c r="BY194" s="207">
        <f t="shared" si="98"/>
        <v>8</v>
      </c>
      <c r="BZ194" s="207">
        <f t="shared" si="99"/>
        <v>176</v>
      </c>
      <c r="CA194" s="207">
        <f t="shared" si="100"/>
        <v>168</v>
      </c>
      <c r="CB194" s="207">
        <f t="shared" si="101"/>
        <v>40</v>
      </c>
      <c r="CC194" s="207">
        <f t="shared" si="102"/>
        <v>0</v>
      </c>
      <c r="CD194" s="207">
        <f t="shared" si="103"/>
        <v>0</v>
      </c>
      <c r="CE194" s="207">
        <f t="shared" si="104"/>
        <v>392</v>
      </c>
    </row>
    <row r="195" spans="1:83" ht="12" customHeight="1" x14ac:dyDescent="0.2">
      <c r="A195" s="6">
        <v>3</v>
      </c>
      <c r="B195" s="49" t="str">
        <f t="shared" si="78"/>
        <v>Barbaran Broncales EmanuelMP002</v>
      </c>
      <c r="C195" s="117" t="str">
        <f t="shared" si="107"/>
        <v>Barbaran Broncales Emanuel</v>
      </c>
      <c r="D195" s="49" t="str">
        <f>VLOOKUP(C195,Datos!$B$13:$C$83,2,0)</f>
        <v>VIGENTE</v>
      </c>
      <c r="E195" s="49" t="s">
        <v>80</v>
      </c>
      <c r="F195" s="49" t="str">
        <f>IFERROR(VLOOKUP(H195,Datos!$J$2:$L$60,3,0),"OBSERVACIONES")</f>
        <v>PROCESO</v>
      </c>
      <c r="G195" s="49"/>
      <c r="H195" s="49" t="s">
        <v>81</v>
      </c>
      <c r="I195" s="49" t="s">
        <v>126</v>
      </c>
      <c r="J195" s="119" t="s">
        <v>29</v>
      </c>
      <c r="K195" s="16">
        <v>0</v>
      </c>
      <c r="L195" s="16">
        <v>0</v>
      </c>
      <c r="M195" s="16">
        <v>0</v>
      </c>
      <c r="N195" s="16">
        <v>0</v>
      </c>
      <c r="O195" s="16">
        <v>0</v>
      </c>
      <c r="P195" s="16">
        <v>0</v>
      </c>
      <c r="Q195" s="16">
        <v>0</v>
      </c>
      <c r="R195" s="16">
        <v>0</v>
      </c>
      <c r="S195" s="16">
        <v>0</v>
      </c>
      <c r="T195" s="16">
        <v>0</v>
      </c>
      <c r="U195" s="16">
        <v>0</v>
      </c>
      <c r="V195" s="16">
        <v>0</v>
      </c>
      <c r="W195" s="16">
        <v>0</v>
      </c>
      <c r="X195" s="16">
        <v>0</v>
      </c>
      <c r="Y195" s="16">
        <v>0</v>
      </c>
      <c r="Z195" s="16">
        <v>0</v>
      </c>
      <c r="AA195" s="16">
        <v>0</v>
      </c>
      <c r="AB195" s="16">
        <v>0</v>
      </c>
      <c r="AC195" s="16">
        <v>0</v>
      </c>
      <c r="AD195" s="16">
        <v>0</v>
      </c>
      <c r="AE195" s="16">
        <v>0</v>
      </c>
      <c r="AF195" s="16">
        <v>0</v>
      </c>
      <c r="AG195" s="16">
        <v>0</v>
      </c>
      <c r="AH195" s="16">
        <v>0</v>
      </c>
      <c r="AI195" s="16">
        <v>0</v>
      </c>
      <c r="AJ195" s="16">
        <v>0</v>
      </c>
      <c r="AK195" s="16">
        <v>0</v>
      </c>
      <c r="AL195" s="16">
        <v>0</v>
      </c>
      <c r="AM195" s="16">
        <v>0</v>
      </c>
      <c r="AN195" s="16">
        <v>0</v>
      </c>
      <c r="AO195" s="16">
        <v>0</v>
      </c>
      <c r="AP195" s="16">
        <v>0</v>
      </c>
      <c r="AQ195" s="16">
        <v>0</v>
      </c>
      <c r="AR195" s="16">
        <v>0</v>
      </c>
      <c r="AS195" s="16">
        <v>0</v>
      </c>
      <c r="AT195" s="16">
        <v>0</v>
      </c>
      <c r="AU195" s="16">
        <v>0</v>
      </c>
      <c r="AV195" s="16">
        <v>0</v>
      </c>
      <c r="AW195" s="16">
        <v>12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0</v>
      </c>
      <c r="BD195" s="16">
        <v>0</v>
      </c>
      <c r="BE195" s="16">
        <v>0</v>
      </c>
      <c r="BF195" s="16">
        <v>0</v>
      </c>
      <c r="BG195" s="16">
        <v>0</v>
      </c>
      <c r="BH195" s="16">
        <v>0</v>
      </c>
      <c r="BI195" s="16">
        <v>0</v>
      </c>
      <c r="BJ195" s="16">
        <v>0</v>
      </c>
      <c r="BK195" s="16">
        <v>0</v>
      </c>
      <c r="BL195" s="16">
        <v>0</v>
      </c>
      <c r="BM195" s="16">
        <v>0</v>
      </c>
      <c r="BN195" s="16">
        <v>0</v>
      </c>
      <c r="BO195" s="16">
        <v>0</v>
      </c>
      <c r="BP195" s="16">
        <v>0</v>
      </c>
      <c r="BQ195" s="16">
        <v>0</v>
      </c>
      <c r="BR195" s="16">
        <v>0</v>
      </c>
      <c r="BS195" s="207">
        <f t="shared" si="93"/>
        <v>0</v>
      </c>
      <c r="BT195" s="207">
        <f t="shared" si="94"/>
        <v>0</v>
      </c>
      <c r="BU195" s="207">
        <f t="shared" si="95"/>
        <v>0</v>
      </c>
      <c r="BV195" s="207">
        <f t="shared" si="106"/>
        <v>0</v>
      </c>
      <c r="BW195" s="207">
        <f t="shared" si="96"/>
        <v>0</v>
      </c>
      <c r="BX195" s="207">
        <f t="shared" si="97"/>
        <v>0</v>
      </c>
      <c r="BY195" s="207">
        <f t="shared" si="98"/>
        <v>0</v>
      </c>
      <c r="BZ195" s="207">
        <f t="shared" si="99"/>
        <v>12</v>
      </c>
      <c r="CA195" s="207">
        <f t="shared" si="100"/>
        <v>0</v>
      </c>
      <c r="CB195" s="207">
        <f t="shared" si="101"/>
        <v>0</v>
      </c>
      <c r="CC195" s="207">
        <f t="shared" si="102"/>
        <v>0</v>
      </c>
      <c r="CD195" s="207">
        <f t="shared" si="103"/>
        <v>0</v>
      </c>
      <c r="CE195" s="207">
        <f t="shared" si="104"/>
        <v>12</v>
      </c>
    </row>
    <row r="196" spans="1:83" ht="12" customHeight="1" x14ac:dyDescent="0.2">
      <c r="A196" s="6">
        <v>6</v>
      </c>
      <c r="B196" s="49" t="str">
        <f>C196&amp;H196</f>
        <v>Barbaran Broncales EmanuelINASISTENCIAS JUSTIFICADAS</v>
      </c>
      <c r="C196" s="117" t="str">
        <f t="shared" si="107"/>
        <v>Barbaran Broncales Emanuel</v>
      </c>
      <c r="D196" s="49" t="str">
        <f>VLOOKUP(C196,Datos!$B$13:$C$83,2,0)</f>
        <v>VIGENTE</v>
      </c>
      <c r="E196" s="49" t="s">
        <v>855</v>
      </c>
      <c r="F196" s="49"/>
      <c r="G196" s="49" t="str">
        <f>IFERROR(VLOOKUP(H196,Datos!$J$2:$L$60,3,0),"OBSERVACIONES")</f>
        <v>OBSERVACIONES</v>
      </c>
      <c r="H196" s="49" t="s">
        <v>855</v>
      </c>
      <c r="I196" s="49" t="s">
        <v>856</v>
      </c>
      <c r="J196" s="119" t="s">
        <v>29</v>
      </c>
      <c r="K196" s="16">
        <v>0</v>
      </c>
      <c r="L196" s="16">
        <v>0</v>
      </c>
      <c r="M196" s="16">
        <v>0</v>
      </c>
      <c r="N196" s="16">
        <v>0</v>
      </c>
      <c r="O196" s="16">
        <v>0</v>
      </c>
      <c r="P196" s="16">
        <v>0</v>
      </c>
      <c r="Q196" s="16">
        <v>0</v>
      </c>
      <c r="R196" s="16">
        <v>0</v>
      </c>
      <c r="S196" s="16">
        <v>0</v>
      </c>
      <c r="T196" s="16">
        <v>0</v>
      </c>
      <c r="U196" s="16">
        <v>0</v>
      </c>
      <c r="V196" s="16">
        <v>0</v>
      </c>
      <c r="W196" s="16">
        <v>0</v>
      </c>
      <c r="X196" s="16">
        <v>0</v>
      </c>
      <c r="Y196" s="16">
        <v>0</v>
      </c>
      <c r="Z196" s="16">
        <v>0</v>
      </c>
      <c r="AA196" s="16">
        <v>0</v>
      </c>
      <c r="AB196" s="16">
        <v>0</v>
      </c>
      <c r="AC196" s="16">
        <v>0</v>
      </c>
      <c r="AD196" s="16">
        <v>0</v>
      </c>
      <c r="AE196" s="16">
        <v>0</v>
      </c>
      <c r="AF196" s="16">
        <v>0</v>
      </c>
      <c r="AG196" s="16">
        <v>0</v>
      </c>
      <c r="AH196" s="16">
        <v>0</v>
      </c>
      <c r="AI196" s="16">
        <v>0</v>
      </c>
      <c r="AJ196" s="16">
        <v>0</v>
      </c>
      <c r="AK196" s="16">
        <v>0</v>
      </c>
      <c r="AL196" s="16">
        <v>0</v>
      </c>
      <c r="AM196" s="16">
        <v>0</v>
      </c>
      <c r="AN196" s="16">
        <v>0</v>
      </c>
      <c r="AO196" s="16">
        <v>0</v>
      </c>
      <c r="AP196" s="16">
        <v>0</v>
      </c>
      <c r="AQ196" s="16">
        <v>0</v>
      </c>
      <c r="AR196" s="16">
        <v>0</v>
      </c>
      <c r="AS196" s="16">
        <v>0</v>
      </c>
      <c r="AT196" s="16">
        <v>0</v>
      </c>
      <c r="AU196" s="16">
        <v>0</v>
      </c>
      <c r="AV196" s="16">
        <v>0</v>
      </c>
      <c r="AW196" s="16">
        <v>0</v>
      </c>
      <c r="AX196" s="16">
        <v>0</v>
      </c>
      <c r="AY196" s="16">
        <v>0</v>
      </c>
      <c r="AZ196" s="16">
        <v>0</v>
      </c>
      <c r="BA196" s="16">
        <v>8</v>
      </c>
      <c r="BB196" s="16">
        <v>0</v>
      </c>
      <c r="BC196" s="16">
        <v>0</v>
      </c>
      <c r="BD196" s="16">
        <v>0</v>
      </c>
      <c r="BE196" s="16">
        <v>0</v>
      </c>
      <c r="BF196" s="16">
        <v>0</v>
      </c>
      <c r="BG196" s="16">
        <v>0</v>
      </c>
      <c r="BH196" s="16">
        <v>0</v>
      </c>
      <c r="BI196" s="16">
        <v>0</v>
      </c>
      <c r="BJ196" s="16">
        <v>0</v>
      </c>
      <c r="BK196" s="16">
        <v>0</v>
      </c>
      <c r="BL196" s="16">
        <v>0</v>
      </c>
      <c r="BM196" s="16">
        <v>0</v>
      </c>
      <c r="BN196" s="16">
        <v>0</v>
      </c>
      <c r="BO196" s="16">
        <v>0</v>
      </c>
      <c r="BP196" s="16">
        <v>0</v>
      </c>
      <c r="BQ196" s="16">
        <v>0</v>
      </c>
      <c r="BR196" s="16">
        <v>0</v>
      </c>
      <c r="BS196" s="207">
        <f t="shared" si="93"/>
        <v>0</v>
      </c>
      <c r="BT196" s="207">
        <f t="shared" si="94"/>
        <v>0</v>
      </c>
      <c r="BU196" s="207">
        <f t="shared" si="95"/>
        <v>0</v>
      </c>
      <c r="BV196" s="207">
        <f t="shared" si="106"/>
        <v>0</v>
      </c>
      <c r="BW196" s="207">
        <f t="shared" si="96"/>
        <v>0</v>
      </c>
      <c r="BX196" s="207">
        <f t="shared" si="97"/>
        <v>0</v>
      </c>
      <c r="BY196" s="207">
        <f t="shared" si="98"/>
        <v>0</v>
      </c>
      <c r="BZ196" s="207">
        <f t="shared" si="99"/>
        <v>0</v>
      </c>
      <c r="CA196" s="207">
        <f t="shared" si="100"/>
        <v>8</v>
      </c>
      <c r="CB196" s="207">
        <f t="shared" si="101"/>
        <v>0</v>
      </c>
      <c r="CC196" s="207">
        <f t="shared" si="102"/>
        <v>0</v>
      </c>
      <c r="CD196" s="207">
        <f t="shared" si="103"/>
        <v>0</v>
      </c>
      <c r="CE196" s="207">
        <f t="shared" si="104"/>
        <v>8</v>
      </c>
    </row>
    <row r="197" spans="1:83" ht="12" customHeight="1" x14ac:dyDescent="0.2">
      <c r="A197" s="6">
        <v>3</v>
      </c>
      <c r="B197" s="49" t="str">
        <f t="shared" si="78"/>
        <v>Barbaran Broncales EmanuelMP001</v>
      </c>
      <c r="C197" s="117" t="str">
        <f t="shared" si="107"/>
        <v>Barbaran Broncales Emanuel</v>
      </c>
      <c r="D197" s="49" t="str">
        <f>VLOOKUP(C197,Datos!$B$13:$C$83,2,0)</f>
        <v>VIGENTE</v>
      </c>
      <c r="E197" s="49" t="s">
        <v>86</v>
      </c>
      <c r="F197" s="49" t="str">
        <f>IFERROR(VLOOKUP(H197,Datos!$J$2:$L$60,3,0),"OBSERVACIONES")</f>
        <v>PROCESO</v>
      </c>
      <c r="G197" s="49"/>
      <c r="H197" s="49" t="s">
        <v>87</v>
      </c>
      <c r="I197" s="49" t="s">
        <v>125</v>
      </c>
      <c r="J197" s="119" t="s">
        <v>29</v>
      </c>
      <c r="K197" s="16">
        <v>0</v>
      </c>
      <c r="L197" s="16">
        <v>0</v>
      </c>
      <c r="M197" s="16">
        <v>0</v>
      </c>
      <c r="N197" s="16">
        <v>0</v>
      </c>
      <c r="O197" s="16">
        <v>0</v>
      </c>
      <c r="P197" s="16">
        <v>0</v>
      </c>
      <c r="Q197" s="16">
        <v>0</v>
      </c>
      <c r="R197" s="16">
        <v>0</v>
      </c>
      <c r="S197" s="16">
        <v>0</v>
      </c>
      <c r="T197" s="16">
        <v>0</v>
      </c>
      <c r="U197" s="16">
        <v>0</v>
      </c>
      <c r="V197" s="16">
        <v>0</v>
      </c>
      <c r="W197" s="16">
        <v>0</v>
      </c>
      <c r="X197" s="16">
        <v>0</v>
      </c>
      <c r="Y197" s="16">
        <v>0</v>
      </c>
      <c r="Z197" s="16">
        <v>0</v>
      </c>
      <c r="AA197" s="16">
        <v>0</v>
      </c>
      <c r="AB197" s="16">
        <v>0</v>
      </c>
      <c r="AC197" s="16">
        <v>0</v>
      </c>
      <c r="AD197" s="16">
        <v>0</v>
      </c>
      <c r="AE197" s="16">
        <v>0</v>
      </c>
      <c r="AF197" s="16">
        <v>0</v>
      </c>
      <c r="AG197" s="16">
        <v>0</v>
      </c>
      <c r="AH197" s="16">
        <v>0</v>
      </c>
      <c r="AI197" s="16">
        <v>0</v>
      </c>
      <c r="AJ197" s="16">
        <v>0</v>
      </c>
      <c r="AK197" s="16">
        <v>0</v>
      </c>
      <c r="AL197" s="16">
        <v>0</v>
      </c>
      <c r="AM197" s="16">
        <v>0</v>
      </c>
      <c r="AN197" s="16">
        <v>0</v>
      </c>
      <c r="AO197" s="16">
        <v>0</v>
      </c>
      <c r="AP197" s="16">
        <v>0</v>
      </c>
      <c r="AQ197" s="16">
        <v>32</v>
      </c>
      <c r="AR197" s="16">
        <v>0</v>
      </c>
      <c r="AS197" s="16">
        <v>8</v>
      </c>
      <c r="AT197" s="16">
        <v>32</v>
      </c>
      <c r="AU197" s="16">
        <v>40</v>
      </c>
      <c r="AV197" s="16">
        <v>40</v>
      </c>
      <c r="AW197" s="16">
        <v>28</v>
      </c>
      <c r="AX197" s="16">
        <v>24</v>
      </c>
      <c r="AY197" s="16">
        <v>8</v>
      </c>
      <c r="AZ197" s="16">
        <v>40</v>
      </c>
      <c r="BA197" s="16">
        <v>32</v>
      </c>
      <c r="BB197" s="16">
        <v>40</v>
      </c>
      <c r="BC197" s="16">
        <v>40</v>
      </c>
      <c r="BD197" s="16">
        <v>40</v>
      </c>
      <c r="BE197" s="16">
        <v>0</v>
      </c>
      <c r="BF197" s="16">
        <v>0</v>
      </c>
      <c r="BG197" s="16">
        <v>0</v>
      </c>
      <c r="BH197" s="16">
        <v>0</v>
      </c>
      <c r="BI197" s="16">
        <v>0</v>
      </c>
      <c r="BJ197" s="16">
        <v>0</v>
      </c>
      <c r="BK197" s="16">
        <v>0</v>
      </c>
      <c r="BL197" s="16">
        <v>0</v>
      </c>
      <c r="BM197" s="16">
        <v>0</v>
      </c>
      <c r="BN197" s="16">
        <v>0</v>
      </c>
      <c r="BO197" s="16">
        <v>0</v>
      </c>
      <c r="BP197" s="16">
        <v>0</v>
      </c>
      <c r="BQ197" s="16">
        <v>0</v>
      </c>
      <c r="BR197" s="16">
        <v>0</v>
      </c>
      <c r="BS197" s="207">
        <f t="shared" si="93"/>
        <v>0</v>
      </c>
      <c r="BT197" s="207">
        <f t="shared" si="94"/>
        <v>0</v>
      </c>
      <c r="BU197" s="207">
        <f t="shared" si="95"/>
        <v>0</v>
      </c>
      <c r="BV197" s="207">
        <f t="shared" si="106"/>
        <v>0</v>
      </c>
      <c r="BW197" s="207">
        <f t="shared" si="96"/>
        <v>0</v>
      </c>
      <c r="BX197" s="207">
        <f t="shared" si="97"/>
        <v>0</v>
      </c>
      <c r="BY197" s="207">
        <f t="shared" si="98"/>
        <v>40</v>
      </c>
      <c r="BZ197" s="207">
        <f t="shared" si="99"/>
        <v>164</v>
      </c>
      <c r="CA197" s="207">
        <f t="shared" si="100"/>
        <v>160</v>
      </c>
      <c r="CB197" s="207">
        <f t="shared" si="101"/>
        <v>40</v>
      </c>
      <c r="CC197" s="207">
        <f t="shared" si="102"/>
        <v>0</v>
      </c>
      <c r="CD197" s="207">
        <f t="shared" si="103"/>
        <v>0</v>
      </c>
      <c r="CE197" s="207">
        <f t="shared" si="104"/>
        <v>404</v>
      </c>
    </row>
    <row r="198" spans="1:83" ht="12" customHeight="1" x14ac:dyDescent="0.2">
      <c r="A198" s="6">
        <v>3</v>
      </c>
      <c r="B198" s="49" t="str">
        <f>C198&amp;H198</f>
        <v>Cumpa Miguel AngelMP001</v>
      </c>
      <c r="C198" s="117" t="str">
        <f t="shared" si="107"/>
        <v>Cumpa Miguel Angel</v>
      </c>
      <c r="D198" s="49" t="str">
        <f>VLOOKUP(C198,Datos!$B$13:$C$83,2,0)</f>
        <v>CESADO</v>
      </c>
      <c r="E198" s="49" t="s">
        <v>86</v>
      </c>
      <c r="F198" s="49" t="str">
        <f>IFERROR(VLOOKUP(H198,Datos!$J$2:$L$60,3,0),"OBSERVACIONES")</f>
        <v>PROCESO</v>
      </c>
      <c r="G198" s="49"/>
      <c r="H198" s="49" t="s">
        <v>87</v>
      </c>
      <c r="I198" s="49" t="s">
        <v>125</v>
      </c>
      <c r="J198" s="119" t="s">
        <v>857</v>
      </c>
      <c r="K198" s="16">
        <v>0</v>
      </c>
      <c r="L198" s="16">
        <v>0</v>
      </c>
      <c r="M198" s="16">
        <v>0</v>
      </c>
      <c r="N198" s="16">
        <v>0</v>
      </c>
      <c r="O198" s="16">
        <v>0</v>
      </c>
      <c r="P198" s="16">
        <v>0</v>
      </c>
      <c r="Q198" s="16">
        <v>0</v>
      </c>
      <c r="R198" s="16">
        <v>0</v>
      </c>
      <c r="S198" s="16">
        <v>0</v>
      </c>
      <c r="T198" s="16">
        <v>0</v>
      </c>
      <c r="U198" s="16">
        <v>0</v>
      </c>
      <c r="V198" s="16">
        <v>0</v>
      </c>
      <c r="W198" s="16">
        <v>0</v>
      </c>
      <c r="X198" s="16">
        <v>0</v>
      </c>
      <c r="Y198" s="16">
        <v>0</v>
      </c>
      <c r="Z198" s="16">
        <v>0</v>
      </c>
      <c r="AA198" s="16">
        <v>0</v>
      </c>
      <c r="AB198" s="16">
        <v>0</v>
      </c>
      <c r="AC198" s="16">
        <v>0</v>
      </c>
      <c r="AD198" s="16">
        <v>0</v>
      </c>
      <c r="AE198" s="16">
        <v>0</v>
      </c>
      <c r="AF198" s="16">
        <v>0</v>
      </c>
      <c r="AG198" s="16">
        <v>0</v>
      </c>
      <c r="AH198" s="16">
        <v>0</v>
      </c>
      <c r="AI198" s="16">
        <v>0</v>
      </c>
      <c r="AJ198" s="16">
        <v>0</v>
      </c>
      <c r="AK198" s="16">
        <v>0</v>
      </c>
      <c r="AL198" s="16">
        <v>0</v>
      </c>
      <c r="AM198" s="16">
        <v>0</v>
      </c>
      <c r="AN198" s="16">
        <v>0</v>
      </c>
      <c r="AO198" s="16">
        <v>0</v>
      </c>
      <c r="AP198" s="16">
        <v>0</v>
      </c>
      <c r="AQ198" s="16">
        <v>0</v>
      </c>
      <c r="AR198" s="16">
        <v>0</v>
      </c>
      <c r="AS198" s="16">
        <v>0</v>
      </c>
      <c r="AT198" s="16">
        <v>0</v>
      </c>
      <c r="AU198" s="16">
        <v>0</v>
      </c>
      <c r="AV198" s="16">
        <v>40</v>
      </c>
      <c r="AW198" s="16">
        <v>8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0</v>
      </c>
      <c r="BD198" s="16">
        <v>0</v>
      </c>
      <c r="BE198" s="16">
        <v>0</v>
      </c>
      <c r="BF198" s="16">
        <v>0</v>
      </c>
      <c r="BG198" s="16">
        <v>0</v>
      </c>
      <c r="BH198" s="16">
        <v>0</v>
      </c>
      <c r="BI198" s="16">
        <v>0</v>
      </c>
      <c r="BJ198" s="16">
        <v>0</v>
      </c>
      <c r="BK198" s="16">
        <v>0</v>
      </c>
      <c r="BL198" s="16">
        <v>0</v>
      </c>
      <c r="BM198" s="16">
        <v>0</v>
      </c>
      <c r="BN198" s="16">
        <v>0</v>
      </c>
      <c r="BO198" s="16">
        <v>0</v>
      </c>
      <c r="BP198" s="16">
        <v>0</v>
      </c>
      <c r="BQ198" s="16">
        <v>0</v>
      </c>
      <c r="BR198" s="16">
        <v>0</v>
      </c>
      <c r="BS198" s="207">
        <f t="shared" si="93"/>
        <v>0</v>
      </c>
      <c r="BT198" s="207">
        <f t="shared" si="94"/>
        <v>0</v>
      </c>
      <c r="BU198" s="207">
        <f t="shared" si="95"/>
        <v>0</v>
      </c>
      <c r="BV198" s="207">
        <f t="shared" si="106"/>
        <v>0</v>
      </c>
      <c r="BW198" s="207">
        <f t="shared" si="96"/>
        <v>0</v>
      </c>
      <c r="BX198" s="207">
        <f t="shared" si="97"/>
        <v>0</v>
      </c>
      <c r="BY198" s="207">
        <f t="shared" si="98"/>
        <v>0</v>
      </c>
      <c r="BZ198" s="207">
        <f t="shared" si="99"/>
        <v>48</v>
      </c>
      <c r="CA198" s="207">
        <f t="shared" si="100"/>
        <v>0</v>
      </c>
      <c r="CB198" s="207">
        <f t="shared" si="101"/>
        <v>0</v>
      </c>
      <c r="CC198" s="207">
        <f t="shared" si="102"/>
        <v>0</v>
      </c>
      <c r="CD198" s="207">
        <f t="shared" si="103"/>
        <v>0</v>
      </c>
      <c r="CE198" s="207">
        <f t="shared" si="104"/>
        <v>48</v>
      </c>
    </row>
    <row r="199" spans="1:83" ht="12" customHeight="1" x14ac:dyDescent="0.2">
      <c r="A199" s="6">
        <v>3</v>
      </c>
      <c r="B199" s="49" t="str">
        <f t="shared" ref="B199" si="108">C199&amp;H199</f>
        <v>Serrano Escalona Armando JoseMP001</v>
      </c>
      <c r="C199" s="117" t="str">
        <f t="shared" si="107"/>
        <v>Serrano Escalona Armando Jose</v>
      </c>
      <c r="D199" s="49" t="str">
        <f>VLOOKUP(C199,Datos!$B$13:$C$95,2,0)</f>
        <v>VIGENTE</v>
      </c>
      <c r="E199" s="49" t="s">
        <v>86</v>
      </c>
      <c r="F199" s="49" t="str">
        <f>IFERROR(VLOOKUP(H199,Datos!$J$2:$L$60,3,0),"OBSERVACIONES")</f>
        <v>PROCESO</v>
      </c>
      <c r="G199" s="49"/>
      <c r="H199" s="49" t="s">
        <v>87</v>
      </c>
      <c r="I199" s="49" t="s">
        <v>125</v>
      </c>
      <c r="J199" s="119" t="s">
        <v>972</v>
      </c>
      <c r="K199" s="16">
        <v>0</v>
      </c>
      <c r="L199" s="16">
        <v>0</v>
      </c>
      <c r="M199" s="16">
        <v>0</v>
      </c>
      <c r="N199" s="16">
        <v>0</v>
      </c>
      <c r="O199" s="16">
        <v>0</v>
      </c>
      <c r="P199" s="16">
        <v>0</v>
      </c>
      <c r="Q199" s="16">
        <v>0</v>
      </c>
      <c r="R199" s="16">
        <v>0</v>
      </c>
      <c r="S199" s="16">
        <v>0</v>
      </c>
      <c r="T199" s="16">
        <v>0</v>
      </c>
      <c r="U199" s="16">
        <v>0</v>
      </c>
      <c r="V199" s="16">
        <v>0</v>
      </c>
      <c r="W199" s="16">
        <v>0</v>
      </c>
      <c r="X199" s="16">
        <v>0</v>
      </c>
      <c r="Y199" s="16">
        <v>0</v>
      </c>
      <c r="Z199" s="16">
        <v>0</v>
      </c>
      <c r="AA199" s="16">
        <v>0</v>
      </c>
      <c r="AB199" s="16">
        <v>0</v>
      </c>
      <c r="AC199" s="16">
        <v>0</v>
      </c>
      <c r="AD199" s="16">
        <v>0</v>
      </c>
      <c r="AE199" s="16">
        <v>0</v>
      </c>
      <c r="AF199" s="16">
        <v>0</v>
      </c>
      <c r="AG199" s="16">
        <v>0</v>
      </c>
      <c r="AH199" s="16">
        <v>0</v>
      </c>
      <c r="AI199" s="16">
        <v>0</v>
      </c>
      <c r="AJ199" s="16">
        <v>0</v>
      </c>
      <c r="AK199" s="16">
        <v>0</v>
      </c>
      <c r="AL199" s="16">
        <v>0</v>
      </c>
      <c r="AM199" s="16">
        <v>0</v>
      </c>
      <c r="AN199" s="16">
        <v>0</v>
      </c>
      <c r="AO199" s="16">
        <v>0</v>
      </c>
      <c r="AP199" s="16">
        <v>0</v>
      </c>
      <c r="AQ199" s="16">
        <v>0</v>
      </c>
      <c r="AR199" s="16">
        <v>0</v>
      </c>
      <c r="AS199" s="16">
        <v>0</v>
      </c>
      <c r="AT199" s="16">
        <v>0</v>
      </c>
      <c r="AU199" s="16">
        <v>0</v>
      </c>
      <c r="AV199" s="16">
        <v>0</v>
      </c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40</v>
      </c>
      <c r="BD199" s="16">
        <v>40</v>
      </c>
      <c r="BE199" s="16">
        <v>0</v>
      </c>
      <c r="BF199" s="16">
        <v>0</v>
      </c>
      <c r="BG199" s="16">
        <v>0</v>
      </c>
      <c r="BH199" s="16">
        <v>0</v>
      </c>
      <c r="BI199" s="16">
        <v>0</v>
      </c>
      <c r="BJ199" s="16">
        <v>0</v>
      </c>
      <c r="BK199" s="16">
        <v>0</v>
      </c>
      <c r="BL199" s="16">
        <v>0</v>
      </c>
      <c r="BM199" s="16">
        <v>0</v>
      </c>
      <c r="BN199" s="16">
        <v>0</v>
      </c>
      <c r="BO199" s="16">
        <v>0</v>
      </c>
      <c r="BP199" s="16">
        <v>0</v>
      </c>
      <c r="BQ199" s="16">
        <v>0</v>
      </c>
      <c r="BR199" s="16">
        <v>0</v>
      </c>
      <c r="BS199" s="207">
        <f t="shared" si="93"/>
        <v>0</v>
      </c>
      <c r="BT199" s="207">
        <f t="shared" si="94"/>
        <v>0</v>
      </c>
      <c r="BU199" s="207">
        <f t="shared" si="95"/>
        <v>0</v>
      </c>
      <c r="BV199" s="207">
        <f t="shared" si="106"/>
        <v>0</v>
      </c>
      <c r="BW199" s="207">
        <f t="shared" si="96"/>
        <v>0</v>
      </c>
      <c r="BX199" s="207">
        <f t="shared" si="97"/>
        <v>0</v>
      </c>
      <c r="BY199" s="207">
        <f t="shared" si="99"/>
        <v>0</v>
      </c>
      <c r="BZ199" s="207">
        <f t="shared" si="99"/>
        <v>0</v>
      </c>
      <c r="CA199" s="207">
        <f t="shared" si="100"/>
        <v>40</v>
      </c>
      <c r="CB199" s="207">
        <f t="shared" si="101"/>
        <v>40</v>
      </c>
      <c r="CC199" s="207">
        <f t="shared" si="102"/>
        <v>0</v>
      </c>
      <c r="CD199" s="207">
        <f t="shared" si="103"/>
        <v>0</v>
      </c>
      <c r="CE199" s="207">
        <f t="shared" si="104"/>
        <v>80</v>
      </c>
    </row>
    <row r="200" spans="1:83" ht="12" customHeight="1" x14ac:dyDescent="0.2">
      <c r="A200" s="6">
        <v>3</v>
      </c>
      <c r="B200" s="49" t="str">
        <f t="shared" si="78"/>
        <v>Lozano Jose LuizMP001</v>
      </c>
      <c r="C200" s="117" t="str">
        <f t="shared" si="105"/>
        <v>Lozano Jose Luiz</v>
      </c>
      <c r="D200" s="49" t="str">
        <f>VLOOKUP(C200,Datos!$B$13:$C$100,2,0)</f>
        <v>VIGENTE</v>
      </c>
      <c r="E200" s="49" t="s">
        <v>86</v>
      </c>
      <c r="F200" s="49" t="str">
        <f>IFERROR(VLOOKUP(H200,Datos!$J$2:$L$60,3,0),"OBSERVACIONES")</f>
        <v>PROCESO</v>
      </c>
      <c r="G200" s="49"/>
      <c r="H200" s="49" t="s">
        <v>87</v>
      </c>
      <c r="I200" s="49" t="s">
        <v>125</v>
      </c>
      <c r="J200" s="119" t="s">
        <v>985</v>
      </c>
      <c r="K200" s="16">
        <v>0</v>
      </c>
      <c r="L200" s="16">
        <v>0</v>
      </c>
      <c r="M200" s="16">
        <v>0</v>
      </c>
      <c r="N200" s="16">
        <v>0</v>
      </c>
      <c r="O200" s="16">
        <v>0</v>
      </c>
      <c r="P200" s="16">
        <v>0</v>
      </c>
      <c r="Q200" s="16">
        <v>0</v>
      </c>
      <c r="R200" s="16">
        <v>0</v>
      </c>
      <c r="S200" s="16">
        <v>0</v>
      </c>
      <c r="T200" s="16">
        <v>0</v>
      </c>
      <c r="U200" s="16">
        <v>0</v>
      </c>
      <c r="V200" s="16">
        <v>0</v>
      </c>
      <c r="W200" s="16">
        <v>0</v>
      </c>
      <c r="X200" s="16">
        <v>0</v>
      </c>
      <c r="Y200" s="16">
        <v>0</v>
      </c>
      <c r="Z200" s="16">
        <v>0</v>
      </c>
      <c r="AA200" s="16">
        <v>0</v>
      </c>
      <c r="AB200" s="16">
        <v>0</v>
      </c>
      <c r="AC200" s="16">
        <v>0</v>
      </c>
      <c r="AD200" s="16">
        <v>0</v>
      </c>
      <c r="AE200" s="16">
        <v>0</v>
      </c>
      <c r="AF200" s="16">
        <v>0</v>
      </c>
      <c r="AG200" s="16">
        <v>0</v>
      </c>
      <c r="AH200" s="16">
        <v>0</v>
      </c>
      <c r="AI200" s="16">
        <v>0</v>
      </c>
      <c r="AJ200" s="16">
        <v>0</v>
      </c>
      <c r="AK200" s="16">
        <v>0</v>
      </c>
      <c r="AL200" s="16">
        <v>0</v>
      </c>
      <c r="AM200" s="16">
        <v>0</v>
      </c>
      <c r="AN200" s="16">
        <v>0</v>
      </c>
      <c r="AO200" s="16">
        <v>0</v>
      </c>
      <c r="AP200" s="16">
        <v>0</v>
      </c>
      <c r="AQ200" s="16">
        <v>0</v>
      </c>
      <c r="AR200" s="16">
        <v>0</v>
      </c>
      <c r="AS200" s="16">
        <v>0</v>
      </c>
      <c r="AT200" s="16">
        <v>0</v>
      </c>
      <c r="AU200" s="16">
        <v>0</v>
      </c>
      <c r="AV200" s="16">
        <v>0</v>
      </c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0</v>
      </c>
      <c r="BD200" s="16">
        <v>8</v>
      </c>
      <c r="BE200" s="16">
        <v>0</v>
      </c>
      <c r="BF200" s="16">
        <v>0</v>
      </c>
      <c r="BG200" s="16">
        <v>0</v>
      </c>
      <c r="BH200" s="16">
        <v>0</v>
      </c>
      <c r="BI200" s="16">
        <v>0</v>
      </c>
      <c r="BJ200" s="16">
        <v>0</v>
      </c>
      <c r="BK200" s="16">
        <v>0</v>
      </c>
      <c r="BL200" s="16">
        <v>0</v>
      </c>
      <c r="BM200" s="16">
        <v>0</v>
      </c>
      <c r="BN200" s="16">
        <v>0</v>
      </c>
      <c r="BO200" s="16">
        <v>0</v>
      </c>
      <c r="BP200" s="16">
        <v>0</v>
      </c>
      <c r="BQ200" s="16">
        <v>0</v>
      </c>
      <c r="BR200" s="16">
        <v>0</v>
      </c>
      <c r="BS200" s="207">
        <f t="shared" si="93"/>
        <v>0</v>
      </c>
      <c r="BT200" s="207">
        <f t="shared" si="94"/>
        <v>0</v>
      </c>
      <c r="BU200" s="207">
        <f t="shared" si="95"/>
        <v>0</v>
      </c>
      <c r="BV200" s="207">
        <f t="shared" si="106"/>
        <v>0</v>
      </c>
      <c r="BW200" s="207">
        <f t="shared" si="96"/>
        <v>0</v>
      </c>
      <c r="BX200" s="207">
        <f t="shared" si="97"/>
        <v>0</v>
      </c>
      <c r="BY200" s="207">
        <f t="shared" si="99"/>
        <v>0</v>
      </c>
      <c r="BZ200" s="207">
        <f t="shared" si="99"/>
        <v>0</v>
      </c>
      <c r="CA200" s="207">
        <f t="shared" si="100"/>
        <v>0</v>
      </c>
      <c r="CB200" s="207">
        <f t="shared" si="101"/>
        <v>8</v>
      </c>
      <c r="CC200" s="207">
        <f t="shared" si="102"/>
        <v>0</v>
      </c>
      <c r="CD200" s="207">
        <f t="shared" si="103"/>
        <v>0</v>
      </c>
      <c r="CE200" s="207">
        <f t="shared" si="104"/>
        <v>8</v>
      </c>
    </row>
    <row r="201" spans="1:83" ht="12" customHeight="1" x14ac:dyDescent="0.2">
      <c r="A201" s="6">
        <v>5</v>
      </c>
      <c r="B201" s="49" t="str">
        <f t="shared" ref="B201" si="109">C201&amp;H201</f>
        <v>Lozano Jose LuizINASISTENCIAS</v>
      </c>
      <c r="C201" s="117" t="str">
        <f t="shared" ref="C201" si="110">J201</f>
        <v>Lozano Jose Luiz</v>
      </c>
      <c r="D201" s="49" t="str">
        <f>VLOOKUP(C201,Datos!$B$13:$C$100,2,0)</f>
        <v>VIGENTE</v>
      </c>
      <c r="E201" s="50" t="s">
        <v>208</v>
      </c>
      <c r="F201" s="49"/>
      <c r="G201" s="49" t="str">
        <f>IFERROR(VLOOKUP(H201,Datos!$J$2:$L$60,3,0),"OBSERVACIONES")</f>
        <v>OBSERVACIONES</v>
      </c>
      <c r="H201" s="50" t="s">
        <v>208</v>
      </c>
      <c r="I201" s="50" t="s">
        <v>210</v>
      </c>
      <c r="J201" s="119" t="s">
        <v>985</v>
      </c>
      <c r="K201" s="16">
        <v>0</v>
      </c>
      <c r="L201" s="16">
        <v>0</v>
      </c>
      <c r="M201" s="16">
        <v>0</v>
      </c>
      <c r="N201" s="16">
        <v>0</v>
      </c>
      <c r="O201" s="16">
        <v>0</v>
      </c>
      <c r="P201" s="16">
        <v>0</v>
      </c>
      <c r="Q201" s="16">
        <v>0</v>
      </c>
      <c r="R201" s="16">
        <v>0</v>
      </c>
      <c r="S201" s="16">
        <v>0</v>
      </c>
      <c r="T201" s="16">
        <v>0</v>
      </c>
      <c r="U201" s="16">
        <v>0</v>
      </c>
      <c r="V201" s="16">
        <v>0</v>
      </c>
      <c r="W201" s="16">
        <v>0</v>
      </c>
      <c r="X201" s="16">
        <v>0</v>
      </c>
      <c r="Y201" s="16">
        <v>0</v>
      </c>
      <c r="Z201" s="16">
        <v>0</v>
      </c>
      <c r="AA201" s="16">
        <v>0</v>
      </c>
      <c r="AB201" s="16">
        <v>0</v>
      </c>
      <c r="AC201" s="16">
        <v>0</v>
      </c>
      <c r="AD201" s="16">
        <v>0</v>
      </c>
      <c r="AE201" s="16">
        <v>0</v>
      </c>
      <c r="AF201" s="16">
        <v>0</v>
      </c>
      <c r="AG201" s="16">
        <v>0</v>
      </c>
      <c r="AH201" s="16">
        <v>0</v>
      </c>
      <c r="AI201" s="16">
        <v>0</v>
      </c>
      <c r="AJ201" s="16">
        <v>0</v>
      </c>
      <c r="AK201" s="16">
        <v>0</v>
      </c>
      <c r="AL201" s="16">
        <v>0</v>
      </c>
      <c r="AM201" s="16">
        <v>0</v>
      </c>
      <c r="AN201" s="16">
        <v>0</v>
      </c>
      <c r="AO201" s="16">
        <v>0</v>
      </c>
      <c r="AP201" s="16">
        <v>0</v>
      </c>
      <c r="AQ201" s="16">
        <v>0</v>
      </c>
      <c r="AR201" s="16">
        <v>0</v>
      </c>
      <c r="AS201" s="16">
        <v>0</v>
      </c>
      <c r="AT201" s="16">
        <v>0</v>
      </c>
      <c r="AU201" s="16">
        <v>0</v>
      </c>
      <c r="AV201" s="16">
        <v>0</v>
      </c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0</v>
      </c>
      <c r="BD201" s="16">
        <v>32</v>
      </c>
      <c r="BE201" s="16">
        <v>0</v>
      </c>
      <c r="BF201" s="16">
        <v>0</v>
      </c>
      <c r="BG201" s="16">
        <v>0</v>
      </c>
      <c r="BH201" s="16">
        <v>0</v>
      </c>
      <c r="BI201" s="16">
        <v>0</v>
      </c>
      <c r="BJ201" s="16">
        <v>0</v>
      </c>
      <c r="BK201" s="16">
        <v>0</v>
      </c>
      <c r="BL201" s="16">
        <v>0</v>
      </c>
      <c r="BM201" s="16">
        <v>0</v>
      </c>
      <c r="BN201" s="16">
        <v>0</v>
      </c>
      <c r="BO201" s="16">
        <v>0</v>
      </c>
      <c r="BP201" s="16">
        <v>0</v>
      </c>
      <c r="BQ201" s="16">
        <v>0</v>
      </c>
      <c r="BR201" s="16">
        <v>0</v>
      </c>
      <c r="BS201" s="207">
        <f t="shared" si="93"/>
        <v>0</v>
      </c>
      <c r="BT201" s="207">
        <f t="shared" si="94"/>
        <v>0</v>
      </c>
      <c r="BU201" s="207">
        <f t="shared" si="95"/>
        <v>0</v>
      </c>
      <c r="BV201" s="207">
        <f t="shared" si="106"/>
        <v>0</v>
      </c>
      <c r="BW201" s="207">
        <f t="shared" si="96"/>
        <v>0</v>
      </c>
      <c r="BX201" s="207">
        <f t="shared" si="97"/>
        <v>0</v>
      </c>
      <c r="BY201" s="207">
        <f t="shared" si="99"/>
        <v>0</v>
      </c>
      <c r="BZ201" s="207">
        <f t="shared" si="99"/>
        <v>0</v>
      </c>
      <c r="CA201" s="207">
        <f t="shared" si="100"/>
        <v>0</v>
      </c>
      <c r="CB201" s="207">
        <f t="shared" si="101"/>
        <v>32</v>
      </c>
      <c r="CC201" s="207">
        <f t="shared" si="102"/>
        <v>0</v>
      </c>
      <c r="CD201" s="207">
        <f t="shared" si="103"/>
        <v>0</v>
      </c>
      <c r="CE201" s="207">
        <f t="shared" si="104"/>
        <v>32</v>
      </c>
    </row>
    <row r="202" spans="1:83" ht="12" customHeight="1" x14ac:dyDescent="0.2">
      <c r="A202" s="6">
        <v>3</v>
      </c>
      <c r="B202" s="49" t="str">
        <f t="shared" si="78"/>
        <v>Galvez Aguilar Arturo JesusMP001</v>
      </c>
      <c r="C202" s="117" t="str">
        <f t="shared" si="105"/>
        <v>Galvez Aguilar Arturo Jesus</v>
      </c>
      <c r="D202" s="49" t="str">
        <f>VLOOKUP(C202,Datos!$B$13:$C$83,2,0)</f>
        <v>CESADO</v>
      </c>
      <c r="E202" s="49" t="s">
        <v>86</v>
      </c>
      <c r="F202" s="49" t="str">
        <f>IFERROR(VLOOKUP(H202,Datos!$J$2:$L$60,3,0),"OBSERVACIONES")</f>
        <v>PROCESO</v>
      </c>
      <c r="G202" s="49"/>
      <c r="H202" s="49" t="s">
        <v>87</v>
      </c>
      <c r="I202" s="49" t="s">
        <v>125</v>
      </c>
      <c r="J202" s="119" t="s">
        <v>107</v>
      </c>
      <c r="K202" s="16">
        <v>0</v>
      </c>
      <c r="L202" s="16">
        <v>0</v>
      </c>
      <c r="M202" s="16">
        <v>0</v>
      </c>
      <c r="N202" s="16">
        <v>0</v>
      </c>
      <c r="O202" s="16">
        <v>0</v>
      </c>
      <c r="P202" s="16">
        <v>0</v>
      </c>
      <c r="Q202" s="16">
        <v>0</v>
      </c>
      <c r="R202" s="16">
        <v>0</v>
      </c>
      <c r="S202" s="16">
        <v>0</v>
      </c>
      <c r="T202" s="16">
        <v>0</v>
      </c>
      <c r="U202" s="16">
        <v>0</v>
      </c>
      <c r="V202" s="16">
        <v>0</v>
      </c>
      <c r="W202" s="16">
        <v>0</v>
      </c>
      <c r="X202" s="16">
        <v>0</v>
      </c>
      <c r="Y202" s="16">
        <v>0</v>
      </c>
      <c r="Z202" s="16">
        <v>0</v>
      </c>
      <c r="AA202" s="16">
        <v>0</v>
      </c>
      <c r="AB202" s="16">
        <v>0</v>
      </c>
      <c r="AC202" s="16">
        <v>0</v>
      </c>
      <c r="AD202" s="16">
        <v>24</v>
      </c>
      <c r="AE202" s="16">
        <v>40</v>
      </c>
      <c r="AF202" s="16">
        <v>40</v>
      </c>
      <c r="AG202" s="16">
        <v>40</v>
      </c>
      <c r="AH202" s="16">
        <v>24</v>
      </c>
      <c r="AI202" s="16">
        <v>16</v>
      </c>
      <c r="AJ202" s="16">
        <f>40-16</f>
        <v>24</v>
      </c>
      <c r="AK202" s="16">
        <v>40</v>
      </c>
      <c r="AL202" s="16">
        <v>40</v>
      </c>
      <c r="AM202" s="16">
        <v>32</v>
      </c>
      <c r="AN202" s="16">
        <v>40</v>
      </c>
      <c r="AO202" s="16">
        <v>40</v>
      </c>
      <c r="AP202" s="16">
        <v>40</v>
      </c>
      <c r="AQ202" s="16">
        <v>0</v>
      </c>
      <c r="AR202" s="16">
        <v>0</v>
      </c>
      <c r="AS202" s="16">
        <v>0</v>
      </c>
      <c r="AT202" s="16">
        <v>0</v>
      </c>
      <c r="AU202" s="16">
        <v>0</v>
      </c>
      <c r="AV202" s="16">
        <v>0</v>
      </c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0</v>
      </c>
      <c r="BD202" s="16">
        <v>0</v>
      </c>
      <c r="BE202" s="16">
        <v>0</v>
      </c>
      <c r="BF202" s="16">
        <v>0</v>
      </c>
      <c r="BG202" s="16">
        <v>0</v>
      </c>
      <c r="BH202" s="16">
        <v>0</v>
      </c>
      <c r="BI202" s="16">
        <v>0</v>
      </c>
      <c r="BJ202" s="16">
        <v>0</v>
      </c>
      <c r="BK202" s="16">
        <v>0</v>
      </c>
      <c r="BL202" s="16">
        <v>0</v>
      </c>
      <c r="BM202" s="16">
        <v>0</v>
      </c>
      <c r="BN202" s="16">
        <v>0</v>
      </c>
      <c r="BO202" s="16">
        <v>0</v>
      </c>
      <c r="BP202" s="16">
        <v>0</v>
      </c>
      <c r="BQ202" s="16">
        <v>0</v>
      </c>
      <c r="BR202" s="16">
        <v>0</v>
      </c>
      <c r="BS202" s="207">
        <f t="shared" si="93"/>
        <v>0</v>
      </c>
      <c r="BT202" s="207">
        <f t="shared" si="94"/>
        <v>0</v>
      </c>
      <c r="BU202" s="207">
        <f t="shared" si="95"/>
        <v>0</v>
      </c>
      <c r="BV202" s="207">
        <f t="shared" si="106"/>
        <v>0</v>
      </c>
      <c r="BW202" s="207">
        <f t="shared" si="96"/>
        <v>168</v>
      </c>
      <c r="BX202" s="207">
        <f t="shared" si="97"/>
        <v>152</v>
      </c>
      <c r="BY202" s="207">
        <f t="shared" si="98"/>
        <v>120</v>
      </c>
      <c r="BZ202" s="207">
        <f t="shared" si="99"/>
        <v>0</v>
      </c>
      <c r="CA202" s="207">
        <f t="shared" si="100"/>
        <v>0</v>
      </c>
      <c r="CB202" s="207">
        <f t="shared" si="101"/>
        <v>0</v>
      </c>
      <c r="CC202" s="207">
        <f t="shared" si="102"/>
        <v>0</v>
      </c>
      <c r="CD202" s="207">
        <f t="shared" si="103"/>
        <v>0</v>
      </c>
      <c r="CE202" s="207">
        <f t="shared" si="104"/>
        <v>440</v>
      </c>
    </row>
    <row r="203" spans="1:83" ht="12" customHeight="1" x14ac:dyDescent="0.2">
      <c r="A203" s="6">
        <v>3</v>
      </c>
      <c r="B203" s="49" t="str">
        <f t="shared" si="78"/>
        <v>Galvez Aguilar Arturo JesusP0013</v>
      </c>
      <c r="C203" s="117" t="str">
        <f t="shared" si="105"/>
        <v>Galvez Aguilar Arturo Jesus</v>
      </c>
      <c r="D203" s="49" t="str">
        <f>VLOOKUP(C203,Datos!$B$13:$C$83,2,0)</f>
        <v>CESADO</v>
      </c>
      <c r="E203" s="49" t="s">
        <v>45</v>
      </c>
      <c r="F203" s="49" t="str">
        <f>IFERROR(VLOOKUP(H203,Datos!$J$2:$L$60,3,0),"OBSERVACIONES")</f>
        <v>CERRADO</v>
      </c>
      <c r="G203" s="49"/>
      <c r="H203" s="49" t="s">
        <v>51</v>
      </c>
      <c r="I203" s="49" t="s">
        <v>122</v>
      </c>
      <c r="J203" s="119" t="s">
        <v>107</v>
      </c>
      <c r="K203" s="16">
        <v>0</v>
      </c>
      <c r="L203" s="16">
        <v>0</v>
      </c>
      <c r="M203" s="16">
        <v>0</v>
      </c>
      <c r="N203" s="16">
        <v>0</v>
      </c>
      <c r="O203" s="16">
        <v>0</v>
      </c>
      <c r="P203" s="16">
        <v>0</v>
      </c>
      <c r="Q203" s="16">
        <v>0</v>
      </c>
      <c r="R203" s="16">
        <v>0</v>
      </c>
      <c r="S203" s="16">
        <v>0</v>
      </c>
      <c r="T203" s="16">
        <v>0</v>
      </c>
      <c r="U203" s="16">
        <v>0</v>
      </c>
      <c r="V203" s="16">
        <v>0</v>
      </c>
      <c r="W203" s="16">
        <v>0</v>
      </c>
      <c r="X203" s="16">
        <v>0</v>
      </c>
      <c r="Y203" s="16">
        <v>0</v>
      </c>
      <c r="Z203" s="16">
        <v>0</v>
      </c>
      <c r="AA203" s="16">
        <v>0</v>
      </c>
      <c r="AB203" s="16">
        <v>0</v>
      </c>
      <c r="AC203" s="16">
        <v>0</v>
      </c>
      <c r="AD203" s="16">
        <v>0</v>
      </c>
      <c r="AE203" s="16">
        <v>0</v>
      </c>
      <c r="AF203" s="16">
        <v>0</v>
      </c>
      <c r="AG203" s="16">
        <v>0</v>
      </c>
      <c r="AH203" s="16">
        <v>0</v>
      </c>
      <c r="AI203" s="16">
        <v>0</v>
      </c>
      <c r="AJ203" s="16">
        <v>16</v>
      </c>
      <c r="AK203" s="16">
        <v>0</v>
      </c>
      <c r="AL203" s="16">
        <v>0</v>
      </c>
      <c r="AM203" s="16">
        <v>0</v>
      </c>
      <c r="AN203" s="16">
        <v>0</v>
      </c>
      <c r="AO203" s="16">
        <v>0</v>
      </c>
      <c r="AP203" s="16">
        <v>0</v>
      </c>
      <c r="AQ203" s="16">
        <v>0</v>
      </c>
      <c r="AR203" s="16">
        <v>0</v>
      </c>
      <c r="AS203" s="16">
        <v>0</v>
      </c>
      <c r="AT203" s="16">
        <v>0</v>
      </c>
      <c r="AU203" s="16">
        <v>0</v>
      </c>
      <c r="AV203" s="16">
        <v>0</v>
      </c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0</v>
      </c>
      <c r="BD203" s="16">
        <v>0</v>
      </c>
      <c r="BE203" s="16">
        <v>0</v>
      </c>
      <c r="BF203" s="16">
        <v>0</v>
      </c>
      <c r="BG203" s="16">
        <v>0</v>
      </c>
      <c r="BH203" s="16">
        <v>0</v>
      </c>
      <c r="BI203" s="16">
        <v>0</v>
      </c>
      <c r="BJ203" s="16">
        <v>0</v>
      </c>
      <c r="BK203" s="16">
        <v>0</v>
      </c>
      <c r="BL203" s="16">
        <v>0</v>
      </c>
      <c r="BM203" s="16">
        <v>0</v>
      </c>
      <c r="BN203" s="16">
        <v>0</v>
      </c>
      <c r="BO203" s="16">
        <v>0</v>
      </c>
      <c r="BP203" s="16">
        <v>0</v>
      </c>
      <c r="BQ203" s="16">
        <v>0</v>
      </c>
      <c r="BR203" s="16">
        <v>0</v>
      </c>
      <c r="BS203" s="207">
        <f t="shared" si="93"/>
        <v>0</v>
      </c>
      <c r="BT203" s="207">
        <f t="shared" si="94"/>
        <v>0</v>
      </c>
      <c r="BU203" s="207">
        <f t="shared" si="95"/>
        <v>0</v>
      </c>
      <c r="BV203" s="207">
        <f t="shared" si="106"/>
        <v>0</v>
      </c>
      <c r="BW203" s="207">
        <f t="shared" si="96"/>
        <v>0</v>
      </c>
      <c r="BX203" s="207">
        <f t="shared" si="97"/>
        <v>16</v>
      </c>
      <c r="BY203" s="207">
        <f t="shared" si="98"/>
        <v>0</v>
      </c>
      <c r="BZ203" s="207">
        <f t="shared" si="99"/>
        <v>0</v>
      </c>
      <c r="CA203" s="207">
        <f t="shared" si="100"/>
        <v>0</v>
      </c>
      <c r="CB203" s="207">
        <f t="shared" si="101"/>
        <v>0</v>
      </c>
      <c r="CC203" s="207">
        <f t="shared" si="102"/>
        <v>0</v>
      </c>
      <c r="CD203" s="207">
        <f t="shared" si="103"/>
        <v>0</v>
      </c>
      <c r="CE203" s="207">
        <f t="shared" si="104"/>
        <v>16</v>
      </c>
    </row>
    <row r="204" spans="1:83" ht="12" customHeight="1" x14ac:dyDescent="0.2">
      <c r="A204" s="6">
        <v>3</v>
      </c>
      <c r="B204" s="49" t="str">
        <f t="shared" si="78"/>
        <v>Chamorro Rojas Pierre NestorP0009</v>
      </c>
      <c r="C204" s="117" t="str">
        <f t="shared" si="105"/>
        <v>Chamorro Rojas Pierre Nestor</v>
      </c>
      <c r="D204" s="49" t="str">
        <f>VLOOKUP(C204,Datos!$B$13:$C$83,2,0)</f>
        <v>VIGENTE</v>
      </c>
      <c r="E204" s="49" t="s">
        <v>78</v>
      </c>
      <c r="F204" s="49" t="str">
        <f>IFERROR(VLOOKUP(H204,Datos!$J$2:$L$60,3,0),"OBSERVACIONES")</f>
        <v>CERRADO</v>
      </c>
      <c r="G204" s="49"/>
      <c r="H204" s="49" t="s">
        <v>98</v>
      </c>
      <c r="I204" s="49" t="s">
        <v>135</v>
      </c>
      <c r="J204" s="119" t="s">
        <v>134</v>
      </c>
      <c r="K204" s="16">
        <v>0</v>
      </c>
      <c r="L204" s="16">
        <v>0</v>
      </c>
      <c r="M204" s="16">
        <v>0</v>
      </c>
      <c r="N204" s="16">
        <v>0</v>
      </c>
      <c r="O204" s="16">
        <v>0</v>
      </c>
      <c r="P204" s="16">
        <v>0</v>
      </c>
      <c r="Q204" s="16">
        <v>0</v>
      </c>
      <c r="R204" s="16">
        <v>0</v>
      </c>
      <c r="S204" s="16">
        <v>0</v>
      </c>
      <c r="T204" s="16">
        <v>0</v>
      </c>
      <c r="U204" s="16">
        <v>0</v>
      </c>
      <c r="V204" s="16">
        <v>0</v>
      </c>
      <c r="W204" s="16">
        <v>0</v>
      </c>
      <c r="X204" s="16">
        <v>0</v>
      </c>
      <c r="Y204" s="16">
        <v>0</v>
      </c>
      <c r="Z204" s="16">
        <v>0</v>
      </c>
      <c r="AA204" s="16">
        <v>0</v>
      </c>
      <c r="AB204" s="16">
        <v>0</v>
      </c>
      <c r="AC204" s="16">
        <v>40</v>
      </c>
      <c r="AD204" s="16">
        <v>32</v>
      </c>
      <c r="AE204" s="16">
        <v>40</v>
      </c>
      <c r="AF204" s="16">
        <v>40</v>
      </c>
      <c r="AG204" s="16">
        <v>40</v>
      </c>
      <c r="AH204" s="16">
        <v>24</v>
      </c>
      <c r="AI204" s="16">
        <v>16</v>
      </c>
      <c r="AJ204" s="16">
        <v>40</v>
      </c>
      <c r="AK204" s="16">
        <v>40</v>
      </c>
      <c r="AL204" s="16">
        <v>0</v>
      </c>
      <c r="AM204" s="16">
        <v>0</v>
      </c>
      <c r="AN204" s="16">
        <v>0</v>
      </c>
      <c r="AO204" s="16">
        <v>0</v>
      </c>
      <c r="AP204" s="16">
        <v>0</v>
      </c>
      <c r="AQ204" s="16">
        <v>0</v>
      </c>
      <c r="AR204" s="16">
        <v>0</v>
      </c>
      <c r="AS204" s="16">
        <v>0</v>
      </c>
      <c r="AT204" s="16">
        <v>0</v>
      </c>
      <c r="AU204" s="16">
        <v>0</v>
      </c>
      <c r="AV204" s="16">
        <v>0</v>
      </c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0</v>
      </c>
      <c r="BD204" s="16">
        <v>0</v>
      </c>
      <c r="BE204" s="16">
        <v>0</v>
      </c>
      <c r="BF204" s="16">
        <v>0</v>
      </c>
      <c r="BG204" s="16">
        <v>0</v>
      </c>
      <c r="BH204" s="16">
        <v>0</v>
      </c>
      <c r="BI204" s="16">
        <v>0</v>
      </c>
      <c r="BJ204" s="16">
        <v>0</v>
      </c>
      <c r="BK204" s="16">
        <v>0</v>
      </c>
      <c r="BL204" s="16">
        <v>0</v>
      </c>
      <c r="BM204" s="16">
        <v>0</v>
      </c>
      <c r="BN204" s="16">
        <v>0</v>
      </c>
      <c r="BO204" s="16">
        <v>0</v>
      </c>
      <c r="BP204" s="16">
        <v>0</v>
      </c>
      <c r="BQ204" s="16">
        <v>0</v>
      </c>
      <c r="BR204" s="16">
        <v>0</v>
      </c>
      <c r="BS204" s="207">
        <f t="shared" si="93"/>
        <v>0</v>
      </c>
      <c r="BT204" s="207">
        <f t="shared" si="94"/>
        <v>0</v>
      </c>
      <c r="BU204" s="207">
        <f t="shared" si="95"/>
        <v>0</v>
      </c>
      <c r="BV204" s="207">
        <f t="shared" si="106"/>
        <v>40</v>
      </c>
      <c r="BW204" s="207">
        <f t="shared" si="96"/>
        <v>176</v>
      </c>
      <c r="BX204" s="207">
        <f t="shared" si="97"/>
        <v>96</v>
      </c>
      <c r="BY204" s="207">
        <f t="shared" si="98"/>
        <v>0</v>
      </c>
      <c r="BZ204" s="207">
        <f t="shared" si="99"/>
        <v>0</v>
      </c>
      <c r="CA204" s="207">
        <f t="shared" si="100"/>
        <v>0</v>
      </c>
      <c r="CB204" s="207">
        <f t="shared" si="101"/>
        <v>0</v>
      </c>
      <c r="CC204" s="207">
        <f t="shared" si="102"/>
        <v>0</v>
      </c>
      <c r="CD204" s="207">
        <f t="shared" si="103"/>
        <v>0</v>
      </c>
      <c r="CE204" s="207">
        <f t="shared" si="104"/>
        <v>312</v>
      </c>
    </row>
    <row r="205" spans="1:83" ht="12" customHeight="1" x14ac:dyDescent="0.2">
      <c r="A205" s="6">
        <v>1</v>
      </c>
      <c r="B205" s="49" t="str">
        <f t="shared" si="78"/>
        <v>Chamorro Rojas Pierre NestorNO FACT.</v>
      </c>
      <c r="C205" s="117" t="str">
        <f>J205</f>
        <v>Chamorro Rojas Pierre Nestor</v>
      </c>
      <c r="D205" s="49" t="str">
        <f>VLOOKUP(C205,Datos!$B$13:$C$83,2,0)</f>
        <v>VIGENTE</v>
      </c>
      <c r="E205" s="50" t="s">
        <v>75</v>
      </c>
      <c r="F205" s="49"/>
      <c r="G205" s="49" t="str">
        <f>IFERROR(VLOOKUP(H205,Datos!$J$2:$L$60,3,0),"OBSERVACIONES")</f>
        <v>OBSERVACIONES</v>
      </c>
      <c r="H205" s="50" t="s">
        <v>75</v>
      </c>
      <c r="I205" s="49" t="s">
        <v>131</v>
      </c>
      <c r="J205" s="119" t="s">
        <v>134</v>
      </c>
      <c r="K205" s="16">
        <v>0</v>
      </c>
      <c r="L205" s="16">
        <v>0</v>
      </c>
      <c r="M205" s="16">
        <v>0</v>
      </c>
      <c r="N205" s="16">
        <v>0</v>
      </c>
      <c r="O205" s="16">
        <v>0</v>
      </c>
      <c r="P205" s="16">
        <v>0</v>
      </c>
      <c r="Q205" s="16">
        <v>0</v>
      </c>
      <c r="R205" s="16">
        <v>0</v>
      </c>
      <c r="S205" s="16">
        <v>0</v>
      </c>
      <c r="T205" s="16">
        <v>0</v>
      </c>
      <c r="U205" s="16">
        <v>0</v>
      </c>
      <c r="V205" s="16">
        <v>0</v>
      </c>
      <c r="W205" s="16">
        <v>0</v>
      </c>
      <c r="X205" s="16">
        <v>0</v>
      </c>
      <c r="Y205" s="16">
        <v>0</v>
      </c>
      <c r="Z205" s="16">
        <v>0</v>
      </c>
      <c r="AA205" s="16">
        <v>0</v>
      </c>
      <c r="AB205" s="16">
        <v>0</v>
      </c>
      <c r="AC205" s="16">
        <v>0</v>
      </c>
      <c r="AD205" s="16">
        <v>0</v>
      </c>
      <c r="AE205" s="16">
        <v>0</v>
      </c>
      <c r="AF205" s="16">
        <v>0</v>
      </c>
      <c r="AG205" s="16">
        <v>0</v>
      </c>
      <c r="AH205" s="16">
        <v>0</v>
      </c>
      <c r="AI205" s="16">
        <v>0</v>
      </c>
      <c r="AJ205" s="16">
        <v>0</v>
      </c>
      <c r="AK205" s="16">
        <v>0</v>
      </c>
      <c r="AL205" s="16">
        <v>0</v>
      </c>
      <c r="AM205" s="16">
        <v>0</v>
      </c>
      <c r="AN205" s="16">
        <v>0</v>
      </c>
      <c r="AO205" s="16">
        <v>0</v>
      </c>
      <c r="AP205" s="16">
        <v>0</v>
      </c>
      <c r="AQ205" s="16">
        <v>0</v>
      </c>
      <c r="AR205" s="16">
        <v>0</v>
      </c>
      <c r="AS205" s="16">
        <v>0</v>
      </c>
      <c r="AT205" s="16">
        <v>0</v>
      </c>
      <c r="AU205" s="16">
        <v>0</v>
      </c>
      <c r="AV205" s="16">
        <v>16</v>
      </c>
      <c r="AW205" s="16">
        <v>24</v>
      </c>
      <c r="AX205" s="16">
        <v>16</v>
      </c>
      <c r="AY205" s="16">
        <v>0</v>
      </c>
      <c r="AZ205" s="16">
        <v>29</v>
      </c>
      <c r="BA205" s="16">
        <v>2</v>
      </c>
      <c r="BB205" s="16">
        <v>0</v>
      </c>
      <c r="BC205" s="16">
        <v>0</v>
      </c>
      <c r="BD205" s="16">
        <v>0</v>
      </c>
      <c r="BE205" s="16">
        <v>0</v>
      </c>
      <c r="BF205" s="16">
        <v>0</v>
      </c>
      <c r="BG205" s="16">
        <v>0</v>
      </c>
      <c r="BH205" s="16">
        <v>0</v>
      </c>
      <c r="BI205" s="16">
        <v>0</v>
      </c>
      <c r="BJ205" s="16">
        <v>0</v>
      </c>
      <c r="BK205" s="16">
        <v>0</v>
      </c>
      <c r="BL205" s="16">
        <v>0</v>
      </c>
      <c r="BM205" s="16">
        <v>0</v>
      </c>
      <c r="BN205" s="16">
        <v>0</v>
      </c>
      <c r="BO205" s="16">
        <v>0</v>
      </c>
      <c r="BP205" s="16">
        <v>0</v>
      </c>
      <c r="BQ205" s="16">
        <v>0</v>
      </c>
      <c r="BR205" s="16">
        <v>0</v>
      </c>
      <c r="BS205" s="207">
        <f t="shared" si="93"/>
        <v>0</v>
      </c>
      <c r="BT205" s="207">
        <f t="shared" si="94"/>
        <v>0</v>
      </c>
      <c r="BU205" s="207">
        <f t="shared" si="95"/>
        <v>0</v>
      </c>
      <c r="BV205" s="207">
        <f t="shared" si="106"/>
        <v>0</v>
      </c>
      <c r="BW205" s="207">
        <f t="shared" si="96"/>
        <v>0</v>
      </c>
      <c r="BX205" s="207">
        <f t="shared" si="97"/>
        <v>0</v>
      </c>
      <c r="BY205" s="207">
        <f t="shared" si="98"/>
        <v>0</v>
      </c>
      <c r="BZ205" s="207">
        <f t="shared" si="99"/>
        <v>56</v>
      </c>
      <c r="CA205" s="207">
        <f t="shared" si="100"/>
        <v>31</v>
      </c>
      <c r="CB205" s="207">
        <f t="shared" si="101"/>
        <v>0</v>
      </c>
      <c r="CC205" s="207">
        <f t="shared" si="102"/>
        <v>0</v>
      </c>
      <c r="CD205" s="207">
        <f t="shared" si="103"/>
        <v>0</v>
      </c>
      <c r="CE205" s="207">
        <f t="shared" si="104"/>
        <v>87</v>
      </c>
    </row>
    <row r="206" spans="1:83" ht="12" customHeight="1" x14ac:dyDescent="0.2">
      <c r="A206" s="6">
        <v>3</v>
      </c>
      <c r="B206" s="49" t="str">
        <f t="shared" si="78"/>
        <v>Chamorro Rojas Pierre NestorP0023</v>
      </c>
      <c r="C206" s="117" t="str">
        <f t="shared" si="105"/>
        <v>Chamorro Rojas Pierre Nestor</v>
      </c>
      <c r="D206" s="49" t="str">
        <f>VLOOKUP(C206,Datos!$B$13:$C$83,2,0)</f>
        <v>VIGENTE</v>
      </c>
      <c r="E206" s="50" t="s">
        <v>234</v>
      </c>
      <c r="F206" s="49" t="str">
        <f>IFERROR(VLOOKUP(H206,Datos!$J$2:$L$60,3,0),"OBSERVACIONES")</f>
        <v>PROCESO</v>
      </c>
      <c r="G206" s="49"/>
      <c r="H206" s="49" t="s">
        <v>206</v>
      </c>
      <c r="I206" s="49" t="s">
        <v>235</v>
      </c>
      <c r="J206" s="119" t="s">
        <v>134</v>
      </c>
      <c r="K206" s="16">
        <v>0</v>
      </c>
      <c r="L206" s="16">
        <v>0</v>
      </c>
      <c r="M206" s="16">
        <v>0</v>
      </c>
      <c r="N206" s="16">
        <v>0</v>
      </c>
      <c r="O206" s="16">
        <v>0</v>
      </c>
      <c r="P206" s="16">
        <v>0</v>
      </c>
      <c r="Q206" s="16">
        <v>0</v>
      </c>
      <c r="R206" s="16">
        <v>0</v>
      </c>
      <c r="S206" s="16">
        <v>0</v>
      </c>
      <c r="T206" s="16">
        <v>0</v>
      </c>
      <c r="U206" s="16">
        <v>0</v>
      </c>
      <c r="V206" s="16">
        <v>0</v>
      </c>
      <c r="W206" s="16">
        <v>0</v>
      </c>
      <c r="X206" s="16">
        <v>0</v>
      </c>
      <c r="Y206" s="16">
        <v>0</v>
      </c>
      <c r="Z206" s="16">
        <v>0</v>
      </c>
      <c r="AA206" s="16">
        <v>0</v>
      </c>
      <c r="AB206" s="16">
        <v>0</v>
      </c>
      <c r="AC206" s="16">
        <v>0</v>
      </c>
      <c r="AD206" s="16">
        <v>0</v>
      </c>
      <c r="AE206" s="16">
        <v>0</v>
      </c>
      <c r="AF206" s="16">
        <v>0</v>
      </c>
      <c r="AG206" s="16">
        <v>0</v>
      </c>
      <c r="AH206" s="16">
        <v>0</v>
      </c>
      <c r="AI206" s="16">
        <v>0</v>
      </c>
      <c r="AJ206" s="16">
        <v>0</v>
      </c>
      <c r="AK206" s="16">
        <v>0</v>
      </c>
      <c r="AL206" s="16">
        <v>24</v>
      </c>
      <c r="AM206" s="16">
        <v>32</v>
      </c>
      <c r="AN206" s="16">
        <v>40</v>
      </c>
      <c r="AO206" s="16">
        <v>40</v>
      </c>
      <c r="AP206" s="16">
        <v>24</v>
      </c>
      <c r="AQ206" s="16">
        <v>32</v>
      </c>
      <c r="AR206" s="16">
        <v>0</v>
      </c>
      <c r="AS206" s="16">
        <v>8</v>
      </c>
      <c r="AT206" s="16">
        <v>32</v>
      </c>
      <c r="AU206" s="16">
        <v>40</v>
      </c>
      <c r="AV206" s="16">
        <v>24</v>
      </c>
      <c r="AW206" s="16">
        <v>16</v>
      </c>
      <c r="AX206" s="16">
        <v>0</v>
      </c>
      <c r="AY206" s="16">
        <v>0</v>
      </c>
      <c r="AZ206" s="16">
        <v>11</v>
      </c>
      <c r="BA206" s="16">
        <v>38</v>
      </c>
      <c r="BB206" s="16">
        <v>40</v>
      </c>
      <c r="BC206" s="16">
        <v>40</v>
      </c>
      <c r="BD206" s="16">
        <v>0</v>
      </c>
      <c r="BE206" s="16">
        <v>0</v>
      </c>
      <c r="BF206" s="16">
        <v>0</v>
      </c>
      <c r="BG206" s="16">
        <v>0</v>
      </c>
      <c r="BH206" s="16">
        <v>0</v>
      </c>
      <c r="BI206" s="16">
        <v>0</v>
      </c>
      <c r="BJ206" s="16">
        <v>0</v>
      </c>
      <c r="BK206" s="16">
        <v>0</v>
      </c>
      <c r="BL206" s="16">
        <v>0</v>
      </c>
      <c r="BM206" s="16">
        <v>0</v>
      </c>
      <c r="BN206" s="16">
        <v>0</v>
      </c>
      <c r="BO206" s="16">
        <v>0</v>
      </c>
      <c r="BP206" s="16">
        <v>0</v>
      </c>
      <c r="BQ206" s="16">
        <v>0</v>
      </c>
      <c r="BR206" s="16">
        <v>0</v>
      </c>
      <c r="BS206" s="207">
        <f t="shared" si="93"/>
        <v>0</v>
      </c>
      <c r="BT206" s="207">
        <f t="shared" si="94"/>
        <v>0</v>
      </c>
      <c r="BU206" s="207">
        <f t="shared" si="95"/>
        <v>0</v>
      </c>
      <c r="BV206" s="207">
        <f t="shared" si="106"/>
        <v>0</v>
      </c>
      <c r="BW206" s="207">
        <f t="shared" si="96"/>
        <v>0</v>
      </c>
      <c r="BX206" s="207">
        <f t="shared" si="97"/>
        <v>56</v>
      </c>
      <c r="BY206" s="207">
        <f t="shared" si="98"/>
        <v>144</v>
      </c>
      <c r="BZ206" s="207">
        <f t="shared" si="99"/>
        <v>112</v>
      </c>
      <c r="CA206" s="207">
        <f t="shared" si="100"/>
        <v>129</v>
      </c>
      <c r="CB206" s="207">
        <f t="shared" si="101"/>
        <v>0</v>
      </c>
      <c r="CC206" s="207">
        <f t="shared" si="102"/>
        <v>0</v>
      </c>
      <c r="CD206" s="207">
        <f t="shared" si="103"/>
        <v>0</v>
      </c>
      <c r="CE206" s="207">
        <f t="shared" si="104"/>
        <v>441</v>
      </c>
    </row>
    <row r="207" spans="1:83" ht="12" customHeight="1" x14ac:dyDescent="0.2">
      <c r="A207" s="6">
        <v>4</v>
      </c>
      <c r="B207" s="49" t="str">
        <f t="shared" ref="B207" si="111">C207&amp;H207</f>
        <v>Chamorro Rojas Pierre NestorVACACIONES</v>
      </c>
      <c r="C207" s="117" t="str">
        <f t="shared" ref="C207" si="112">J207</f>
        <v>Chamorro Rojas Pierre Nestor</v>
      </c>
      <c r="D207" s="49" t="str">
        <f>VLOOKUP(C207,Datos!$B$13:$C$83,2,0)</f>
        <v>VIGENTE</v>
      </c>
      <c r="E207" s="50" t="s">
        <v>209</v>
      </c>
      <c r="F207" s="49"/>
      <c r="G207" s="49" t="str">
        <f>IFERROR(VLOOKUP(H207,Datos!$J$2:$L$60,3,0),"OBSERVACIONES")</f>
        <v>OBSERVACIONES</v>
      </c>
      <c r="H207" s="49" t="s">
        <v>209</v>
      </c>
      <c r="I207" s="49" t="s">
        <v>243</v>
      </c>
      <c r="J207" s="119" t="s">
        <v>134</v>
      </c>
      <c r="K207" s="16">
        <v>0</v>
      </c>
      <c r="L207" s="16">
        <v>0</v>
      </c>
      <c r="M207" s="16">
        <v>0</v>
      </c>
      <c r="N207" s="16">
        <v>0</v>
      </c>
      <c r="O207" s="16">
        <v>0</v>
      </c>
      <c r="P207" s="16">
        <v>0</v>
      </c>
      <c r="Q207" s="16">
        <v>0</v>
      </c>
      <c r="R207" s="16">
        <v>0</v>
      </c>
      <c r="S207" s="16">
        <v>0</v>
      </c>
      <c r="T207" s="16">
        <v>0</v>
      </c>
      <c r="U207" s="16">
        <v>0</v>
      </c>
      <c r="V207" s="16">
        <v>0</v>
      </c>
      <c r="W207" s="16">
        <v>0</v>
      </c>
      <c r="X207" s="16">
        <v>0</v>
      </c>
      <c r="Y207" s="16">
        <v>0</v>
      </c>
      <c r="Z207" s="16">
        <v>0</v>
      </c>
      <c r="AA207" s="16">
        <v>0</v>
      </c>
      <c r="AB207" s="16">
        <v>0</v>
      </c>
      <c r="AC207" s="16">
        <v>0</v>
      </c>
      <c r="AD207" s="16">
        <v>0</v>
      </c>
      <c r="AE207" s="16">
        <v>0</v>
      </c>
      <c r="AF207" s="16">
        <v>0</v>
      </c>
      <c r="AG207" s="16">
        <v>0</v>
      </c>
      <c r="AH207" s="16">
        <v>0</v>
      </c>
      <c r="AI207" s="16">
        <v>0</v>
      </c>
      <c r="AJ207" s="16">
        <v>0</v>
      </c>
      <c r="AK207" s="16">
        <v>0</v>
      </c>
      <c r="AL207" s="16">
        <v>0</v>
      </c>
      <c r="AM207" s="16">
        <v>0</v>
      </c>
      <c r="AN207" s="16">
        <v>0</v>
      </c>
      <c r="AO207" s="16">
        <v>0</v>
      </c>
      <c r="AP207" s="16">
        <v>0</v>
      </c>
      <c r="AQ207" s="16">
        <v>0</v>
      </c>
      <c r="AR207" s="16"/>
      <c r="AS207" s="16">
        <v>0</v>
      </c>
      <c r="AT207" s="16">
        <v>0</v>
      </c>
      <c r="AU207" s="16">
        <v>0</v>
      </c>
      <c r="AV207" s="16">
        <v>0</v>
      </c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0</v>
      </c>
      <c r="BD207" s="16">
        <v>40</v>
      </c>
      <c r="BE207" s="16">
        <v>0</v>
      </c>
      <c r="BF207" s="16">
        <v>0</v>
      </c>
      <c r="BG207" s="16">
        <v>0</v>
      </c>
      <c r="BH207" s="16">
        <v>0</v>
      </c>
      <c r="BI207" s="16">
        <v>0</v>
      </c>
      <c r="BJ207" s="16">
        <v>0</v>
      </c>
      <c r="BK207" s="16">
        <v>0</v>
      </c>
      <c r="BL207" s="16">
        <v>0</v>
      </c>
      <c r="BM207" s="16">
        <v>0</v>
      </c>
      <c r="BN207" s="16">
        <v>0</v>
      </c>
      <c r="BO207" s="16">
        <v>0</v>
      </c>
      <c r="BP207" s="16">
        <v>0</v>
      </c>
      <c r="BQ207" s="16">
        <v>0</v>
      </c>
      <c r="BR207" s="16">
        <v>0</v>
      </c>
      <c r="BS207" s="207">
        <f t="shared" si="93"/>
        <v>0</v>
      </c>
      <c r="BT207" s="207">
        <f t="shared" si="94"/>
        <v>0</v>
      </c>
      <c r="BU207" s="207">
        <f t="shared" si="95"/>
        <v>0</v>
      </c>
      <c r="BV207" s="207">
        <f t="shared" si="106"/>
        <v>0</v>
      </c>
      <c r="BW207" s="207">
        <f t="shared" si="96"/>
        <v>0</v>
      </c>
      <c r="BX207" s="207">
        <f t="shared" si="97"/>
        <v>0</v>
      </c>
      <c r="BY207" s="207">
        <f t="shared" si="98"/>
        <v>0</v>
      </c>
      <c r="BZ207" s="207">
        <f t="shared" si="99"/>
        <v>0</v>
      </c>
      <c r="CA207" s="207">
        <f t="shared" si="100"/>
        <v>0</v>
      </c>
      <c r="CB207" s="207">
        <f t="shared" si="101"/>
        <v>40</v>
      </c>
      <c r="CC207" s="207">
        <f t="shared" si="102"/>
        <v>0</v>
      </c>
      <c r="CD207" s="207">
        <f t="shared" si="103"/>
        <v>0</v>
      </c>
      <c r="CE207" s="207">
        <f t="shared" si="104"/>
        <v>40</v>
      </c>
    </row>
    <row r="208" spans="1:83" ht="12" customHeight="1" x14ac:dyDescent="0.2">
      <c r="A208" s="6">
        <v>5</v>
      </c>
      <c r="B208" s="49" t="str">
        <f t="shared" si="78"/>
        <v>Chamorro Rojas Pierre NestorINASISTENCIAS</v>
      </c>
      <c r="C208" s="117" t="str">
        <f t="shared" si="105"/>
        <v>Chamorro Rojas Pierre Nestor</v>
      </c>
      <c r="D208" s="49" t="str">
        <f>VLOOKUP(C208,Datos!$B$13:$C$83,2,0)</f>
        <v>VIGENTE</v>
      </c>
      <c r="E208" s="50" t="s">
        <v>208</v>
      </c>
      <c r="F208" s="49"/>
      <c r="G208" s="49" t="str">
        <f>IFERROR(VLOOKUP(H208,Datos!$J$2:$L$60,3,0),"OBSERVACIONES")</f>
        <v>OBSERVACIONES</v>
      </c>
      <c r="H208" s="50" t="s">
        <v>208</v>
      </c>
      <c r="I208" s="50" t="s">
        <v>210</v>
      </c>
      <c r="J208" s="119" t="s">
        <v>134</v>
      </c>
      <c r="K208" s="16">
        <v>0</v>
      </c>
      <c r="L208" s="16">
        <v>0</v>
      </c>
      <c r="M208" s="16">
        <v>0</v>
      </c>
      <c r="N208" s="16">
        <v>0</v>
      </c>
      <c r="O208" s="16">
        <v>0</v>
      </c>
      <c r="P208" s="16">
        <v>0</v>
      </c>
      <c r="Q208" s="16">
        <v>0</v>
      </c>
      <c r="R208" s="16">
        <v>0</v>
      </c>
      <c r="S208" s="16">
        <v>0</v>
      </c>
      <c r="T208" s="16">
        <v>0</v>
      </c>
      <c r="U208" s="16">
        <v>0</v>
      </c>
      <c r="V208" s="16">
        <v>0</v>
      </c>
      <c r="W208" s="16">
        <v>0</v>
      </c>
      <c r="X208" s="16">
        <v>0</v>
      </c>
      <c r="Y208" s="16">
        <v>0</v>
      </c>
      <c r="Z208" s="16">
        <v>0</v>
      </c>
      <c r="AA208" s="16">
        <v>0</v>
      </c>
      <c r="AB208" s="16">
        <v>0</v>
      </c>
      <c r="AC208" s="16">
        <v>0</v>
      </c>
      <c r="AD208" s="16">
        <v>0</v>
      </c>
      <c r="AE208" s="16">
        <v>0</v>
      </c>
      <c r="AF208" s="16">
        <v>0</v>
      </c>
      <c r="AG208" s="16">
        <v>0</v>
      </c>
      <c r="AH208" s="16">
        <v>0</v>
      </c>
      <c r="AI208" s="16">
        <v>0</v>
      </c>
      <c r="AJ208" s="16">
        <v>0</v>
      </c>
      <c r="AK208" s="16">
        <v>0</v>
      </c>
      <c r="AL208" s="16">
        <v>16</v>
      </c>
      <c r="AM208" s="16">
        <v>0</v>
      </c>
      <c r="AN208" s="16">
        <v>0</v>
      </c>
      <c r="AO208" s="16">
        <v>0</v>
      </c>
      <c r="AP208" s="16">
        <v>0</v>
      </c>
      <c r="AQ208" s="16">
        <v>0</v>
      </c>
      <c r="AR208" s="16">
        <v>0</v>
      </c>
      <c r="AS208" s="16">
        <v>0</v>
      </c>
      <c r="AT208" s="16">
        <v>0</v>
      </c>
      <c r="AU208" s="16">
        <v>0</v>
      </c>
      <c r="AV208" s="16">
        <v>0</v>
      </c>
      <c r="AW208" s="16">
        <v>0</v>
      </c>
      <c r="AX208" s="16">
        <v>8</v>
      </c>
      <c r="AY208" s="16">
        <v>8</v>
      </c>
      <c r="AZ208" s="16">
        <v>0</v>
      </c>
      <c r="BA208" s="16">
        <v>0</v>
      </c>
      <c r="BB208" s="16">
        <v>0</v>
      </c>
      <c r="BC208" s="16">
        <v>0</v>
      </c>
      <c r="BD208" s="16">
        <v>0</v>
      </c>
      <c r="BE208" s="16">
        <v>0</v>
      </c>
      <c r="BF208" s="16">
        <v>0</v>
      </c>
      <c r="BG208" s="16">
        <v>0</v>
      </c>
      <c r="BH208" s="16">
        <v>0</v>
      </c>
      <c r="BI208" s="16">
        <v>0</v>
      </c>
      <c r="BJ208" s="16">
        <v>0</v>
      </c>
      <c r="BK208" s="16">
        <v>0</v>
      </c>
      <c r="BL208" s="16">
        <v>0</v>
      </c>
      <c r="BM208" s="16">
        <v>0</v>
      </c>
      <c r="BN208" s="16">
        <v>0</v>
      </c>
      <c r="BO208" s="16">
        <v>0</v>
      </c>
      <c r="BP208" s="16">
        <v>0</v>
      </c>
      <c r="BQ208" s="16">
        <v>0</v>
      </c>
      <c r="BR208" s="16">
        <v>0</v>
      </c>
      <c r="BS208" s="207">
        <f t="shared" si="93"/>
        <v>0</v>
      </c>
      <c r="BT208" s="207">
        <f t="shared" si="94"/>
        <v>0</v>
      </c>
      <c r="BU208" s="207">
        <f t="shared" si="95"/>
        <v>0</v>
      </c>
      <c r="BV208" s="207">
        <f t="shared" si="106"/>
        <v>0</v>
      </c>
      <c r="BW208" s="207">
        <f t="shared" si="96"/>
        <v>0</v>
      </c>
      <c r="BX208" s="207">
        <f t="shared" si="97"/>
        <v>16</v>
      </c>
      <c r="BY208" s="207">
        <f t="shared" si="98"/>
        <v>0</v>
      </c>
      <c r="BZ208" s="207">
        <f t="shared" si="99"/>
        <v>8</v>
      </c>
      <c r="CA208" s="207">
        <f t="shared" si="100"/>
        <v>8</v>
      </c>
      <c r="CB208" s="207">
        <f t="shared" si="101"/>
        <v>0</v>
      </c>
      <c r="CC208" s="207">
        <f t="shared" si="102"/>
        <v>0</v>
      </c>
      <c r="CD208" s="207">
        <f t="shared" si="103"/>
        <v>0</v>
      </c>
      <c r="CE208" s="207">
        <f t="shared" si="104"/>
        <v>32</v>
      </c>
    </row>
    <row r="209" spans="1:83" ht="12" customHeight="1" x14ac:dyDescent="0.2">
      <c r="A209" s="6">
        <v>3</v>
      </c>
      <c r="B209" s="49" t="str">
        <f t="shared" si="78"/>
        <v>Gonzales Chunga Scarlen OdalisP0015</v>
      </c>
      <c r="C209" s="117" t="str">
        <f t="shared" si="105"/>
        <v>Gonzales Chunga Scarlen Odalis</v>
      </c>
      <c r="D209" s="49" t="str">
        <f>VLOOKUP(C209,Datos!$B$13:$C$83,2,0)</f>
        <v>CESADO</v>
      </c>
      <c r="E209" s="49" t="s">
        <v>103</v>
      </c>
      <c r="F209" s="49" t="str">
        <f>IFERROR(VLOOKUP(H209,Datos!$J$2:$L$60,3,0),"OBSERVACIONES")</f>
        <v>CERRADO</v>
      </c>
      <c r="G209" s="49"/>
      <c r="H209" s="49" t="s">
        <v>104</v>
      </c>
      <c r="I209" s="49" t="s">
        <v>166</v>
      </c>
      <c r="J209" s="119" t="s">
        <v>420</v>
      </c>
      <c r="K209" s="16">
        <v>0</v>
      </c>
      <c r="L209" s="16">
        <v>0</v>
      </c>
      <c r="M209" s="16">
        <v>0</v>
      </c>
      <c r="N209" s="16">
        <v>0</v>
      </c>
      <c r="O209" s="16">
        <v>0</v>
      </c>
      <c r="P209" s="16">
        <v>0</v>
      </c>
      <c r="Q209" s="16">
        <v>0</v>
      </c>
      <c r="R209" s="16">
        <v>0</v>
      </c>
      <c r="S209" s="16">
        <v>0</v>
      </c>
      <c r="T209" s="16">
        <v>0</v>
      </c>
      <c r="U209" s="16">
        <v>0</v>
      </c>
      <c r="V209" s="16">
        <v>0</v>
      </c>
      <c r="W209" s="16">
        <v>0</v>
      </c>
      <c r="X209" s="16">
        <v>0</v>
      </c>
      <c r="Y209" s="16">
        <v>0</v>
      </c>
      <c r="Z209" s="16">
        <v>0</v>
      </c>
      <c r="AA209" s="16">
        <v>0</v>
      </c>
      <c r="AB209" s="16">
        <v>0</v>
      </c>
      <c r="AC209" s="16">
        <v>0</v>
      </c>
      <c r="AD209" s="16">
        <v>0</v>
      </c>
      <c r="AE209" s="16">
        <v>40</v>
      </c>
      <c r="AF209" s="16">
        <v>40</v>
      </c>
      <c r="AG209" s="16">
        <v>40</v>
      </c>
      <c r="AH209" s="16">
        <v>24</v>
      </c>
      <c r="AI209" s="16">
        <v>16</v>
      </c>
      <c r="AJ209" s="16">
        <v>40</v>
      </c>
      <c r="AK209" s="16">
        <v>16</v>
      </c>
      <c r="AL209" s="16">
        <v>0</v>
      </c>
      <c r="AM209" s="16">
        <v>0</v>
      </c>
      <c r="AN209" s="16">
        <v>0</v>
      </c>
      <c r="AO209" s="16">
        <v>0</v>
      </c>
      <c r="AP209" s="16">
        <v>0</v>
      </c>
      <c r="AQ209" s="16">
        <v>0</v>
      </c>
      <c r="AR209" s="16">
        <v>0</v>
      </c>
      <c r="AS209" s="16">
        <v>0</v>
      </c>
      <c r="AT209" s="16">
        <v>0</v>
      </c>
      <c r="AU209" s="16">
        <v>0</v>
      </c>
      <c r="AV209" s="16">
        <v>0</v>
      </c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0</v>
      </c>
      <c r="BD209" s="16">
        <v>0</v>
      </c>
      <c r="BE209" s="16">
        <v>0</v>
      </c>
      <c r="BF209" s="16">
        <v>0</v>
      </c>
      <c r="BG209" s="16">
        <v>0</v>
      </c>
      <c r="BH209" s="16">
        <v>0</v>
      </c>
      <c r="BI209" s="16">
        <v>0</v>
      </c>
      <c r="BJ209" s="16">
        <v>0</v>
      </c>
      <c r="BK209" s="16">
        <v>0</v>
      </c>
      <c r="BL209" s="16">
        <v>0</v>
      </c>
      <c r="BM209" s="16">
        <v>0</v>
      </c>
      <c r="BN209" s="16">
        <v>0</v>
      </c>
      <c r="BO209" s="16">
        <v>0</v>
      </c>
      <c r="BP209" s="16">
        <v>0</v>
      </c>
      <c r="BQ209" s="16">
        <v>0</v>
      </c>
      <c r="BR209" s="16">
        <v>0</v>
      </c>
      <c r="BS209" s="207">
        <f t="shared" si="93"/>
        <v>0</v>
      </c>
      <c r="BT209" s="207">
        <f t="shared" si="94"/>
        <v>0</v>
      </c>
      <c r="BU209" s="207">
        <f t="shared" si="95"/>
        <v>0</v>
      </c>
      <c r="BV209" s="207">
        <f t="shared" si="106"/>
        <v>0</v>
      </c>
      <c r="BW209" s="207">
        <f t="shared" si="96"/>
        <v>144</v>
      </c>
      <c r="BX209" s="207">
        <f t="shared" si="97"/>
        <v>72</v>
      </c>
      <c r="BY209" s="207">
        <f t="shared" si="98"/>
        <v>0</v>
      </c>
      <c r="BZ209" s="207">
        <f t="shared" si="99"/>
        <v>0</v>
      </c>
      <c r="CA209" s="207">
        <f t="shared" si="100"/>
        <v>0</v>
      </c>
      <c r="CB209" s="207">
        <f t="shared" si="101"/>
        <v>0</v>
      </c>
      <c r="CC209" s="207">
        <f t="shared" si="102"/>
        <v>0</v>
      </c>
      <c r="CD209" s="207">
        <f t="shared" si="103"/>
        <v>0</v>
      </c>
      <c r="CE209" s="207">
        <f t="shared" si="104"/>
        <v>216</v>
      </c>
    </row>
    <row r="210" spans="1:83" ht="12" customHeight="1" x14ac:dyDescent="0.2">
      <c r="A210" s="6">
        <v>3</v>
      </c>
      <c r="B210" s="49" t="str">
        <f t="shared" si="78"/>
        <v>Gonzales Chunga Scarlen OdalisMP004</v>
      </c>
      <c r="C210" s="117" t="str">
        <f>J210</f>
        <v>Gonzales Chunga Scarlen Odalis</v>
      </c>
      <c r="D210" s="49" t="str">
        <f>VLOOKUP(C210,Datos!$B$13:$C$83,2,0)</f>
        <v>CESADO</v>
      </c>
      <c r="E210" s="49" t="s">
        <v>44</v>
      </c>
      <c r="F210" s="49" t="str">
        <f>IFERROR(VLOOKUP(H210,Datos!$J$2:$L$60,3,0),"OBSERVACIONES")</f>
        <v>PROCESO</v>
      </c>
      <c r="G210" s="49"/>
      <c r="H210" s="49" t="s">
        <v>42</v>
      </c>
      <c r="I210" s="49" t="s">
        <v>304</v>
      </c>
      <c r="J210" s="119" t="s">
        <v>420</v>
      </c>
      <c r="K210" s="16">
        <v>0</v>
      </c>
      <c r="L210" s="16">
        <v>32</v>
      </c>
      <c r="M210" s="16">
        <v>32</v>
      </c>
      <c r="N210" s="16">
        <v>0</v>
      </c>
      <c r="O210" s="16">
        <v>0</v>
      </c>
      <c r="P210" s="16">
        <v>8</v>
      </c>
      <c r="Q210" s="16">
        <v>40</v>
      </c>
      <c r="R210" s="16">
        <v>24</v>
      </c>
      <c r="S210" s="16">
        <v>0</v>
      </c>
      <c r="T210" s="16">
        <v>0</v>
      </c>
      <c r="U210" s="16">
        <v>0</v>
      </c>
      <c r="V210" s="16">
        <v>0</v>
      </c>
      <c r="W210" s="16">
        <v>0</v>
      </c>
      <c r="X210" s="16">
        <v>0</v>
      </c>
      <c r="Y210" s="16">
        <v>0</v>
      </c>
      <c r="Z210" s="16">
        <v>0</v>
      </c>
      <c r="AA210" s="16">
        <v>0</v>
      </c>
      <c r="AB210" s="16">
        <v>0</v>
      </c>
      <c r="AC210" s="16">
        <v>0</v>
      </c>
      <c r="AD210" s="16">
        <v>0</v>
      </c>
      <c r="AE210" s="16">
        <v>0</v>
      </c>
      <c r="AF210" s="16">
        <v>0</v>
      </c>
      <c r="AG210" s="16">
        <v>0</v>
      </c>
      <c r="AH210" s="16">
        <v>0</v>
      </c>
      <c r="AI210" s="16">
        <v>0</v>
      </c>
      <c r="AJ210" s="16">
        <v>0</v>
      </c>
      <c r="AK210" s="16">
        <v>0</v>
      </c>
      <c r="AL210" s="16">
        <v>0</v>
      </c>
      <c r="AM210" s="16">
        <v>0</v>
      </c>
      <c r="AN210" s="16">
        <v>0</v>
      </c>
      <c r="AO210" s="16">
        <v>0</v>
      </c>
      <c r="AP210" s="16">
        <v>0</v>
      </c>
      <c r="AQ210" s="16">
        <v>0</v>
      </c>
      <c r="AR210" s="16">
        <v>0</v>
      </c>
      <c r="AS210" s="16">
        <v>0</v>
      </c>
      <c r="AT210" s="16">
        <v>0</v>
      </c>
      <c r="AU210" s="16">
        <v>0</v>
      </c>
      <c r="AV210" s="16">
        <v>0</v>
      </c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0</v>
      </c>
      <c r="BD210" s="16">
        <v>0</v>
      </c>
      <c r="BE210" s="16">
        <v>0</v>
      </c>
      <c r="BF210" s="16">
        <v>0</v>
      </c>
      <c r="BG210" s="16">
        <v>0</v>
      </c>
      <c r="BH210" s="16">
        <v>0</v>
      </c>
      <c r="BI210" s="16">
        <v>0</v>
      </c>
      <c r="BJ210" s="16">
        <v>0</v>
      </c>
      <c r="BK210" s="16">
        <v>0</v>
      </c>
      <c r="BL210" s="16">
        <v>0</v>
      </c>
      <c r="BM210" s="16">
        <v>0</v>
      </c>
      <c r="BN210" s="16">
        <v>0</v>
      </c>
      <c r="BO210" s="16">
        <v>0</v>
      </c>
      <c r="BP210" s="16">
        <v>0</v>
      </c>
      <c r="BQ210" s="16">
        <v>0</v>
      </c>
      <c r="BR210" s="16">
        <v>0</v>
      </c>
      <c r="BS210" s="207">
        <f t="shared" si="93"/>
        <v>64</v>
      </c>
      <c r="BT210" s="207">
        <f t="shared" si="94"/>
        <v>72</v>
      </c>
      <c r="BU210" s="207">
        <f t="shared" si="95"/>
        <v>0</v>
      </c>
      <c r="BV210" s="207">
        <f t="shared" si="106"/>
        <v>0</v>
      </c>
      <c r="BW210" s="207">
        <f t="shared" si="96"/>
        <v>0</v>
      </c>
      <c r="BX210" s="207">
        <f t="shared" si="97"/>
        <v>0</v>
      </c>
      <c r="BY210" s="207">
        <f t="shared" si="98"/>
        <v>0</v>
      </c>
      <c r="BZ210" s="207">
        <f t="shared" si="99"/>
        <v>0</v>
      </c>
      <c r="CA210" s="207">
        <f t="shared" si="100"/>
        <v>0</v>
      </c>
      <c r="CB210" s="207">
        <f t="shared" si="101"/>
        <v>0</v>
      </c>
      <c r="CC210" s="207">
        <f t="shared" si="102"/>
        <v>0</v>
      </c>
      <c r="CD210" s="207">
        <f t="shared" si="103"/>
        <v>0</v>
      </c>
      <c r="CE210" s="207">
        <f>SUM(BS210:CD210)</f>
        <v>136</v>
      </c>
    </row>
    <row r="211" spans="1:83" ht="12" customHeight="1" x14ac:dyDescent="0.2">
      <c r="A211" s="6">
        <v>4</v>
      </c>
      <c r="B211" s="49" t="str">
        <f t="shared" ref="B211:B242" si="113">C211&amp;H211</f>
        <v>Gonzales Chunga Scarlen OdalisVACACIONES</v>
      </c>
      <c r="C211" s="117" t="str">
        <f>J211</f>
        <v>Gonzales Chunga Scarlen Odalis</v>
      </c>
      <c r="D211" s="49" t="str">
        <f>VLOOKUP(C211,Datos!$B$13:$C$83,2,0)</f>
        <v>CESADO</v>
      </c>
      <c r="E211" s="49" t="s">
        <v>209</v>
      </c>
      <c r="F211" s="49"/>
      <c r="G211" s="49" t="str">
        <f>IFERROR(VLOOKUP(H211,Datos!$J$2:$L$60,3,0),"OBSERVACIONES")</f>
        <v>OBSERVACIONES</v>
      </c>
      <c r="H211" s="49" t="s">
        <v>209</v>
      </c>
      <c r="I211" s="49" t="s">
        <v>243</v>
      </c>
      <c r="J211" s="119" t="s">
        <v>420</v>
      </c>
      <c r="K211" s="16">
        <v>40</v>
      </c>
      <c r="L211" s="16">
        <v>8</v>
      </c>
      <c r="M211" s="16">
        <v>8</v>
      </c>
      <c r="N211" s="16">
        <v>40</v>
      </c>
      <c r="O211" s="16">
        <v>16</v>
      </c>
      <c r="P211" s="16">
        <v>16</v>
      </c>
      <c r="Q211" s="16">
        <v>0</v>
      </c>
      <c r="R211" s="16">
        <v>0</v>
      </c>
      <c r="S211" s="16">
        <v>0</v>
      </c>
      <c r="T211" s="16">
        <v>0</v>
      </c>
      <c r="U211" s="16">
        <v>0</v>
      </c>
      <c r="V211" s="16">
        <v>0</v>
      </c>
      <c r="W211" s="16">
        <v>0</v>
      </c>
      <c r="X211" s="16">
        <v>0</v>
      </c>
      <c r="Y211" s="16">
        <v>0</v>
      </c>
      <c r="Z211" s="16">
        <v>0</v>
      </c>
      <c r="AA211" s="16">
        <v>0</v>
      </c>
      <c r="AB211" s="16">
        <v>0</v>
      </c>
      <c r="AC211" s="16">
        <v>0</v>
      </c>
      <c r="AD211" s="16">
        <v>0</v>
      </c>
      <c r="AE211" s="16">
        <v>0</v>
      </c>
      <c r="AF211" s="16">
        <v>0</v>
      </c>
      <c r="AG211" s="16">
        <v>0</v>
      </c>
      <c r="AH211" s="16">
        <v>0</v>
      </c>
      <c r="AI211" s="16">
        <v>0</v>
      </c>
      <c r="AJ211" s="16">
        <v>0</v>
      </c>
      <c r="AK211" s="16">
        <v>0</v>
      </c>
      <c r="AL211" s="16">
        <v>0</v>
      </c>
      <c r="AM211" s="16">
        <v>0</v>
      </c>
      <c r="AN211" s="16">
        <v>0</v>
      </c>
      <c r="AO211" s="16">
        <v>0</v>
      </c>
      <c r="AP211" s="16">
        <v>0</v>
      </c>
      <c r="AQ211" s="16">
        <v>0</v>
      </c>
      <c r="AR211" s="16">
        <v>0</v>
      </c>
      <c r="AS211" s="16">
        <v>0</v>
      </c>
      <c r="AT211" s="16">
        <v>0</v>
      </c>
      <c r="AU211" s="16">
        <v>0</v>
      </c>
      <c r="AV211" s="16">
        <v>0</v>
      </c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0</v>
      </c>
      <c r="BD211" s="16">
        <v>0</v>
      </c>
      <c r="BE211" s="16">
        <v>0</v>
      </c>
      <c r="BF211" s="16">
        <v>0</v>
      </c>
      <c r="BG211" s="16">
        <v>0</v>
      </c>
      <c r="BH211" s="16">
        <v>0</v>
      </c>
      <c r="BI211" s="16">
        <v>0</v>
      </c>
      <c r="BJ211" s="16">
        <v>0</v>
      </c>
      <c r="BK211" s="16">
        <v>0</v>
      </c>
      <c r="BL211" s="16">
        <v>0</v>
      </c>
      <c r="BM211" s="16">
        <v>0</v>
      </c>
      <c r="BN211" s="16">
        <v>0</v>
      </c>
      <c r="BO211" s="16">
        <v>0</v>
      </c>
      <c r="BP211" s="16">
        <v>0</v>
      </c>
      <c r="BQ211" s="16">
        <v>0</v>
      </c>
      <c r="BR211" s="16">
        <v>0</v>
      </c>
      <c r="BS211" s="207">
        <f t="shared" si="93"/>
        <v>112</v>
      </c>
      <c r="BT211" s="207">
        <f t="shared" si="94"/>
        <v>16</v>
      </c>
      <c r="BU211" s="207">
        <f t="shared" si="95"/>
        <v>0</v>
      </c>
      <c r="BV211" s="207">
        <f t="shared" si="106"/>
        <v>0</v>
      </c>
      <c r="BW211" s="207">
        <f t="shared" si="96"/>
        <v>0</v>
      </c>
      <c r="BX211" s="207">
        <f t="shared" si="97"/>
        <v>0</v>
      </c>
      <c r="BY211" s="207">
        <f t="shared" si="98"/>
        <v>0</v>
      </c>
      <c r="BZ211" s="207">
        <f t="shared" si="99"/>
        <v>0</v>
      </c>
      <c r="CA211" s="207">
        <f t="shared" si="100"/>
        <v>0</v>
      </c>
      <c r="CB211" s="207">
        <f t="shared" si="101"/>
        <v>0</v>
      </c>
      <c r="CC211" s="207">
        <f t="shared" si="102"/>
        <v>0</v>
      </c>
      <c r="CD211" s="207">
        <f t="shared" si="103"/>
        <v>0</v>
      </c>
      <c r="CE211" s="207">
        <f>SUM(BS211:CD211)</f>
        <v>128</v>
      </c>
    </row>
    <row r="212" spans="1:83" ht="12" customHeight="1" x14ac:dyDescent="0.2">
      <c r="A212" s="6">
        <v>3</v>
      </c>
      <c r="B212" s="49" t="str">
        <f t="shared" si="113"/>
        <v>Gonzales Chunga Scarlen OdalisP0013</v>
      </c>
      <c r="C212" s="117" t="str">
        <f t="shared" si="105"/>
        <v>Gonzales Chunga Scarlen Odalis</v>
      </c>
      <c r="D212" s="49" t="str">
        <f>VLOOKUP(C212,Datos!$B$13:$C$83,2,0)</f>
        <v>CESADO</v>
      </c>
      <c r="E212" s="49" t="s">
        <v>45</v>
      </c>
      <c r="F212" s="49" t="str">
        <f>IFERROR(VLOOKUP(H212,Datos!$J$2:$L$60,3,0),"OBSERVACIONES")</f>
        <v>CERRADO</v>
      </c>
      <c r="G212" s="49"/>
      <c r="H212" s="49" t="s">
        <v>51</v>
      </c>
      <c r="I212" s="49" t="s">
        <v>122</v>
      </c>
      <c r="J212" s="119" t="s">
        <v>420</v>
      </c>
      <c r="K212" s="16">
        <v>0</v>
      </c>
      <c r="L212" s="16">
        <v>0</v>
      </c>
      <c r="M212" s="16">
        <v>0</v>
      </c>
      <c r="N212" s="16">
        <v>0</v>
      </c>
      <c r="O212" s="16">
        <v>0</v>
      </c>
      <c r="P212" s="16">
        <v>0</v>
      </c>
      <c r="Q212" s="16">
        <v>0</v>
      </c>
      <c r="R212" s="16">
        <v>0</v>
      </c>
      <c r="S212" s="16">
        <v>0</v>
      </c>
      <c r="T212" s="16">
        <v>0</v>
      </c>
      <c r="U212" s="16">
        <v>0</v>
      </c>
      <c r="V212" s="16">
        <v>0</v>
      </c>
      <c r="W212" s="16">
        <v>0</v>
      </c>
      <c r="X212" s="16">
        <v>0</v>
      </c>
      <c r="Y212" s="16">
        <v>0</v>
      </c>
      <c r="Z212" s="16">
        <v>0</v>
      </c>
      <c r="AA212" s="16">
        <v>0</v>
      </c>
      <c r="AB212" s="16">
        <v>0</v>
      </c>
      <c r="AC212" s="16">
        <v>0</v>
      </c>
      <c r="AD212" s="16">
        <v>0</v>
      </c>
      <c r="AE212" s="16">
        <v>0</v>
      </c>
      <c r="AF212" s="16">
        <v>0</v>
      </c>
      <c r="AG212" s="16">
        <v>0</v>
      </c>
      <c r="AH212" s="16">
        <v>0</v>
      </c>
      <c r="AI212" s="16">
        <v>0</v>
      </c>
      <c r="AJ212" s="16">
        <v>0</v>
      </c>
      <c r="AK212" s="16">
        <v>24</v>
      </c>
      <c r="AL212" s="16">
        <v>0</v>
      </c>
      <c r="AM212" s="16">
        <v>0</v>
      </c>
      <c r="AN212" s="16">
        <v>0</v>
      </c>
      <c r="AO212" s="16">
        <v>0</v>
      </c>
      <c r="AP212" s="16">
        <v>0</v>
      </c>
      <c r="AQ212" s="16">
        <v>0</v>
      </c>
      <c r="AR212" s="16">
        <v>0</v>
      </c>
      <c r="AS212" s="16">
        <v>0</v>
      </c>
      <c r="AT212" s="16">
        <v>0</v>
      </c>
      <c r="AU212" s="16">
        <v>0</v>
      </c>
      <c r="AV212" s="16">
        <v>0</v>
      </c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0</v>
      </c>
      <c r="BD212" s="16">
        <v>0</v>
      </c>
      <c r="BE212" s="16">
        <v>0</v>
      </c>
      <c r="BF212" s="16">
        <v>0</v>
      </c>
      <c r="BG212" s="16">
        <v>0</v>
      </c>
      <c r="BH212" s="16">
        <v>0</v>
      </c>
      <c r="BI212" s="16">
        <v>0</v>
      </c>
      <c r="BJ212" s="16">
        <v>0</v>
      </c>
      <c r="BK212" s="16">
        <v>0</v>
      </c>
      <c r="BL212" s="16">
        <v>0</v>
      </c>
      <c r="BM212" s="16">
        <v>0</v>
      </c>
      <c r="BN212" s="16">
        <v>0</v>
      </c>
      <c r="BO212" s="16">
        <v>0</v>
      </c>
      <c r="BP212" s="16">
        <v>0</v>
      </c>
      <c r="BQ212" s="16">
        <v>0</v>
      </c>
      <c r="BR212" s="16">
        <v>0</v>
      </c>
      <c r="BS212" s="207">
        <f t="shared" si="93"/>
        <v>0</v>
      </c>
      <c r="BT212" s="207">
        <f t="shared" si="94"/>
        <v>0</v>
      </c>
      <c r="BU212" s="207">
        <f t="shared" si="95"/>
        <v>0</v>
      </c>
      <c r="BV212" s="207">
        <f t="shared" si="106"/>
        <v>0</v>
      </c>
      <c r="BW212" s="207">
        <f t="shared" si="96"/>
        <v>0</v>
      </c>
      <c r="BX212" s="207">
        <f t="shared" si="97"/>
        <v>24</v>
      </c>
      <c r="BY212" s="207">
        <f t="shared" si="98"/>
        <v>0</v>
      </c>
      <c r="BZ212" s="207">
        <f t="shared" si="99"/>
        <v>0</v>
      </c>
      <c r="CA212" s="207">
        <f t="shared" si="100"/>
        <v>0</v>
      </c>
      <c r="CB212" s="207">
        <f t="shared" si="101"/>
        <v>0</v>
      </c>
      <c r="CC212" s="207">
        <f t="shared" si="102"/>
        <v>0</v>
      </c>
      <c r="CD212" s="207">
        <f t="shared" si="103"/>
        <v>0</v>
      </c>
      <c r="CE212" s="207">
        <f t="shared" si="104"/>
        <v>24</v>
      </c>
    </row>
    <row r="213" spans="1:83" ht="12" customHeight="1" x14ac:dyDescent="0.2">
      <c r="A213" s="6">
        <v>3</v>
      </c>
      <c r="B213" s="49" t="str">
        <f t="shared" si="113"/>
        <v>Uceda Rentería Cristhian DanielP0013</v>
      </c>
      <c r="C213" s="117" t="str">
        <f t="shared" si="105"/>
        <v>Uceda Rentería Cristhian Daniel</v>
      </c>
      <c r="D213" s="49" t="str">
        <f>VLOOKUP(C213,Datos!$B$13:$C$83,2,0)</f>
        <v>CESADO</v>
      </c>
      <c r="E213" s="49" t="s">
        <v>45</v>
      </c>
      <c r="F213" s="49" t="str">
        <f>IFERROR(VLOOKUP(H213,Datos!$J$2:$L$60,3,0),"OBSERVACIONES")</f>
        <v>CERRADO</v>
      </c>
      <c r="G213" s="49"/>
      <c r="H213" s="49" t="s">
        <v>51</v>
      </c>
      <c r="I213" s="49" t="s">
        <v>122</v>
      </c>
      <c r="J213" s="119" t="s">
        <v>429</v>
      </c>
      <c r="K213" s="16">
        <v>0</v>
      </c>
      <c r="L213" s="16">
        <v>0</v>
      </c>
      <c r="M213" s="16">
        <v>0</v>
      </c>
      <c r="N213" s="16">
        <v>0</v>
      </c>
      <c r="O213" s="16">
        <v>0</v>
      </c>
      <c r="P213" s="16">
        <v>0</v>
      </c>
      <c r="Q213" s="16">
        <v>0</v>
      </c>
      <c r="R213" s="16">
        <v>0</v>
      </c>
      <c r="S213" s="16">
        <v>0</v>
      </c>
      <c r="T213" s="16">
        <v>0</v>
      </c>
      <c r="U213" s="16">
        <v>0</v>
      </c>
      <c r="V213" s="16">
        <v>0</v>
      </c>
      <c r="W213" s="16">
        <v>0</v>
      </c>
      <c r="X213" s="16">
        <v>0</v>
      </c>
      <c r="Y213" s="16">
        <v>0</v>
      </c>
      <c r="Z213" s="16">
        <v>0</v>
      </c>
      <c r="AA213" s="16">
        <v>0</v>
      </c>
      <c r="AB213" s="16">
        <v>0</v>
      </c>
      <c r="AC213" s="16">
        <v>0</v>
      </c>
      <c r="AD213" s="16">
        <v>32</v>
      </c>
      <c r="AE213" s="16">
        <v>40</v>
      </c>
      <c r="AF213" s="16">
        <v>40</v>
      </c>
      <c r="AG213" s="16">
        <v>40</v>
      </c>
      <c r="AH213" s="16">
        <v>24</v>
      </c>
      <c r="AI213" s="16">
        <v>16</v>
      </c>
      <c r="AJ213" s="16">
        <v>40</v>
      </c>
      <c r="AK213" s="16">
        <v>40</v>
      </c>
      <c r="AL213" s="16">
        <v>32</v>
      </c>
      <c r="AM213" s="16">
        <v>0</v>
      </c>
      <c r="AN213" s="16">
        <v>0</v>
      </c>
      <c r="AO213" s="16">
        <v>0</v>
      </c>
      <c r="AP213" s="16">
        <v>0</v>
      </c>
      <c r="AQ213" s="16">
        <v>0</v>
      </c>
      <c r="AR213" s="16">
        <v>0</v>
      </c>
      <c r="AS213" s="16">
        <v>0</v>
      </c>
      <c r="AT213" s="16">
        <v>0</v>
      </c>
      <c r="AU213" s="16">
        <v>0</v>
      </c>
      <c r="AV213" s="16">
        <v>0</v>
      </c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0</v>
      </c>
      <c r="BD213" s="16">
        <v>0</v>
      </c>
      <c r="BE213" s="16">
        <v>0</v>
      </c>
      <c r="BF213" s="16">
        <v>0</v>
      </c>
      <c r="BG213" s="16">
        <v>0</v>
      </c>
      <c r="BH213" s="16">
        <v>0</v>
      </c>
      <c r="BI213" s="16">
        <v>0</v>
      </c>
      <c r="BJ213" s="16">
        <v>0</v>
      </c>
      <c r="BK213" s="16">
        <v>0</v>
      </c>
      <c r="BL213" s="16">
        <v>0</v>
      </c>
      <c r="BM213" s="16">
        <v>0</v>
      </c>
      <c r="BN213" s="16">
        <v>0</v>
      </c>
      <c r="BO213" s="16">
        <v>0</v>
      </c>
      <c r="BP213" s="16">
        <v>0</v>
      </c>
      <c r="BQ213" s="16">
        <v>0</v>
      </c>
      <c r="BR213" s="16">
        <v>0</v>
      </c>
      <c r="BS213" s="207">
        <f t="shared" si="93"/>
        <v>0</v>
      </c>
      <c r="BT213" s="207">
        <f t="shared" si="94"/>
        <v>0</v>
      </c>
      <c r="BU213" s="207">
        <f t="shared" si="95"/>
        <v>0</v>
      </c>
      <c r="BV213" s="207">
        <f t="shared" si="106"/>
        <v>0</v>
      </c>
      <c r="BW213" s="207">
        <f t="shared" si="96"/>
        <v>176</v>
      </c>
      <c r="BX213" s="207">
        <f t="shared" si="97"/>
        <v>128</v>
      </c>
      <c r="BY213" s="207">
        <f t="shared" si="98"/>
        <v>0</v>
      </c>
      <c r="BZ213" s="207">
        <f t="shared" si="99"/>
        <v>0</v>
      </c>
      <c r="CA213" s="207">
        <f t="shared" si="100"/>
        <v>0</v>
      </c>
      <c r="CB213" s="207">
        <f t="shared" si="101"/>
        <v>0</v>
      </c>
      <c r="CC213" s="207">
        <f t="shared" si="102"/>
        <v>0</v>
      </c>
      <c r="CD213" s="207">
        <f t="shared" si="103"/>
        <v>0</v>
      </c>
      <c r="CE213" s="207">
        <f t="shared" si="104"/>
        <v>304</v>
      </c>
    </row>
    <row r="214" spans="1:83" ht="12" customHeight="1" x14ac:dyDescent="0.2">
      <c r="A214" s="6">
        <v>3</v>
      </c>
      <c r="B214" s="49" t="str">
        <f t="shared" si="113"/>
        <v>Salinas Vasquez Juan RafaelP0022</v>
      </c>
      <c r="C214" s="117" t="str">
        <f t="shared" si="105"/>
        <v>Salinas Vasquez Juan Rafael</v>
      </c>
      <c r="D214" s="49" t="str">
        <f>VLOOKUP(C214,Datos!$B$13:$C$83,2,0)</f>
        <v>VIGENTE</v>
      </c>
      <c r="E214" s="49" t="s">
        <v>103</v>
      </c>
      <c r="F214" s="49" t="str">
        <f>IFERROR(VLOOKUP(H214,Datos!$J$2:$L$60,3,0),"OBSERVACIONES")</f>
        <v>CERRADO</v>
      </c>
      <c r="G214" s="49"/>
      <c r="H214" s="49" t="s">
        <v>198</v>
      </c>
      <c r="I214" s="49" t="s">
        <v>199</v>
      </c>
      <c r="J214" s="119" t="s">
        <v>197</v>
      </c>
      <c r="K214" s="16">
        <v>0</v>
      </c>
      <c r="L214" s="16">
        <v>0</v>
      </c>
      <c r="M214" s="16">
        <v>0</v>
      </c>
      <c r="N214" s="16">
        <v>0</v>
      </c>
      <c r="O214" s="16">
        <v>0</v>
      </c>
      <c r="P214" s="16">
        <v>0</v>
      </c>
      <c r="Q214" s="16">
        <v>0</v>
      </c>
      <c r="R214" s="16">
        <v>0</v>
      </c>
      <c r="S214" s="16">
        <v>0</v>
      </c>
      <c r="T214" s="16">
        <v>0</v>
      </c>
      <c r="U214" s="16">
        <v>0</v>
      </c>
      <c r="V214" s="16">
        <v>0</v>
      </c>
      <c r="W214" s="16">
        <v>0</v>
      </c>
      <c r="X214" s="16">
        <v>0</v>
      </c>
      <c r="Y214" s="16">
        <v>0</v>
      </c>
      <c r="Z214" s="16">
        <v>0</v>
      </c>
      <c r="AA214" s="16">
        <v>0</v>
      </c>
      <c r="AB214" s="16">
        <v>0</v>
      </c>
      <c r="AC214" s="16">
        <v>0</v>
      </c>
      <c r="AD214" s="16">
        <v>0</v>
      </c>
      <c r="AE214" s="16">
        <v>0</v>
      </c>
      <c r="AF214" s="16">
        <v>0</v>
      </c>
      <c r="AG214" s="16">
        <v>0</v>
      </c>
      <c r="AH214" s="16">
        <v>0</v>
      </c>
      <c r="AI214" s="16">
        <v>0</v>
      </c>
      <c r="AJ214" s="16">
        <v>0</v>
      </c>
      <c r="AK214" s="16">
        <v>40</v>
      </c>
      <c r="AL214" s="16">
        <v>40</v>
      </c>
      <c r="AM214" s="16">
        <v>32</v>
      </c>
      <c r="AN214" s="16">
        <v>40</v>
      </c>
      <c r="AO214" s="16">
        <v>40</v>
      </c>
      <c r="AP214" s="16">
        <v>40</v>
      </c>
      <c r="AQ214" s="16">
        <v>32</v>
      </c>
      <c r="AR214" s="16">
        <v>0</v>
      </c>
      <c r="AS214" s="16">
        <v>8</v>
      </c>
      <c r="AT214" s="16">
        <v>32</v>
      </c>
      <c r="AU214" s="16">
        <v>24</v>
      </c>
      <c r="AV214" s="16">
        <v>26</v>
      </c>
      <c r="AW214" s="16">
        <v>1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0</v>
      </c>
      <c r="BD214" s="16">
        <v>0</v>
      </c>
      <c r="BE214" s="16">
        <v>0</v>
      </c>
      <c r="BF214" s="16">
        <v>0</v>
      </c>
      <c r="BG214" s="16">
        <v>0</v>
      </c>
      <c r="BH214" s="16">
        <v>0</v>
      </c>
      <c r="BI214" s="16">
        <v>0</v>
      </c>
      <c r="BJ214" s="16">
        <v>0</v>
      </c>
      <c r="BK214" s="16">
        <v>0</v>
      </c>
      <c r="BL214" s="16">
        <v>0</v>
      </c>
      <c r="BM214" s="16">
        <v>0</v>
      </c>
      <c r="BN214" s="16">
        <v>0</v>
      </c>
      <c r="BO214" s="16">
        <v>0</v>
      </c>
      <c r="BP214" s="16">
        <v>0</v>
      </c>
      <c r="BQ214" s="16">
        <v>0</v>
      </c>
      <c r="BR214" s="16">
        <v>0</v>
      </c>
      <c r="BS214" s="207">
        <f t="shared" si="93"/>
        <v>0</v>
      </c>
      <c r="BT214" s="207">
        <f t="shared" si="94"/>
        <v>0</v>
      </c>
      <c r="BU214" s="207">
        <f t="shared" si="95"/>
        <v>0</v>
      </c>
      <c r="BV214" s="207">
        <f t="shared" si="106"/>
        <v>0</v>
      </c>
      <c r="BW214" s="207">
        <f t="shared" si="96"/>
        <v>0</v>
      </c>
      <c r="BX214" s="207">
        <f t="shared" si="97"/>
        <v>112</v>
      </c>
      <c r="BY214" s="207">
        <f t="shared" si="98"/>
        <v>160</v>
      </c>
      <c r="BZ214" s="207">
        <f t="shared" si="99"/>
        <v>83</v>
      </c>
      <c r="CA214" s="207">
        <f t="shared" si="100"/>
        <v>0</v>
      </c>
      <c r="CB214" s="207">
        <f t="shared" si="101"/>
        <v>0</v>
      </c>
      <c r="CC214" s="207">
        <f t="shared" si="102"/>
        <v>0</v>
      </c>
      <c r="CD214" s="207">
        <f t="shared" si="103"/>
        <v>0</v>
      </c>
      <c r="CE214" s="207">
        <f t="shared" si="104"/>
        <v>355</v>
      </c>
    </row>
    <row r="215" spans="1:83" ht="12" customHeight="1" x14ac:dyDescent="0.2">
      <c r="A215" s="6">
        <v>1</v>
      </c>
      <c r="B215" s="49" t="str">
        <f t="shared" si="113"/>
        <v>Sotelo Marcos Victor HugoNO FACT.</v>
      </c>
      <c r="C215" s="117" t="str">
        <f t="shared" si="105"/>
        <v>Sotelo Marcos Victor Hugo</v>
      </c>
      <c r="D215" s="49" t="str">
        <f>VLOOKUP(C215,Datos!$B$13:$C$83,2,0)</f>
        <v>VIGENTE</v>
      </c>
      <c r="E215" s="49" t="s">
        <v>75</v>
      </c>
      <c r="F215" s="49"/>
      <c r="G215" s="49" t="str">
        <f>IFERROR(VLOOKUP(H215,Datos!$J$2:$L$60,3,0),"OBSERVACIONES")</f>
        <v>OBSERVACIONES</v>
      </c>
      <c r="H215" s="49" t="s">
        <v>75</v>
      </c>
      <c r="I215" s="49" t="s">
        <v>131</v>
      </c>
      <c r="J215" s="119" t="s">
        <v>431</v>
      </c>
      <c r="K215" s="16">
        <v>0</v>
      </c>
      <c r="L215" s="16">
        <v>0</v>
      </c>
      <c r="M215" s="16">
        <v>0</v>
      </c>
      <c r="N215" s="16">
        <v>0</v>
      </c>
      <c r="O215" s="16">
        <v>0</v>
      </c>
      <c r="P215" s="16">
        <v>0</v>
      </c>
      <c r="Q215" s="16">
        <v>0</v>
      </c>
      <c r="R215" s="16">
        <v>0</v>
      </c>
      <c r="S215" s="16">
        <v>0</v>
      </c>
      <c r="T215" s="16">
        <v>0</v>
      </c>
      <c r="U215" s="16">
        <v>0</v>
      </c>
      <c r="V215" s="16">
        <v>0</v>
      </c>
      <c r="W215" s="16">
        <v>0</v>
      </c>
      <c r="X215" s="16">
        <v>0</v>
      </c>
      <c r="Y215" s="16">
        <v>0</v>
      </c>
      <c r="Z215" s="16">
        <v>0</v>
      </c>
      <c r="AA215" s="16">
        <v>0</v>
      </c>
      <c r="AB215" s="16">
        <v>0</v>
      </c>
      <c r="AC215" s="16">
        <v>0</v>
      </c>
      <c r="AD215" s="16">
        <v>0</v>
      </c>
      <c r="AE215" s="16">
        <v>0</v>
      </c>
      <c r="AF215" s="16">
        <v>0</v>
      </c>
      <c r="AG215" s="16">
        <v>0</v>
      </c>
      <c r="AH215" s="16">
        <v>0</v>
      </c>
      <c r="AI215" s="16">
        <v>0</v>
      </c>
      <c r="AJ215" s="16">
        <v>0</v>
      </c>
      <c r="AK215" s="16">
        <v>0</v>
      </c>
      <c r="AL215" s="16">
        <v>0</v>
      </c>
      <c r="AM215" s="16">
        <v>0</v>
      </c>
      <c r="AN215" s="16">
        <v>0</v>
      </c>
      <c r="AO215" s="16">
        <v>0</v>
      </c>
      <c r="AP215" s="16">
        <v>0</v>
      </c>
      <c r="AQ215" s="16">
        <v>0</v>
      </c>
      <c r="AR215" s="16">
        <v>0</v>
      </c>
      <c r="AS215" s="16">
        <v>1</v>
      </c>
      <c r="AT215" s="16">
        <v>0</v>
      </c>
      <c r="AU215" s="16">
        <v>0</v>
      </c>
      <c r="AV215" s="16">
        <v>0</v>
      </c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0</v>
      </c>
      <c r="BD215" s="16">
        <v>0</v>
      </c>
      <c r="BE215" s="16">
        <v>0</v>
      </c>
      <c r="BF215" s="16">
        <v>0</v>
      </c>
      <c r="BG215" s="16">
        <v>0</v>
      </c>
      <c r="BH215" s="16">
        <v>0</v>
      </c>
      <c r="BI215" s="16">
        <v>0</v>
      </c>
      <c r="BJ215" s="16">
        <v>0</v>
      </c>
      <c r="BK215" s="16">
        <v>0</v>
      </c>
      <c r="BL215" s="16">
        <v>0</v>
      </c>
      <c r="BM215" s="16">
        <v>0</v>
      </c>
      <c r="BN215" s="16">
        <v>0</v>
      </c>
      <c r="BO215" s="16">
        <v>0</v>
      </c>
      <c r="BP215" s="16">
        <v>0</v>
      </c>
      <c r="BQ215" s="16">
        <v>0</v>
      </c>
      <c r="BR215" s="16">
        <v>0</v>
      </c>
      <c r="BS215" s="207">
        <f t="shared" si="93"/>
        <v>0</v>
      </c>
      <c r="BT215" s="207">
        <f t="shared" si="94"/>
        <v>0</v>
      </c>
      <c r="BU215" s="207">
        <f t="shared" si="95"/>
        <v>0</v>
      </c>
      <c r="BV215" s="207">
        <f t="shared" si="106"/>
        <v>0</v>
      </c>
      <c r="BW215" s="207">
        <f t="shared" si="96"/>
        <v>0</v>
      </c>
      <c r="BX215" s="207">
        <f t="shared" si="97"/>
        <v>0</v>
      </c>
      <c r="BY215" s="207">
        <f t="shared" si="98"/>
        <v>1</v>
      </c>
      <c r="BZ215" s="207">
        <f t="shared" si="99"/>
        <v>0</v>
      </c>
      <c r="CA215" s="207">
        <f t="shared" si="100"/>
        <v>0</v>
      </c>
      <c r="CB215" s="207">
        <f t="shared" si="101"/>
        <v>0</v>
      </c>
      <c r="CC215" s="207">
        <f t="shared" si="102"/>
        <v>0</v>
      </c>
      <c r="CD215" s="207">
        <f t="shared" si="103"/>
        <v>0</v>
      </c>
      <c r="CE215" s="207">
        <f t="shared" si="104"/>
        <v>1</v>
      </c>
    </row>
    <row r="216" spans="1:83" ht="12" customHeight="1" x14ac:dyDescent="0.2">
      <c r="A216" s="6">
        <v>3</v>
      </c>
      <c r="B216" s="49" t="str">
        <f>C216&amp;H216</f>
        <v>Cordova Miranda Missel KrujelP0033</v>
      </c>
      <c r="C216" s="117" t="s">
        <v>897</v>
      </c>
      <c r="D216" s="49" t="str">
        <f>VLOOKUP(C216,Datos!$B$13:$C$83,2,0)</f>
        <v>CESADO</v>
      </c>
      <c r="E216" s="49" t="s">
        <v>103</v>
      </c>
      <c r="F216" s="49" t="str">
        <f>IFERROR(VLOOKUP(H216,Datos!$J$2:$L$60,3,0),"OBSERVACIONES")</f>
        <v>PROCESO</v>
      </c>
      <c r="G216" s="49"/>
      <c r="H216" s="49" t="s">
        <v>562</v>
      </c>
      <c r="I216" s="49" t="s">
        <v>563</v>
      </c>
      <c r="J216" s="119" t="s">
        <v>881</v>
      </c>
      <c r="K216" s="16">
        <v>0</v>
      </c>
      <c r="L216" s="16">
        <v>0</v>
      </c>
      <c r="M216" s="16">
        <v>0</v>
      </c>
      <c r="N216" s="16">
        <v>0</v>
      </c>
      <c r="O216" s="16">
        <v>0</v>
      </c>
      <c r="P216" s="16">
        <v>0</v>
      </c>
      <c r="Q216" s="16">
        <v>0</v>
      </c>
      <c r="R216" s="16">
        <v>0</v>
      </c>
      <c r="S216" s="16">
        <v>0</v>
      </c>
      <c r="T216" s="16">
        <v>0</v>
      </c>
      <c r="U216" s="16">
        <v>0</v>
      </c>
      <c r="V216" s="16">
        <v>0</v>
      </c>
      <c r="W216" s="16">
        <v>0</v>
      </c>
      <c r="X216" s="16">
        <v>0</v>
      </c>
      <c r="Y216" s="16">
        <v>0</v>
      </c>
      <c r="Z216" s="16">
        <v>0</v>
      </c>
      <c r="AA216" s="16">
        <v>0</v>
      </c>
      <c r="AB216" s="16">
        <v>0</v>
      </c>
      <c r="AC216" s="16">
        <v>0</v>
      </c>
      <c r="AD216" s="16">
        <v>0</v>
      </c>
      <c r="AE216" s="16">
        <v>0</v>
      </c>
      <c r="AF216" s="16">
        <v>0</v>
      </c>
      <c r="AG216" s="16">
        <v>0</v>
      </c>
      <c r="AH216" s="16">
        <v>0</v>
      </c>
      <c r="AI216" s="16">
        <v>0</v>
      </c>
      <c r="AJ216" s="16">
        <v>0</v>
      </c>
      <c r="AK216" s="16">
        <v>0</v>
      </c>
      <c r="AL216" s="16">
        <v>0</v>
      </c>
      <c r="AM216" s="16">
        <v>0</v>
      </c>
      <c r="AN216" s="16">
        <v>0</v>
      </c>
      <c r="AO216" s="16">
        <v>0</v>
      </c>
      <c r="AP216" s="16">
        <v>0</v>
      </c>
      <c r="AQ216" s="16">
        <v>0</v>
      </c>
      <c r="AR216" s="16">
        <v>0</v>
      </c>
      <c r="AS216" s="16">
        <v>0</v>
      </c>
      <c r="AT216" s="16">
        <v>0</v>
      </c>
      <c r="AU216" s="16">
        <v>0</v>
      </c>
      <c r="AV216" s="16">
        <v>0</v>
      </c>
      <c r="AW216" s="16">
        <v>40</v>
      </c>
      <c r="AX216" s="16">
        <v>24</v>
      </c>
      <c r="AY216" s="16">
        <v>8</v>
      </c>
      <c r="AZ216" s="16">
        <v>40</v>
      </c>
      <c r="BA216" s="16">
        <v>40</v>
      </c>
      <c r="BB216" s="16">
        <v>40</v>
      </c>
      <c r="BC216" s="16">
        <v>40</v>
      </c>
      <c r="BD216" s="16">
        <v>40</v>
      </c>
      <c r="BE216" s="16">
        <v>0</v>
      </c>
      <c r="BF216" s="16">
        <v>0</v>
      </c>
      <c r="BG216" s="16">
        <v>0</v>
      </c>
      <c r="BH216" s="16">
        <v>0</v>
      </c>
      <c r="BI216" s="16">
        <v>0</v>
      </c>
      <c r="BJ216" s="16">
        <v>0</v>
      </c>
      <c r="BK216" s="16">
        <v>0</v>
      </c>
      <c r="BL216" s="16">
        <v>0</v>
      </c>
      <c r="BM216" s="16">
        <v>0</v>
      </c>
      <c r="BN216" s="16">
        <v>0</v>
      </c>
      <c r="BO216" s="16">
        <v>0</v>
      </c>
      <c r="BP216" s="16">
        <v>0</v>
      </c>
      <c r="BQ216" s="16">
        <v>0</v>
      </c>
      <c r="BR216" s="16">
        <v>0</v>
      </c>
      <c r="BS216" s="207">
        <f t="shared" si="93"/>
        <v>0</v>
      </c>
      <c r="BT216" s="207">
        <f t="shared" si="94"/>
        <v>0</v>
      </c>
      <c r="BU216" s="207">
        <f t="shared" si="95"/>
        <v>0</v>
      </c>
      <c r="BV216" s="207">
        <f t="shared" si="106"/>
        <v>0</v>
      </c>
      <c r="BW216" s="207">
        <f t="shared" si="96"/>
        <v>0</v>
      </c>
      <c r="BX216" s="207">
        <f>SUM(AE216:AI216)</f>
        <v>0</v>
      </c>
      <c r="BY216" s="207">
        <f>SUM(AF216:AJ216)</f>
        <v>0</v>
      </c>
      <c r="BZ216" s="207">
        <f t="shared" si="99"/>
        <v>64</v>
      </c>
      <c r="CA216" s="207">
        <f t="shared" si="100"/>
        <v>168</v>
      </c>
      <c r="CB216" s="207">
        <f t="shared" si="101"/>
        <v>40</v>
      </c>
      <c r="CC216" s="207">
        <f t="shared" si="102"/>
        <v>0</v>
      </c>
      <c r="CD216" s="207">
        <f t="shared" si="103"/>
        <v>0</v>
      </c>
      <c r="CE216" s="207">
        <f t="shared" si="104"/>
        <v>272</v>
      </c>
    </row>
    <row r="217" spans="1:83" ht="12" customHeight="1" x14ac:dyDescent="0.2">
      <c r="A217" s="6">
        <v>3</v>
      </c>
      <c r="B217" s="49" t="str">
        <f t="shared" si="113"/>
        <v>Sotelo Marcos Victor HugoP0033</v>
      </c>
      <c r="C217" s="117" t="str">
        <f t="shared" si="105"/>
        <v>Sotelo Marcos Victor Hugo</v>
      </c>
      <c r="D217" s="49" t="str">
        <f>VLOOKUP(C217,Datos!$B$13:$C$83,2,0)</f>
        <v>VIGENTE</v>
      </c>
      <c r="E217" s="49" t="s">
        <v>103</v>
      </c>
      <c r="F217" s="49" t="str">
        <f>IFERROR(VLOOKUP(H217,Datos!$J$2:$L$60,3,0),"OBSERVACIONES")</f>
        <v>PROCESO</v>
      </c>
      <c r="G217" s="49"/>
      <c r="H217" s="49" t="s">
        <v>562</v>
      </c>
      <c r="I217" s="49" t="s">
        <v>563</v>
      </c>
      <c r="J217" s="119" t="s">
        <v>431</v>
      </c>
      <c r="K217" s="16">
        <v>0</v>
      </c>
      <c r="L217" s="16">
        <v>0</v>
      </c>
      <c r="M217" s="16">
        <v>0</v>
      </c>
      <c r="N217" s="16">
        <v>0</v>
      </c>
      <c r="O217" s="16">
        <v>0</v>
      </c>
      <c r="P217" s="16">
        <v>0</v>
      </c>
      <c r="Q217" s="16">
        <v>0</v>
      </c>
      <c r="R217" s="16">
        <v>0</v>
      </c>
      <c r="S217" s="16">
        <v>0</v>
      </c>
      <c r="T217" s="16">
        <v>0</v>
      </c>
      <c r="U217" s="16">
        <v>0</v>
      </c>
      <c r="V217" s="16">
        <v>0</v>
      </c>
      <c r="W217" s="16">
        <v>0</v>
      </c>
      <c r="X217" s="16">
        <v>0</v>
      </c>
      <c r="Y217" s="16">
        <v>0</v>
      </c>
      <c r="Z217" s="16">
        <v>0</v>
      </c>
      <c r="AA217" s="16">
        <v>0</v>
      </c>
      <c r="AB217" s="16">
        <v>0</v>
      </c>
      <c r="AC217" s="16">
        <v>0</v>
      </c>
      <c r="AD217" s="16">
        <v>0</v>
      </c>
      <c r="AE217" s="16">
        <v>0</v>
      </c>
      <c r="AF217" s="16">
        <v>0</v>
      </c>
      <c r="AG217" s="16">
        <v>0</v>
      </c>
      <c r="AH217" s="16">
        <v>0</v>
      </c>
      <c r="AI217" s="16">
        <v>0</v>
      </c>
      <c r="AJ217" s="16">
        <v>0</v>
      </c>
      <c r="AK217" s="16">
        <v>0</v>
      </c>
      <c r="AL217" s="16">
        <v>0</v>
      </c>
      <c r="AM217" s="16">
        <v>0</v>
      </c>
      <c r="AN217" s="16">
        <v>0</v>
      </c>
      <c r="AO217" s="16">
        <v>0</v>
      </c>
      <c r="AP217" s="16">
        <v>0</v>
      </c>
      <c r="AQ217" s="16">
        <v>0</v>
      </c>
      <c r="AR217" s="16">
        <v>0</v>
      </c>
      <c r="AS217" s="16">
        <v>2</v>
      </c>
      <c r="AT217" s="16">
        <v>9</v>
      </c>
      <c r="AU217" s="16">
        <v>7</v>
      </c>
      <c r="AV217" s="16">
        <v>1</v>
      </c>
      <c r="AW217" s="16">
        <v>1</v>
      </c>
      <c r="AX217" s="16">
        <v>2</v>
      </c>
      <c r="AY217" s="16">
        <v>0</v>
      </c>
      <c r="AZ217" s="16">
        <v>3</v>
      </c>
      <c r="BA217" s="16">
        <v>7</v>
      </c>
      <c r="BB217" s="16">
        <v>6</v>
      </c>
      <c r="BC217" s="16">
        <v>4</v>
      </c>
      <c r="BD217" s="16">
        <v>5</v>
      </c>
      <c r="BE217" s="16">
        <v>0</v>
      </c>
      <c r="BF217" s="16">
        <v>0</v>
      </c>
      <c r="BG217" s="16">
        <v>0</v>
      </c>
      <c r="BH217" s="16">
        <v>0</v>
      </c>
      <c r="BI217" s="16">
        <v>0</v>
      </c>
      <c r="BJ217" s="16">
        <v>0</v>
      </c>
      <c r="BK217" s="16">
        <v>0</v>
      </c>
      <c r="BL217" s="16">
        <v>0</v>
      </c>
      <c r="BM217" s="16">
        <v>0</v>
      </c>
      <c r="BN217" s="16">
        <v>0</v>
      </c>
      <c r="BO217" s="16">
        <v>0</v>
      </c>
      <c r="BP217" s="16">
        <v>0</v>
      </c>
      <c r="BQ217" s="16">
        <v>0</v>
      </c>
      <c r="BR217" s="16">
        <v>0</v>
      </c>
      <c r="BS217" s="207">
        <f t="shared" si="93"/>
        <v>0</v>
      </c>
      <c r="BT217" s="207">
        <f t="shared" si="94"/>
        <v>0</v>
      </c>
      <c r="BU217" s="207">
        <f t="shared" si="95"/>
        <v>0</v>
      </c>
      <c r="BV217" s="207">
        <f t="shared" si="106"/>
        <v>0</v>
      </c>
      <c r="BW217" s="207">
        <f t="shared" si="96"/>
        <v>0</v>
      </c>
      <c r="BX217" s="207">
        <f t="shared" si="97"/>
        <v>0</v>
      </c>
      <c r="BY217" s="207">
        <f t="shared" si="98"/>
        <v>2</v>
      </c>
      <c r="BZ217" s="207">
        <f t="shared" si="99"/>
        <v>20</v>
      </c>
      <c r="CA217" s="207">
        <f t="shared" si="100"/>
        <v>20</v>
      </c>
      <c r="CB217" s="207">
        <f t="shared" si="101"/>
        <v>5</v>
      </c>
      <c r="CC217" s="207">
        <f t="shared" si="102"/>
        <v>0</v>
      </c>
      <c r="CD217" s="207">
        <f t="shared" si="103"/>
        <v>0</v>
      </c>
      <c r="CE217" s="207">
        <f t="shared" si="104"/>
        <v>47</v>
      </c>
    </row>
    <row r="218" spans="1:83" ht="12" customHeight="1" x14ac:dyDescent="0.2">
      <c r="A218" s="6">
        <v>3</v>
      </c>
      <c r="B218" s="49" t="str">
        <f t="shared" si="113"/>
        <v>Salinas Vasquez Juan RafaelP0027</v>
      </c>
      <c r="C218" s="117" t="str">
        <f t="shared" si="105"/>
        <v>Salinas Vasquez Juan Rafael</v>
      </c>
      <c r="D218" s="49" t="str">
        <f>VLOOKUP(C218,Datos!$B$13:$C$83,2,0)</f>
        <v>VIGENTE</v>
      </c>
      <c r="E218" s="49" t="s">
        <v>103</v>
      </c>
      <c r="F218" s="49" t="str">
        <f>IFERROR(VLOOKUP(H218,Datos!$J$2:$L$60,3,0),"OBSERVACIONES")</f>
        <v>PROCESO</v>
      </c>
      <c r="G218" s="49"/>
      <c r="H218" s="49" t="s">
        <v>361</v>
      </c>
      <c r="I218" s="49" t="s">
        <v>362</v>
      </c>
      <c r="J218" s="119" t="s">
        <v>197</v>
      </c>
      <c r="K218" s="16">
        <v>0</v>
      </c>
      <c r="L218" s="16">
        <v>0</v>
      </c>
      <c r="M218" s="16">
        <v>0</v>
      </c>
      <c r="N218" s="16">
        <v>0</v>
      </c>
      <c r="O218" s="16">
        <v>0</v>
      </c>
      <c r="P218" s="16">
        <v>0</v>
      </c>
      <c r="Q218" s="16">
        <v>0</v>
      </c>
      <c r="R218" s="16">
        <v>0</v>
      </c>
      <c r="S218" s="16">
        <v>0</v>
      </c>
      <c r="T218" s="16">
        <v>0</v>
      </c>
      <c r="U218" s="16">
        <v>0</v>
      </c>
      <c r="V218" s="16">
        <v>0</v>
      </c>
      <c r="W218" s="16">
        <v>0</v>
      </c>
      <c r="X218" s="16">
        <v>0</v>
      </c>
      <c r="Y218" s="16">
        <v>0</v>
      </c>
      <c r="Z218" s="16">
        <v>0</v>
      </c>
      <c r="AA218" s="16">
        <v>0</v>
      </c>
      <c r="AB218" s="16">
        <v>0</v>
      </c>
      <c r="AC218" s="16">
        <v>0</v>
      </c>
      <c r="AD218" s="16">
        <v>0</v>
      </c>
      <c r="AE218" s="16">
        <v>0</v>
      </c>
      <c r="AF218" s="16">
        <v>0</v>
      </c>
      <c r="AG218" s="16">
        <v>0</v>
      </c>
      <c r="AH218" s="16">
        <v>0</v>
      </c>
      <c r="AI218" s="16">
        <v>0</v>
      </c>
      <c r="AJ218" s="16">
        <v>0</v>
      </c>
      <c r="AK218" s="16">
        <v>0</v>
      </c>
      <c r="AL218" s="16">
        <v>0</v>
      </c>
      <c r="AM218" s="16">
        <v>0</v>
      </c>
      <c r="AN218" s="16">
        <v>0</v>
      </c>
      <c r="AO218" s="16">
        <v>0</v>
      </c>
      <c r="AP218" s="16">
        <v>0</v>
      </c>
      <c r="AQ218" s="16">
        <v>0</v>
      </c>
      <c r="AR218" s="16">
        <v>0</v>
      </c>
      <c r="AS218" s="16">
        <v>0</v>
      </c>
      <c r="AT218" s="16">
        <v>0</v>
      </c>
      <c r="AU218" s="16">
        <v>16</v>
      </c>
      <c r="AV218" s="16">
        <v>14</v>
      </c>
      <c r="AW218" s="16">
        <v>39</v>
      </c>
      <c r="AX218" s="16">
        <v>24</v>
      </c>
      <c r="AY218" s="16">
        <v>8</v>
      </c>
      <c r="AZ218" s="16">
        <v>40</v>
      </c>
      <c r="BA218" s="16">
        <v>40</v>
      </c>
      <c r="BB218" s="16">
        <v>40</v>
      </c>
      <c r="BC218" s="16">
        <v>40</v>
      </c>
      <c r="BD218" s="16">
        <v>40</v>
      </c>
      <c r="BE218" s="16">
        <v>0</v>
      </c>
      <c r="BF218" s="16">
        <v>0</v>
      </c>
      <c r="BG218" s="16">
        <v>0</v>
      </c>
      <c r="BH218" s="16">
        <v>0</v>
      </c>
      <c r="BI218" s="16">
        <v>0</v>
      </c>
      <c r="BJ218" s="16">
        <v>0</v>
      </c>
      <c r="BK218" s="16">
        <v>0</v>
      </c>
      <c r="BL218" s="16">
        <v>0</v>
      </c>
      <c r="BM218" s="16">
        <v>0</v>
      </c>
      <c r="BN218" s="16">
        <v>0</v>
      </c>
      <c r="BO218" s="16">
        <v>0</v>
      </c>
      <c r="BP218" s="16">
        <v>0</v>
      </c>
      <c r="BQ218" s="16">
        <v>0</v>
      </c>
      <c r="BR218" s="16">
        <v>0</v>
      </c>
      <c r="BS218" s="207">
        <f t="shared" si="93"/>
        <v>0</v>
      </c>
      <c r="BT218" s="207">
        <f t="shared" si="94"/>
        <v>0</v>
      </c>
      <c r="BU218" s="207">
        <f t="shared" si="95"/>
        <v>0</v>
      </c>
      <c r="BV218" s="207">
        <f t="shared" si="106"/>
        <v>0</v>
      </c>
      <c r="BW218" s="207">
        <f t="shared" si="96"/>
        <v>0</v>
      </c>
      <c r="BX218" s="207">
        <f t="shared" si="97"/>
        <v>0</v>
      </c>
      <c r="BY218" s="207">
        <f t="shared" si="98"/>
        <v>0</v>
      </c>
      <c r="BZ218" s="207">
        <f t="shared" si="99"/>
        <v>93</v>
      </c>
      <c r="CA218" s="207">
        <f t="shared" si="100"/>
        <v>168</v>
      </c>
      <c r="CB218" s="207">
        <f t="shared" si="101"/>
        <v>40</v>
      </c>
      <c r="CC218" s="207">
        <f t="shared" si="102"/>
        <v>0</v>
      </c>
      <c r="CD218" s="207">
        <f t="shared" si="103"/>
        <v>0</v>
      </c>
      <c r="CE218" s="207">
        <f t="shared" si="104"/>
        <v>301</v>
      </c>
    </row>
    <row r="219" spans="1:83" ht="12" customHeight="1" x14ac:dyDescent="0.2">
      <c r="A219" s="6">
        <v>3</v>
      </c>
      <c r="B219" s="49" t="str">
        <f t="shared" si="113"/>
        <v>Sotelo Marcos Victor HugoP0025</v>
      </c>
      <c r="C219" s="117" t="str">
        <f t="shared" si="105"/>
        <v>Sotelo Marcos Victor Hugo</v>
      </c>
      <c r="D219" s="49" t="str">
        <f>VLOOKUP(C219,Datos!$B$13:$C$83,2,0)</f>
        <v>VIGENTE</v>
      </c>
      <c r="E219" s="49" t="s">
        <v>103</v>
      </c>
      <c r="F219" s="49" t="str">
        <f>IFERROR(VLOOKUP(H219,Datos!$J$2:$L$60,3,0),"OBSERVACIONES")</f>
        <v>CERRADO</v>
      </c>
      <c r="G219" s="49"/>
      <c r="H219" s="49" t="s">
        <v>306</v>
      </c>
      <c r="I219" s="49" t="s">
        <v>437</v>
      </c>
      <c r="J219" s="119" t="s">
        <v>431</v>
      </c>
      <c r="K219" s="16">
        <v>0</v>
      </c>
      <c r="L219" s="16">
        <v>0</v>
      </c>
      <c r="M219" s="16">
        <v>0</v>
      </c>
      <c r="N219" s="16">
        <v>0</v>
      </c>
      <c r="O219" s="16">
        <v>0</v>
      </c>
      <c r="P219" s="16">
        <v>0</v>
      </c>
      <c r="Q219" s="16">
        <v>0</v>
      </c>
      <c r="R219" s="16">
        <v>0</v>
      </c>
      <c r="S219" s="16">
        <v>0</v>
      </c>
      <c r="T219" s="16">
        <v>0</v>
      </c>
      <c r="U219" s="16">
        <v>0</v>
      </c>
      <c r="V219" s="16">
        <v>0</v>
      </c>
      <c r="W219" s="16">
        <v>0</v>
      </c>
      <c r="X219" s="16">
        <v>0</v>
      </c>
      <c r="Y219" s="16">
        <v>0</v>
      </c>
      <c r="Z219" s="16">
        <v>0</v>
      </c>
      <c r="AA219" s="16">
        <v>0</v>
      </c>
      <c r="AB219" s="16">
        <v>0</v>
      </c>
      <c r="AC219" s="16">
        <v>0</v>
      </c>
      <c r="AD219" s="16">
        <v>0</v>
      </c>
      <c r="AE219" s="16">
        <v>0</v>
      </c>
      <c r="AF219" s="16">
        <v>0</v>
      </c>
      <c r="AG219" s="16">
        <v>0</v>
      </c>
      <c r="AH219" s="16">
        <v>0</v>
      </c>
      <c r="AI219" s="16">
        <v>0</v>
      </c>
      <c r="AJ219" s="16">
        <v>0</v>
      </c>
      <c r="AK219" s="16">
        <v>0</v>
      </c>
      <c r="AL219" s="16">
        <v>0</v>
      </c>
      <c r="AM219" s="16">
        <v>0</v>
      </c>
      <c r="AN219" s="16">
        <v>0</v>
      </c>
      <c r="AO219" s="16">
        <v>0</v>
      </c>
      <c r="AP219" s="16">
        <v>0</v>
      </c>
      <c r="AQ219" s="16">
        <v>0</v>
      </c>
      <c r="AR219" s="16">
        <v>0</v>
      </c>
      <c r="AS219" s="16">
        <v>0</v>
      </c>
      <c r="AT219" s="16">
        <v>0</v>
      </c>
      <c r="AU219" s="16">
        <v>2</v>
      </c>
      <c r="AV219" s="16">
        <v>3</v>
      </c>
      <c r="AW219" s="16">
        <v>2</v>
      </c>
      <c r="AX219" s="16">
        <v>2</v>
      </c>
      <c r="AY219" s="16">
        <v>2</v>
      </c>
      <c r="AZ219" s="16">
        <v>3</v>
      </c>
      <c r="BA219" s="16">
        <v>2</v>
      </c>
      <c r="BB219" s="16">
        <v>0</v>
      </c>
      <c r="BC219" s="16">
        <v>0</v>
      </c>
      <c r="BD219" s="16">
        <v>0</v>
      </c>
      <c r="BE219" s="16">
        <v>0</v>
      </c>
      <c r="BF219" s="16">
        <v>0</v>
      </c>
      <c r="BG219" s="16">
        <v>0</v>
      </c>
      <c r="BH219" s="16">
        <v>0</v>
      </c>
      <c r="BI219" s="16">
        <v>0</v>
      </c>
      <c r="BJ219" s="16">
        <v>0</v>
      </c>
      <c r="BK219" s="16">
        <v>0</v>
      </c>
      <c r="BL219" s="16">
        <v>0</v>
      </c>
      <c r="BM219" s="16">
        <v>0</v>
      </c>
      <c r="BN219" s="16">
        <v>0</v>
      </c>
      <c r="BO219" s="16">
        <v>0</v>
      </c>
      <c r="BP219" s="16">
        <v>0</v>
      </c>
      <c r="BQ219" s="16">
        <v>0</v>
      </c>
      <c r="BR219" s="16">
        <v>0</v>
      </c>
      <c r="BS219" s="207">
        <f t="shared" si="93"/>
        <v>0</v>
      </c>
      <c r="BT219" s="207">
        <f t="shared" si="94"/>
        <v>0</v>
      </c>
      <c r="BU219" s="207">
        <f t="shared" si="95"/>
        <v>0</v>
      </c>
      <c r="BV219" s="207">
        <f t="shared" si="106"/>
        <v>0</v>
      </c>
      <c r="BW219" s="207">
        <f t="shared" si="96"/>
        <v>0</v>
      </c>
      <c r="BX219" s="207">
        <f t="shared" si="97"/>
        <v>0</v>
      </c>
      <c r="BY219" s="207">
        <f t="shared" si="98"/>
        <v>0</v>
      </c>
      <c r="BZ219" s="207">
        <f t="shared" si="99"/>
        <v>9</v>
      </c>
      <c r="CA219" s="207">
        <f t="shared" si="100"/>
        <v>7</v>
      </c>
      <c r="CB219" s="207">
        <f t="shared" si="101"/>
        <v>0</v>
      </c>
      <c r="CC219" s="207">
        <f t="shared" si="102"/>
        <v>0</v>
      </c>
      <c r="CD219" s="207">
        <f t="shared" si="103"/>
        <v>0</v>
      </c>
      <c r="CE219" s="207">
        <f t="shared" si="104"/>
        <v>16</v>
      </c>
    </row>
    <row r="220" spans="1:83" ht="12" customHeight="1" x14ac:dyDescent="0.2">
      <c r="A220" s="6">
        <v>3</v>
      </c>
      <c r="B220" s="49" t="str">
        <f t="shared" ref="B220:B230" si="114">C220&amp;H220</f>
        <v>Sotelo Marcos Victor HugoP0022</v>
      </c>
      <c r="C220" s="117" t="str">
        <f t="shared" si="105"/>
        <v>Sotelo Marcos Victor Hugo</v>
      </c>
      <c r="D220" s="49" t="str">
        <f>VLOOKUP(C220,Datos!$B$13:$C$83,2,0)</f>
        <v>VIGENTE</v>
      </c>
      <c r="E220" s="49" t="s">
        <v>103</v>
      </c>
      <c r="F220" s="49" t="str">
        <f>IFERROR(VLOOKUP(H220,Datos!$J$2:$L$60,3,0),"OBSERVACIONES")</f>
        <v>CERRADO</v>
      </c>
      <c r="G220" s="49"/>
      <c r="H220" s="49" t="s">
        <v>198</v>
      </c>
      <c r="I220" s="49" t="s">
        <v>199</v>
      </c>
      <c r="J220" s="119" t="s">
        <v>431</v>
      </c>
      <c r="K220" s="16">
        <v>0</v>
      </c>
      <c r="L220" s="16">
        <v>0</v>
      </c>
      <c r="M220" s="16">
        <v>0</v>
      </c>
      <c r="N220" s="16">
        <v>0</v>
      </c>
      <c r="O220" s="16">
        <v>0</v>
      </c>
      <c r="P220" s="16">
        <v>0</v>
      </c>
      <c r="Q220" s="16">
        <v>0</v>
      </c>
      <c r="R220" s="16">
        <v>0</v>
      </c>
      <c r="S220" s="16">
        <v>0</v>
      </c>
      <c r="T220" s="16">
        <v>0</v>
      </c>
      <c r="U220" s="16">
        <v>0</v>
      </c>
      <c r="V220" s="16">
        <v>0</v>
      </c>
      <c r="W220" s="16">
        <v>0</v>
      </c>
      <c r="X220" s="16">
        <v>0</v>
      </c>
      <c r="Y220" s="16">
        <v>0</v>
      </c>
      <c r="Z220" s="16">
        <v>0</v>
      </c>
      <c r="AA220" s="16">
        <v>0</v>
      </c>
      <c r="AB220" s="16">
        <v>0</v>
      </c>
      <c r="AC220" s="16">
        <v>0</v>
      </c>
      <c r="AD220" s="16">
        <v>0</v>
      </c>
      <c r="AE220" s="16">
        <v>0</v>
      </c>
      <c r="AF220" s="16">
        <v>0</v>
      </c>
      <c r="AG220" s="16">
        <v>0</v>
      </c>
      <c r="AH220" s="16">
        <v>0</v>
      </c>
      <c r="AI220" s="16">
        <v>0</v>
      </c>
      <c r="AJ220" s="16">
        <v>0</v>
      </c>
      <c r="AK220" s="16">
        <v>0</v>
      </c>
      <c r="AL220" s="16">
        <v>0</v>
      </c>
      <c r="AM220" s="16">
        <v>0</v>
      </c>
      <c r="AN220" s="16">
        <v>0</v>
      </c>
      <c r="AO220" s="16">
        <v>0</v>
      </c>
      <c r="AP220" s="16">
        <v>0</v>
      </c>
      <c r="AQ220" s="16">
        <v>0</v>
      </c>
      <c r="AR220" s="16">
        <v>0</v>
      </c>
      <c r="AS220" s="16">
        <v>0</v>
      </c>
      <c r="AT220" s="16">
        <v>6</v>
      </c>
      <c r="AU220" s="16">
        <v>5</v>
      </c>
      <c r="AV220" s="16">
        <v>11</v>
      </c>
      <c r="AW220" s="16">
        <v>3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0</v>
      </c>
      <c r="BD220" s="16">
        <v>0</v>
      </c>
      <c r="BE220" s="16">
        <v>0</v>
      </c>
      <c r="BF220" s="16">
        <v>0</v>
      </c>
      <c r="BG220" s="16">
        <v>0</v>
      </c>
      <c r="BH220" s="16">
        <v>0</v>
      </c>
      <c r="BI220" s="16">
        <v>0</v>
      </c>
      <c r="BJ220" s="16">
        <v>0</v>
      </c>
      <c r="BK220" s="16">
        <v>0</v>
      </c>
      <c r="BL220" s="16">
        <v>0</v>
      </c>
      <c r="BM220" s="16">
        <v>0</v>
      </c>
      <c r="BN220" s="16">
        <v>0</v>
      </c>
      <c r="BO220" s="16">
        <v>0</v>
      </c>
      <c r="BP220" s="16">
        <v>0</v>
      </c>
      <c r="BQ220" s="16">
        <v>0</v>
      </c>
      <c r="BR220" s="16">
        <v>0</v>
      </c>
      <c r="BS220" s="207">
        <f t="shared" si="93"/>
        <v>0</v>
      </c>
      <c r="BT220" s="207">
        <f t="shared" si="94"/>
        <v>0</v>
      </c>
      <c r="BU220" s="207">
        <f t="shared" si="95"/>
        <v>0</v>
      </c>
      <c r="BV220" s="207">
        <f t="shared" si="106"/>
        <v>0</v>
      </c>
      <c r="BW220" s="207">
        <f t="shared" si="96"/>
        <v>0</v>
      </c>
      <c r="BX220" s="207">
        <f t="shared" si="97"/>
        <v>0</v>
      </c>
      <c r="BY220" s="207">
        <f t="shared" si="98"/>
        <v>0</v>
      </c>
      <c r="BZ220" s="207">
        <f t="shared" si="99"/>
        <v>25</v>
      </c>
      <c r="CA220" s="207">
        <f t="shared" si="100"/>
        <v>0</v>
      </c>
      <c r="CB220" s="207">
        <f t="shared" si="101"/>
        <v>0</v>
      </c>
      <c r="CC220" s="207">
        <f t="shared" si="102"/>
        <v>0</v>
      </c>
      <c r="CD220" s="207">
        <f t="shared" si="103"/>
        <v>0</v>
      </c>
      <c r="CE220" s="207">
        <f t="shared" si="104"/>
        <v>25</v>
      </c>
    </row>
    <row r="221" spans="1:83" ht="12" customHeight="1" x14ac:dyDescent="0.2">
      <c r="A221" s="6">
        <v>2</v>
      </c>
      <c r="B221" s="49" t="str">
        <f t="shared" si="114"/>
        <v>Sotelo Marcos Victor HugoPROPUESTA</v>
      </c>
      <c r="C221" s="117" t="str">
        <f t="shared" si="105"/>
        <v>Sotelo Marcos Victor Hugo</v>
      </c>
      <c r="D221" s="49" t="str">
        <f>VLOOKUP(C221,Datos!$B$13:$C$83,2,0)</f>
        <v>VIGENTE</v>
      </c>
      <c r="E221" s="49" t="s">
        <v>46</v>
      </c>
      <c r="F221" s="49"/>
      <c r="G221" s="49" t="str">
        <f>IFERROR(VLOOKUP(H221,Datos!$J$2:$L$60,3,0),"OBSERVACIONES")</f>
        <v>OBSERVACIONES</v>
      </c>
      <c r="H221" s="49" t="s">
        <v>46</v>
      </c>
      <c r="I221" s="49" t="s">
        <v>132</v>
      </c>
      <c r="J221" s="119" t="s">
        <v>431</v>
      </c>
      <c r="K221" s="16">
        <v>0</v>
      </c>
      <c r="L221" s="16">
        <v>0</v>
      </c>
      <c r="M221" s="16">
        <v>0</v>
      </c>
      <c r="N221" s="16">
        <v>0</v>
      </c>
      <c r="O221" s="16">
        <v>0</v>
      </c>
      <c r="P221" s="16">
        <v>0</v>
      </c>
      <c r="Q221" s="16">
        <v>0</v>
      </c>
      <c r="R221" s="16">
        <v>0</v>
      </c>
      <c r="S221" s="16">
        <v>0</v>
      </c>
      <c r="T221" s="16">
        <v>0</v>
      </c>
      <c r="U221" s="16">
        <v>0</v>
      </c>
      <c r="V221" s="16">
        <v>0</v>
      </c>
      <c r="W221" s="16">
        <v>0</v>
      </c>
      <c r="X221" s="16">
        <v>0</v>
      </c>
      <c r="Y221" s="16">
        <v>0</v>
      </c>
      <c r="Z221" s="16">
        <v>0</v>
      </c>
      <c r="AA221" s="16">
        <v>0</v>
      </c>
      <c r="AB221" s="16">
        <v>0</v>
      </c>
      <c r="AC221" s="16">
        <v>0</v>
      </c>
      <c r="AD221" s="16">
        <v>0</v>
      </c>
      <c r="AE221" s="16">
        <v>0</v>
      </c>
      <c r="AF221" s="16">
        <v>0</v>
      </c>
      <c r="AG221" s="16">
        <v>0</v>
      </c>
      <c r="AH221" s="16">
        <v>0</v>
      </c>
      <c r="AI221" s="16">
        <v>0</v>
      </c>
      <c r="AJ221" s="16">
        <v>0</v>
      </c>
      <c r="AK221" s="16">
        <v>0</v>
      </c>
      <c r="AL221" s="16">
        <v>0</v>
      </c>
      <c r="AM221" s="16">
        <v>0</v>
      </c>
      <c r="AN221" s="16">
        <v>0</v>
      </c>
      <c r="AO221" s="16">
        <v>0</v>
      </c>
      <c r="AP221" s="16">
        <v>0</v>
      </c>
      <c r="AQ221" s="16">
        <v>0</v>
      </c>
      <c r="AR221" s="16">
        <v>0</v>
      </c>
      <c r="AS221" s="16">
        <v>0</v>
      </c>
      <c r="AT221" s="16">
        <v>7</v>
      </c>
      <c r="AU221" s="16">
        <v>9</v>
      </c>
      <c r="AV221" s="16">
        <v>4</v>
      </c>
      <c r="AW221" s="16">
        <v>20</v>
      </c>
      <c r="AX221" s="16">
        <v>12</v>
      </c>
      <c r="AY221" s="16">
        <v>2</v>
      </c>
      <c r="AZ221" s="16">
        <v>17</v>
      </c>
      <c r="BA221" s="16">
        <v>25</v>
      </c>
      <c r="BB221" s="16">
        <v>23</v>
      </c>
      <c r="BC221" s="16">
        <v>18</v>
      </c>
      <c r="BD221" s="16">
        <v>14</v>
      </c>
      <c r="BE221" s="16">
        <v>0</v>
      </c>
      <c r="BF221" s="16">
        <v>0</v>
      </c>
      <c r="BG221" s="16">
        <v>0</v>
      </c>
      <c r="BH221" s="16">
        <v>0</v>
      </c>
      <c r="BI221" s="16">
        <v>0</v>
      </c>
      <c r="BJ221" s="16">
        <v>0</v>
      </c>
      <c r="BK221" s="16">
        <v>0</v>
      </c>
      <c r="BL221" s="16">
        <v>0</v>
      </c>
      <c r="BM221" s="16">
        <v>0</v>
      </c>
      <c r="BN221" s="16">
        <v>0</v>
      </c>
      <c r="BO221" s="16">
        <v>0</v>
      </c>
      <c r="BP221" s="16">
        <v>0</v>
      </c>
      <c r="BQ221" s="16">
        <v>0</v>
      </c>
      <c r="BR221" s="16">
        <v>0</v>
      </c>
      <c r="BS221" s="207">
        <f t="shared" si="93"/>
        <v>0</v>
      </c>
      <c r="BT221" s="207">
        <f t="shared" si="94"/>
        <v>0</v>
      </c>
      <c r="BU221" s="207">
        <f t="shared" si="95"/>
        <v>0</v>
      </c>
      <c r="BV221" s="207">
        <f t="shared" si="106"/>
        <v>0</v>
      </c>
      <c r="BW221" s="207">
        <f t="shared" si="96"/>
        <v>0</v>
      </c>
      <c r="BX221" s="207">
        <f t="shared" si="97"/>
        <v>0</v>
      </c>
      <c r="BY221" s="207">
        <f t="shared" si="98"/>
        <v>0</v>
      </c>
      <c r="BZ221" s="207">
        <f t="shared" si="99"/>
        <v>52</v>
      </c>
      <c r="CA221" s="207">
        <f t="shared" si="100"/>
        <v>85</v>
      </c>
      <c r="CB221" s="207">
        <f t="shared" si="101"/>
        <v>14</v>
      </c>
      <c r="CC221" s="207">
        <f t="shared" si="102"/>
        <v>0</v>
      </c>
      <c r="CD221" s="207">
        <f t="shared" si="103"/>
        <v>0</v>
      </c>
      <c r="CE221" s="207">
        <f t="shared" si="104"/>
        <v>151</v>
      </c>
    </row>
    <row r="222" spans="1:83" ht="12" customHeight="1" x14ac:dyDescent="0.2">
      <c r="A222" s="6">
        <v>3</v>
      </c>
      <c r="B222" s="49" t="str">
        <f>C222&amp;H222</f>
        <v>Castillo Cardenas Jose HildebrandoP0033</v>
      </c>
      <c r="C222" s="117" t="str">
        <f>J222</f>
        <v>Castillo Cardenas Jose Hildebrando</v>
      </c>
      <c r="D222" s="49" t="str">
        <f>VLOOKUP(C222,Datos!$B$13:$C$83,2,0)</f>
        <v>CESADO</v>
      </c>
      <c r="E222" s="49" t="s">
        <v>103</v>
      </c>
      <c r="F222" s="49" t="str">
        <f>IFERROR(VLOOKUP(H222,Datos!$J$2:$L$60,3,0),"OBSERVACIONES")</f>
        <v>PROCESO</v>
      </c>
      <c r="G222" s="49"/>
      <c r="H222" s="49" t="s">
        <v>562</v>
      </c>
      <c r="I222" s="49" t="s">
        <v>563</v>
      </c>
      <c r="J222" s="119" t="s">
        <v>944</v>
      </c>
      <c r="K222" s="16">
        <v>0</v>
      </c>
      <c r="L222" s="16">
        <v>0</v>
      </c>
      <c r="M222" s="16">
        <v>0</v>
      </c>
      <c r="N222" s="16">
        <v>0</v>
      </c>
      <c r="O222" s="16">
        <v>0</v>
      </c>
      <c r="P222" s="16">
        <v>0</v>
      </c>
      <c r="Q222" s="16">
        <v>0</v>
      </c>
      <c r="R222" s="16">
        <v>0</v>
      </c>
      <c r="S222" s="16">
        <v>0</v>
      </c>
      <c r="T222" s="16">
        <v>0</v>
      </c>
      <c r="U222" s="16">
        <v>0</v>
      </c>
      <c r="V222" s="16">
        <v>0</v>
      </c>
      <c r="W222" s="16">
        <v>0</v>
      </c>
      <c r="X222" s="16">
        <v>0</v>
      </c>
      <c r="Y222" s="16">
        <v>0</v>
      </c>
      <c r="Z222" s="16">
        <v>0</v>
      </c>
      <c r="AA222" s="16">
        <v>0</v>
      </c>
      <c r="AB222" s="16">
        <v>0</v>
      </c>
      <c r="AC222" s="16">
        <v>0</v>
      </c>
      <c r="AD222" s="16">
        <v>0</v>
      </c>
      <c r="AE222" s="16">
        <v>0</v>
      </c>
      <c r="AF222" s="16">
        <v>0</v>
      </c>
      <c r="AG222" s="16">
        <v>0</v>
      </c>
      <c r="AH222" s="16">
        <v>0</v>
      </c>
      <c r="AI222" s="16">
        <v>0</v>
      </c>
      <c r="AJ222" s="16">
        <v>0</v>
      </c>
      <c r="AK222" s="16">
        <v>0</v>
      </c>
      <c r="AL222" s="16">
        <v>0</v>
      </c>
      <c r="AM222" s="16">
        <v>0</v>
      </c>
      <c r="AN222" s="16">
        <v>0</v>
      </c>
      <c r="AO222" s="16">
        <v>0</v>
      </c>
      <c r="AP222" s="16">
        <v>0</v>
      </c>
      <c r="AQ222" s="16">
        <v>0</v>
      </c>
      <c r="AR222" s="16">
        <v>0</v>
      </c>
      <c r="AS222" s="16">
        <v>0</v>
      </c>
      <c r="AT222" s="16">
        <v>0</v>
      </c>
      <c r="AU222" s="16">
        <v>0</v>
      </c>
      <c r="AV222" s="16">
        <v>0</v>
      </c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4</v>
      </c>
      <c r="BC222" s="16">
        <v>0</v>
      </c>
      <c r="BD222" s="16">
        <v>0</v>
      </c>
      <c r="BE222" s="16">
        <v>0</v>
      </c>
      <c r="BF222" s="16">
        <v>0</v>
      </c>
      <c r="BG222" s="16">
        <v>0</v>
      </c>
      <c r="BH222" s="16">
        <v>0</v>
      </c>
      <c r="BI222" s="16">
        <v>0</v>
      </c>
      <c r="BJ222" s="16">
        <v>0</v>
      </c>
      <c r="BK222" s="16">
        <v>0</v>
      </c>
      <c r="BL222" s="16">
        <v>0</v>
      </c>
      <c r="BM222" s="16">
        <v>0</v>
      </c>
      <c r="BN222" s="16">
        <v>0</v>
      </c>
      <c r="BO222" s="16">
        <v>0</v>
      </c>
      <c r="BP222" s="16">
        <v>0</v>
      </c>
      <c r="BQ222" s="16">
        <v>0</v>
      </c>
      <c r="BR222" s="16">
        <v>0</v>
      </c>
      <c r="BS222" s="207">
        <f t="shared" si="93"/>
        <v>0</v>
      </c>
      <c r="BT222" s="207">
        <f t="shared" si="94"/>
        <v>0</v>
      </c>
      <c r="BU222" s="207">
        <f t="shared" si="95"/>
        <v>0</v>
      </c>
      <c r="BV222" s="207">
        <f t="shared" si="106"/>
        <v>0</v>
      </c>
      <c r="BW222" s="207">
        <f t="shared" si="96"/>
        <v>0</v>
      </c>
      <c r="BX222" s="207">
        <f t="shared" si="97"/>
        <v>0</v>
      </c>
      <c r="BY222" s="207">
        <f t="shared" si="98"/>
        <v>0</v>
      </c>
      <c r="BZ222" s="207">
        <f t="shared" si="99"/>
        <v>0</v>
      </c>
      <c r="CA222" s="207">
        <f t="shared" si="100"/>
        <v>4</v>
      </c>
      <c r="CB222" s="207">
        <f t="shared" si="101"/>
        <v>0</v>
      </c>
      <c r="CC222" s="207">
        <f t="shared" si="102"/>
        <v>0</v>
      </c>
      <c r="CD222" s="207">
        <f t="shared" si="103"/>
        <v>0</v>
      </c>
      <c r="CE222" s="207">
        <f t="shared" si="104"/>
        <v>4</v>
      </c>
    </row>
    <row r="223" spans="1:83" ht="12" customHeight="1" x14ac:dyDescent="0.2">
      <c r="A223" s="6">
        <v>7</v>
      </c>
      <c r="B223" s="49" t="str">
        <f>C223&amp;H223</f>
        <v>Castillo Cardenas Jose HildebrandoGESTION DE PROYECTOS</v>
      </c>
      <c r="C223" s="117" t="str">
        <f>J223</f>
        <v>Castillo Cardenas Jose Hildebrando</v>
      </c>
      <c r="D223" s="49" t="str">
        <f>VLOOKUP(C223,Datos!$B$13:$C$83,2,0)</f>
        <v>CESADO</v>
      </c>
      <c r="E223" s="49" t="s">
        <v>967</v>
      </c>
      <c r="F223" s="49"/>
      <c r="G223" s="49" t="str">
        <f>IFERROR(VLOOKUP(H223,Datos!$J$2:$L$60,3,0),"OBSERVACIONES")</f>
        <v>OBSERVACIONES</v>
      </c>
      <c r="H223" s="50" t="s">
        <v>967</v>
      </c>
      <c r="I223" s="49" t="s">
        <v>968</v>
      </c>
      <c r="J223" s="119" t="s">
        <v>944</v>
      </c>
      <c r="K223" s="16">
        <v>0</v>
      </c>
      <c r="L223" s="16">
        <v>0</v>
      </c>
      <c r="M223" s="16">
        <v>0</v>
      </c>
      <c r="N223" s="16">
        <v>0</v>
      </c>
      <c r="O223" s="16">
        <v>0</v>
      </c>
      <c r="P223" s="16">
        <v>0</v>
      </c>
      <c r="Q223" s="16">
        <v>0</v>
      </c>
      <c r="R223" s="16">
        <v>0</v>
      </c>
      <c r="S223" s="16">
        <v>0</v>
      </c>
      <c r="T223" s="16">
        <v>0</v>
      </c>
      <c r="U223" s="16">
        <v>0</v>
      </c>
      <c r="V223" s="16">
        <v>0</v>
      </c>
      <c r="W223" s="16">
        <v>0</v>
      </c>
      <c r="X223" s="16">
        <v>0</v>
      </c>
      <c r="Y223" s="16">
        <v>0</v>
      </c>
      <c r="Z223" s="16">
        <v>0</v>
      </c>
      <c r="AA223" s="16">
        <v>0</v>
      </c>
      <c r="AB223" s="16">
        <v>0</v>
      </c>
      <c r="AC223" s="16">
        <v>0</v>
      </c>
      <c r="AD223" s="16">
        <v>0</v>
      </c>
      <c r="AE223" s="16">
        <v>0</v>
      </c>
      <c r="AF223" s="16">
        <v>0</v>
      </c>
      <c r="AG223" s="16">
        <v>0</v>
      </c>
      <c r="AH223" s="16">
        <v>0</v>
      </c>
      <c r="AI223" s="16">
        <v>0</v>
      </c>
      <c r="AJ223" s="16">
        <v>0</v>
      </c>
      <c r="AK223" s="16">
        <v>0</v>
      </c>
      <c r="AL223" s="16">
        <v>0</v>
      </c>
      <c r="AM223" s="16">
        <v>0</v>
      </c>
      <c r="AN223" s="16">
        <v>0</v>
      </c>
      <c r="AO223" s="16">
        <v>0</v>
      </c>
      <c r="AP223" s="16">
        <v>0</v>
      </c>
      <c r="AQ223" s="16">
        <v>0</v>
      </c>
      <c r="AR223" s="16">
        <v>0</v>
      </c>
      <c r="AS223" s="16">
        <v>0</v>
      </c>
      <c r="AT223" s="16">
        <v>0</v>
      </c>
      <c r="AU223" s="16">
        <v>0</v>
      </c>
      <c r="AV223" s="16">
        <v>0</v>
      </c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21</v>
      </c>
      <c r="BC223" s="16">
        <v>6</v>
      </c>
      <c r="BD223" s="16">
        <v>0</v>
      </c>
      <c r="BE223" s="16">
        <v>0</v>
      </c>
      <c r="BF223" s="16">
        <v>0</v>
      </c>
      <c r="BG223" s="16">
        <v>0</v>
      </c>
      <c r="BH223" s="16">
        <v>0</v>
      </c>
      <c r="BI223" s="16">
        <v>0</v>
      </c>
      <c r="BJ223" s="16">
        <v>0</v>
      </c>
      <c r="BK223" s="16">
        <v>0</v>
      </c>
      <c r="BL223" s="16">
        <v>0</v>
      </c>
      <c r="BM223" s="16">
        <v>0</v>
      </c>
      <c r="BN223" s="16">
        <v>0</v>
      </c>
      <c r="BO223" s="16">
        <v>0</v>
      </c>
      <c r="BP223" s="16">
        <v>0</v>
      </c>
      <c r="BQ223" s="16">
        <v>0</v>
      </c>
      <c r="BR223" s="16">
        <v>0</v>
      </c>
      <c r="BS223" s="207">
        <f t="shared" si="93"/>
        <v>0</v>
      </c>
      <c r="BT223" s="207">
        <f t="shared" si="94"/>
        <v>0</v>
      </c>
      <c r="BU223" s="207">
        <f t="shared" si="95"/>
        <v>0</v>
      </c>
      <c r="BV223" s="207">
        <f t="shared" si="106"/>
        <v>0</v>
      </c>
      <c r="BW223" s="207">
        <f t="shared" si="96"/>
        <v>0</v>
      </c>
      <c r="BX223" s="207">
        <f t="shared" si="97"/>
        <v>0</v>
      </c>
      <c r="BY223" s="207">
        <f t="shared" si="98"/>
        <v>0</v>
      </c>
      <c r="BZ223" s="207">
        <f t="shared" si="99"/>
        <v>0</v>
      </c>
      <c r="CA223" s="207">
        <f t="shared" si="100"/>
        <v>27</v>
      </c>
      <c r="CB223" s="207">
        <f t="shared" si="101"/>
        <v>0</v>
      </c>
      <c r="CC223" s="207">
        <f t="shared" si="102"/>
        <v>0</v>
      </c>
      <c r="CD223" s="207">
        <f t="shared" si="103"/>
        <v>0</v>
      </c>
      <c r="CE223" s="207">
        <f t="shared" si="104"/>
        <v>27</v>
      </c>
    </row>
    <row r="224" spans="1:83" ht="12" customHeight="1" x14ac:dyDescent="0.2">
      <c r="A224" s="6">
        <v>3</v>
      </c>
      <c r="B224" s="49" t="str">
        <f>C224&amp;H224</f>
        <v>Castillo Cardenas Jose HildebrandoMP004</v>
      </c>
      <c r="C224" s="117" t="str">
        <f>J224</f>
        <v>Castillo Cardenas Jose Hildebrando</v>
      </c>
      <c r="D224" s="49" t="str">
        <f>VLOOKUP(C224,Datos!$B$13:$C$83,2,0)</f>
        <v>CESADO</v>
      </c>
      <c r="E224" s="49" t="s">
        <v>44</v>
      </c>
      <c r="F224" s="49" t="str">
        <f>IFERROR(VLOOKUP(H224,Datos!$J$2:$L$60,3,0),"OBSERVACIONES")</f>
        <v>PROCESO</v>
      </c>
      <c r="G224" s="49"/>
      <c r="H224" s="50" t="s">
        <v>42</v>
      </c>
      <c r="I224" s="49" t="s">
        <v>304</v>
      </c>
      <c r="J224" s="119" t="s">
        <v>944</v>
      </c>
      <c r="K224" s="16">
        <v>0</v>
      </c>
      <c r="L224" s="16">
        <v>0</v>
      </c>
      <c r="M224" s="16">
        <v>0</v>
      </c>
      <c r="N224" s="16">
        <v>0</v>
      </c>
      <c r="O224" s="16">
        <v>0</v>
      </c>
      <c r="P224" s="16">
        <v>0</v>
      </c>
      <c r="Q224" s="16">
        <v>0</v>
      </c>
      <c r="R224" s="16">
        <v>0</v>
      </c>
      <c r="S224" s="16">
        <v>0</v>
      </c>
      <c r="T224" s="16">
        <v>0</v>
      </c>
      <c r="U224" s="16">
        <v>0</v>
      </c>
      <c r="V224" s="16">
        <v>0</v>
      </c>
      <c r="W224" s="16">
        <v>0</v>
      </c>
      <c r="X224" s="16">
        <v>0</v>
      </c>
      <c r="Y224" s="16">
        <v>0</v>
      </c>
      <c r="Z224" s="16">
        <v>0</v>
      </c>
      <c r="AA224" s="16">
        <v>0</v>
      </c>
      <c r="AB224" s="16">
        <v>0</v>
      </c>
      <c r="AC224" s="16">
        <v>0</v>
      </c>
      <c r="AD224" s="16">
        <v>0</v>
      </c>
      <c r="AE224" s="16">
        <v>0</v>
      </c>
      <c r="AF224" s="16">
        <v>0</v>
      </c>
      <c r="AG224" s="16">
        <v>0</v>
      </c>
      <c r="AH224" s="16">
        <v>0</v>
      </c>
      <c r="AI224" s="16">
        <v>0</v>
      </c>
      <c r="AJ224" s="16">
        <v>0</v>
      </c>
      <c r="AK224" s="16">
        <v>0</v>
      </c>
      <c r="AL224" s="16">
        <v>0</v>
      </c>
      <c r="AM224" s="16">
        <v>0</v>
      </c>
      <c r="AN224" s="16">
        <v>0</v>
      </c>
      <c r="AO224" s="16">
        <v>0</v>
      </c>
      <c r="AP224" s="16">
        <v>0</v>
      </c>
      <c r="AQ224" s="16">
        <v>0</v>
      </c>
      <c r="AR224" s="16">
        <v>0</v>
      </c>
      <c r="AS224" s="16">
        <v>0</v>
      </c>
      <c r="AT224" s="16">
        <v>0</v>
      </c>
      <c r="AU224" s="16">
        <v>0</v>
      </c>
      <c r="AV224" s="16">
        <v>0</v>
      </c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22</v>
      </c>
      <c r="BD224" s="16">
        <v>0</v>
      </c>
      <c r="BE224" s="16">
        <v>0</v>
      </c>
      <c r="BF224" s="16">
        <v>0</v>
      </c>
      <c r="BG224" s="16">
        <v>0</v>
      </c>
      <c r="BH224" s="16">
        <v>0</v>
      </c>
      <c r="BI224" s="16">
        <v>0</v>
      </c>
      <c r="BJ224" s="16">
        <v>0</v>
      </c>
      <c r="BK224" s="16">
        <v>0</v>
      </c>
      <c r="BL224" s="16">
        <v>0</v>
      </c>
      <c r="BM224" s="16">
        <v>0</v>
      </c>
      <c r="BN224" s="16">
        <v>0</v>
      </c>
      <c r="BO224" s="16">
        <v>0</v>
      </c>
      <c r="BP224" s="16">
        <v>0</v>
      </c>
      <c r="BQ224" s="16">
        <v>0</v>
      </c>
      <c r="BR224" s="16">
        <v>0</v>
      </c>
      <c r="BS224" s="207">
        <f t="shared" si="93"/>
        <v>0</v>
      </c>
      <c r="BT224" s="207">
        <f t="shared" si="94"/>
        <v>0</v>
      </c>
      <c r="BU224" s="207">
        <f t="shared" si="95"/>
        <v>0</v>
      </c>
      <c r="BV224" s="207">
        <f t="shared" si="106"/>
        <v>0</v>
      </c>
      <c r="BW224" s="207">
        <f t="shared" si="96"/>
        <v>0</v>
      </c>
      <c r="BX224" s="207">
        <f t="shared" si="97"/>
        <v>0</v>
      </c>
      <c r="BY224" s="207">
        <f t="shared" si="98"/>
        <v>0</v>
      </c>
      <c r="BZ224" s="207">
        <f t="shared" si="99"/>
        <v>0</v>
      </c>
      <c r="CA224" s="207">
        <f t="shared" si="100"/>
        <v>22</v>
      </c>
      <c r="CB224" s="207">
        <f t="shared" si="101"/>
        <v>0</v>
      </c>
      <c r="CC224" s="207">
        <f t="shared" si="102"/>
        <v>0</v>
      </c>
      <c r="CD224" s="207">
        <f t="shared" si="103"/>
        <v>0</v>
      </c>
      <c r="CE224" s="207">
        <f t="shared" si="104"/>
        <v>22</v>
      </c>
    </row>
    <row r="225" spans="1:83" ht="12" customHeight="1" x14ac:dyDescent="0.2">
      <c r="A225" s="6">
        <v>3</v>
      </c>
      <c r="B225" s="49" t="str">
        <f>C225&amp;H225</f>
        <v>Castillo Cardenas Jose HildebrandoP0026</v>
      </c>
      <c r="C225" s="117" t="str">
        <f>J225</f>
        <v>Castillo Cardenas Jose Hildebrando</v>
      </c>
      <c r="D225" s="49" t="str">
        <f>VLOOKUP(C225,Datos!$B$13:$C$83,2,0)</f>
        <v>CESADO</v>
      </c>
      <c r="E225" s="49" t="s">
        <v>103</v>
      </c>
      <c r="F225" s="49" t="str">
        <f>IFERROR(VLOOKUP(H225,Datos!$J$2:$L$60,3,0),"OBSERVACIONES")</f>
        <v>CERRADO</v>
      </c>
      <c r="G225" s="49"/>
      <c r="H225" s="49" t="s">
        <v>305</v>
      </c>
      <c r="I225" s="49" t="s">
        <v>436</v>
      </c>
      <c r="J225" s="119" t="s">
        <v>944</v>
      </c>
      <c r="K225" s="16">
        <v>0</v>
      </c>
      <c r="L225" s="16">
        <v>0</v>
      </c>
      <c r="M225" s="16">
        <v>0</v>
      </c>
      <c r="N225" s="16">
        <v>0</v>
      </c>
      <c r="O225" s="16">
        <v>0</v>
      </c>
      <c r="P225" s="16">
        <v>0</v>
      </c>
      <c r="Q225" s="16">
        <v>0</v>
      </c>
      <c r="R225" s="16">
        <v>0</v>
      </c>
      <c r="S225" s="16">
        <v>0</v>
      </c>
      <c r="T225" s="16">
        <v>0</v>
      </c>
      <c r="U225" s="16">
        <v>0</v>
      </c>
      <c r="V225" s="16">
        <v>0</v>
      </c>
      <c r="W225" s="16">
        <v>0</v>
      </c>
      <c r="X225" s="16">
        <v>0</v>
      </c>
      <c r="Y225" s="16">
        <v>0</v>
      </c>
      <c r="Z225" s="16">
        <v>0</v>
      </c>
      <c r="AA225" s="16">
        <v>0</v>
      </c>
      <c r="AB225" s="16">
        <v>0</v>
      </c>
      <c r="AC225" s="16">
        <v>0</v>
      </c>
      <c r="AD225" s="16">
        <v>0</v>
      </c>
      <c r="AE225" s="16">
        <v>0</v>
      </c>
      <c r="AF225" s="16">
        <v>0</v>
      </c>
      <c r="AG225" s="16">
        <v>0</v>
      </c>
      <c r="AH225" s="16">
        <v>0</v>
      </c>
      <c r="AI225" s="16">
        <v>0</v>
      </c>
      <c r="AJ225" s="16">
        <v>0</v>
      </c>
      <c r="AK225" s="16">
        <v>0</v>
      </c>
      <c r="AL225" s="16">
        <v>0</v>
      </c>
      <c r="AM225" s="16">
        <v>0</v>
      </c>
      <c r="AN225" s="16">
        <v>0</v>
      </c>
      <c r="AO225" s="16">
        <v>0</v>
      </c>
      <c r="AP225" s="16">
        <v>0</v>
      </c>
      <c r="AQ225" s="16">
        <v>0</v>
      </c>
      <c r="AR225" s="16">
        <v>0</v>
      </c>
      <c r="AS225" s="16">
        <v>0</v>
      </c>
      <c r="AT225" s="16">
        <v>0</v>
      </c>
      <c r="AU225" s="16">
        <v>0</v>
      </c>
      <c r="AV225" s="16">
        <v>0</v>
      </c>
      <c r="AW225" s="16">
        <v>0</v>
      </c>
      <c r="AX225" s="16">
        <v>0</v>
      </c>
      <c r="AY225" s="16">
        <v>0</v>
      </c>
      <c r="AZ225" s="16">
        <v>4</v>
      </c>
      <c r="BA225" s="16">
        <v>40</v>
      </c>
      <c r="BB225" s="16">
        <v>9</v>
      </c>
      <c r="BC225" s="16">
        <v>6</v>
      </c>
      <c r="BD225" s="16">
        <v>0</v>
      </c>
      <c r="BE225" s="16">
        <v>0</v>
      </c>
      <c r="BF225" s="16">
        <v>0</v>
      </c>
      <c r="BG225" s="16">
        <v>0</v>
      </c>
      <c r="BH225" s="16">
        <v>0</v>
      </c>
      <c r="BI225" s="16">
        <v>0</v>
      </c>
      <c r="BJ225" s="16">
        <v>0</v>
      </c>
      <c r="BK225" s="16">
        <v>0</v>
      </c>
      <c r="BL225" s="16">
        <v>0</v>
      </c>
      <c r="BM225" s="16">
        <v>0</v>
      </c>
      <c r="BN225" s="16">
        <v>0</v>
      </c>
      <c r="BO225" s="16">
        <v>0</v>
      </c>
      <c r="BP225" s="16">
        <v>0</v>
      </c>
      <c r="BQ225" s="16">
        <v>0</v>
      </c>
      <c r="BR225" s="16">
        <v>0</v>
      </c>
      <c r="BS225" s="207">
        <f t="shared" si="93"/>
        <v>0</v>
      </c>
      <c r="BT225" s="207">
        <f t="shared" si="94"/>
        <v>0</v>
      </c>
      <c r="BU225" s="207">
        <f t="shared" si="95"/>
        <v>0</v>
      </c>
      <c r="BV225" s="207">
        <f t="shared" si="106"/>
        <v>0</v>
      </c>
      <c r="BW225" s="207">
        <f t="shared" si="96"/>
        <v>0</v>
      </c>
      <c r="BX225" s="207">
        <f t="shared" si="97"/>
        <v>0</v>
      </c>
      <c r="BY225" s="207">
        <f t="shared" si="98"/>
        <v>0</v>
      </c>
      <c r="BZ225" s="207">
        <f t="shared" si="99"/>
        <v>0</v>
      </c>
      <c r="CA225" s="207">
        <f t="shared" si="100"/>
        <v>59</v>
      </c>
      <c r="CB225" s="207">
        <f t="shared" si="101"/>
        <v>0</v>
      </c>
      <c r="CC225" s="207">
        <f t="shared" si="102"/>
        <v>0</v>
      </c>
      <c r="CD225" s="207">
        <f t="shared" si="103"/>
        <v>0</v>
      </c>
      <c r="CE225" s="207">
        <f t="shared" si="104"/>
        <v>59</v>
      </c>
    </row>
    <row r="226" spans="1:83" ht="12" customHeight="1" x14ac:dyDescent="0.2">
      <c r="A226" s="6">
        <v>3</v>
      </c>
      <c r="B226" s="49" t="str">
        <f t="shared" si="114"/>
        <v>Sotelo Marcos Victor HugoP0026</v>
      </c>
      <c r="C226" s="117" t="str">
        <f t="shared" si="105"/>
        <v>Sotelo Marcos Victor Hugo</v>
      </c>
      <c r="D226" s="49" t="str">
        <f>VLOOKUP(C226,Datos!$B$13:$C$83,2,0)</f>
        <v>VIGENTE</v>
      </c>
      <c r="E226" s="49" t="s">
        <v>103</v>
      </c>
      <c r="F226" s="49" t="str">
        <f>IFERROR(VLOOKUP(H226,Datos!$J$2:$L$60,3,0),"OBSERVACIONES")</f>
        <v>CERRADO</v>
      </c>
      <c r="G226" s="49"/>
      <c r="H226" s="49" t="s">
        <v>305</v>
      </c>
      <c r="I226" s="49" t="s">
        <v>436</v>
      </c>
      <c r="J226" s="119" t="s">
        <v>431</v>
      </c>
      <c r="K226" s="16">
        <v>0</v>
      </c>
      <c r="L226" s="16">
        <v>0</v>
      </c>
      <c r="M226" s="16">
        <v>0</v>
      </c>
      <c r="N226" s="16">
        <v>0</v>
      </c>
      <c r="O226" s="16">
        <v>0</v>
      </c>
      <c r="P226" s="16">
        <v>0</v>
      </c>
      <c r="Q226" s="16">
        <v>0</v>
      </c>
      <c r="R226" s="16">
        <v>0</v>
      </c>
      <c r="S226" s="16">
        <v>0</v>
      </c>
      <c r="T226" s="16">
        <v>0</v>
      </c>
      <c r="U226" s="16">
        <v>0</v>
      </c>
      <c r="V226" s="16">
        <v>0</v>
      </c>
      <c r="W226" s="16">
        <v>0</v>
      </c>
      <c r="X226" s="16">
        <v>0</v>
      </c>
      <c r="Y226" s="16">
        <v>0</v>
      </c>
      <c r="Z226" s="16">
        <v>0</v>
      </c>
      <c r="AA226" s="16">
        <v>0</v>
      </c>
      <c r="AB226" s="16">
        <v>0</v>
      </c>
      <c r="AC226" s="16">
        <v>0</v>
      </c>
      <c r="AD226" s="16">
        <v>0</v>
      </c>
      <c r="AE226" s="16">
        <v>0</v>
      </c>
      <c r="AF226" s="16">
        <v>0</v>
      </c>
      <c r="AG226" s="16">
        <v>0</v>
      </c>
      <c r="AH226" s="16">
        <v>0</v>
      </c>
      <c r="AI226" s="16">
        <v>0</v>
      </c>
      <c r="AJ226" s="16">
        <v>0</v>
      </c>
      <c r="AK226" s="16">
        <v>0</v>
      </c>
      <c r="AL226" s="16">
        <v>0</v>
      </c>
      <c r="AM226" s="16">
        <v>0</v>
      </c>
      <c r="AN226" s="16">
        <v>0</v>
      </c>
      <c r="AO226" s="16">
        <v>0</v>
      </c>
      <c r="AP226" s="16">
        <v>0</v>
      </c>
      <c r="AQ226" s="16">
        <v>0</v>
      </c>
      <c r="AR226" s="16">
        <v>0</v>
      </c>
      <c r="AS226" s="16">
        <v>0</v>
      </c>
      <c r="AT226" s="16">
        <v>0</v>
      </c>
      <c r="AU226" s="16">
        <v>1</v>
      </c>
      <c r="AV226" s="16">
        <v>1</v>
      </c>
      <c r="AW226" s="16">
        <v>0</v>
      </c>
      <c r="AX226" s="16">
        <v>2</v>
      </c>
      <c r="AY226" s="16">
        <v>2</v>
      </c>
      <c r="AZ226" s="16">
        <v>5</v>
      </c>
      <c r="BA226" s="16">
        <v>1</v>
      </c>
      <c r="BB226" s="16">
        <v>0</v>
      </c>
      <c r="BC226" s="16">
        <v>0</v>
      </c>
      <c r="BD226" s="16">
        <v>0</v>
      </c>
      <c r="BE226" s="16">
        <v>0</v>
      </c>
      <c r="BF226" s="16">
        <v>0</v>
      </c>
      <c r="BG226" s="16">
        <v>0</v>
      </c>
      <c r="BH226" s="16">
        <v>0</v>
      </c>
      <c r="BI226" s="16">
        <v>0</v>
      </c>
      <c r="BJ226" s="16">
        <v>0</v>
      </c>
      <c r="BK226" s="16">
        <v>0</v>
      </c>
      <c r="BL226" s="16">
        <v>0</v>
      </c>
      <c r="BM226" s="16">
        <v>0</v>
      </c>
      <c r="BN226" s="16">
        <v>0</v>
      </c>
      <c r="BO226" s="16">
        <v>0</v>
      </c>
      <c r="BP226" s="16">
        <v>0</v>
      </c>
      <c r="BQ226" s="16">
        <v>0</v>
      </c>
      <c r="BR226" s="16">
        <v>0</v>
      </c>
      <c r="BS226" s="207">
        <f t="shared" si="93"/>
        <v>0</v>
      </c>
      <c r="BT226" s="207">
        <f t="shared" si="94"/>
        <v>0</v>
      </c>
      <c r="BU226" s="207">
        <f t="shared" si="95"/>
        <v>0</v>
      </c>
      <c r="BV226" s="207">
        <f t="shared" si="106"/>
        <v>0</v>
      </c>
      <c r="BW226" s="207">
        <f t="shared" si="96"/>
        <v>0</v>
      </c>
      <c r="BX226" s="207">
        <f t="shared" si="97"/>
        <v>0</v>
      </c>
      <c r="BY226" s="207">
        <f t="shared" si="98"/>
        <v>0</v>
      </c>
      <c r="BZ226" s="207">
        <f t="shared" si="99"/>
        <v>4</v>
      </c>
      <c r="CA226" s="207">
        <f t="shared" si="100"/>
        <v>8</v>
      </c>
      <c r="CB226" s="207">
        <f t="shared" si="101"/>
        <v>0</v>
      </c>
      <c r="CC226" s="207">
        <f t="shared" si="102"/>
        <v>0</v>
      </c>
      <c r="CD226" s="207">
        <f t="shared" si="103"/>
        <v>0</v>
      </c>
      <c r="CE226" s="207">
        <f t="shared" si="104"/>
        <v>12</v>
      </c>
    </row>
    <row r="227" spans="1:83" ht="12" customHeight="1" x14ac:dyDescent="0.2">
      <c r="A227" s="6">
        <v>3</v>
      </c>
      <c r="B227" s="49" t="str">
        <f t="shared" si="114"/>
        <v>Gomez Cantuarias Yoana JaquelineP0027</v>
      </c>
      <c r="C227" s="117" t="str">
        <f t="shared" si="105"/>
        <v>Gomez Cantuarias Yoana Jaqueline</v>
      </c>
      <c r="D227" s="49" t="str">
        <f>VLOOKUP(C227,Datos!$B$13:$C$83,2,0)</f>
        <v>CESADO</v>
      </c>
      <c r="E227" s="49" t="s">
        <v>103</v>
      </c>
      <c r="F227" s="49" t="str">
        <f>IFERROR(VLOOKUP(H227,Datos!$J$2:$L$60,3,0),"OBSERVACIONES")</f>
        <v>PROCESO</v>
      </c>
      <c r="G227" s="49"/>
      <c r="H227" s="49" t="s">
        <v>361</v>
      </c>
      <c r="I227" s="49" t="s">
        <v>362</v>
      </c>
      <c r="J227" s="119" t="s">
        <v>864</v>
      </c>
      <c r="K227" s="16">
        <v>0</v>
      </c>
      <c r="L227" s="16">
        <v>0</v>
      </c>
      <c r="M227" s="16">
        <v>0</v>
      </c>
      <c r="N227" s="16">
        <v>0</v>
      </c>
      <c r="O227" s="16">
        <v>0</v>
      </c>
      <c r="P227" s="16">
        <v>0</v>
      </c>
      <c r="Q227" s="16">
        <v>0</v>
      </c>
      <c r="R227" s="16">
        <v>0</v>
      </c>
      <c r="S227" s="16">
        <v>0</v>
      </c>
      <c r="T227" s="16">
        <v>0</v>
      </c>
      <c r="U227" s="16">
        <v>0</v>
      </c>
      <c r="V227" s="16">
        <v>0</v>
      </c>
      <c r="W227" s="16">
        <v>0</v>
      </c>
      <c r="X227" s="16">
        <v>0</v>
      </c>
      <c r="Y227" s="16">
        <v>0</v>
      </c>
      <c r="Z227" s="16">
        <v>0</v>
      </c>
      <c r="AA227" s="16">
        <v>0</v>
      </c>
      <c r="AB227" s="16">
        <v>0</v>
      </c>
      <c r="AC227" s="16">
        <v>0</v>
      </c>
      <c r="AD227" s="16">
        <v>0</v>
      </c>
      <c r="AE227" s="16">
        <v>0</v>
      </c>
      <c r="AF227" s="16">
        <v>0</v>
      </c>
      <c r="AG227" s="16">
        <v>0</v>
      </c>
      <c r="AH227" s="16">
        <v>0</v>
      </c>
      <c r="AI227" s="16">
        <v>0</v>
      </c>
      <c r="AJ227" s="16">
        <v>0</v>
      </c>
      <c r="AK227" s="16">
        <v>0</v>
      </c>
      <c r="AL227" s="16">
        <v>0</v>
      </c>
      <c r="AM227" s="16">
        <v>0</v>
      </c>
      <c r="AN227" s="16">
        <v>0</v>
      </c>
      <c r="AO227" s="16">
        <v>0</v>
      </c>
      <c r="AP227" s="16">
        <v>0</v>
      </c>
      <c r="AQ227" s="16">
        <v>0</v>
      </c>
      <c r="AR227" s="16">
        <v>0</v>
      </c>
      <c r="AS227" s="16">
        <v>0</v>
      </c>
      <c r="AT227" s="16">
        <v>0</v>
      </c>
      <c r="AU227" s="16">
        <v>0</v>
      </c>
      <c r="AV227" s="16">
        <v>8</v>
      </c>
      <c r="AW227" s="16">
        <v>40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0</v>
      </c>
      <c r="BD227" s="16">
        <v>0</v>
      </c>
      <c r="BE227" s="16">
        <v>0</v>
      </c>
      <c r="BF227" s="16">
        <v>0</v>
      </c>
      <c r="BG227" s="16">
        <v>0</v>
      </c>
      <c r="BH227" s="16">
        <v>0</v>
      </c>
      <c r="BI227" s="16">
        <v>0</v>
      </c>
      <c r="BJ227" s="16">
        <v>0</v>
      </c>
      <c r="BK227" s="16">
        <v>0</v>
      </c>
      <c r="BL227" s="16">
        <v>0</v>
      </c>
      <c r="BM227" s="16">
        <v>0</v>
      </c>
      <c r="BN227" s="16">
        <v>0</v>
      </c>
      <c r="BO227" s="16">
        <v>0</v>
      </c>
      <c r="BP227" s="16">
        <v>0</v>
      </c>
      <c r="BQ227" s="16">
        <v>0</v>
      </c>
      <c r="BR227" s="16">
        <v>0</v>
      </c>
      <c r="BS227" s="207">
        <f t="shared" si="93"/>
        <v>0</v>
      </c>
      <c r="BT227" s="207">
        <f t="shared" si="94"/>
        <v>0</v>
      </c>
      <c r="BU227" s="207">
        <f t="shared" si="95"/>
        <v>0</v>
      </c>
      <c r="BV227" s="207">
        <f t="shared" si="106"/>
        <v>0</v>
      </c>
      <c r="BW227" s="207">
        <f t="shared" si="96"/>
        <v>0</v>
      </c>
      <c r="BX227" s="207">
        <f t="shared" si="97"/>
        <v>0</v>
      </c>
      <c r="BY227" s="207">
        <f t="shared" si="98"/>
        <v>0</v>
      </c>
      <c r="BZ227" s="207">
        <f t="shared" si="99"/>
        <v>48</v>
      </c>
      <c r="CA227" s="207">
        <f t="shared" si="100"/>
        <v>0</v>
      </c>
      <c r="CB227" s="207">
        <f t="shared" si="101"/>
        <v>0</v>
      </c>
      <c r="CC227" s="207">
        <f t="shared" si="102"/>
        <v>0</v>
      </c>
      <c r="CD227" s="207">
        <f t="shared" si="103"/>
        <v>0</v>
      </c>
      <c r="CE227" s="207">
        <f t="shared" si="104"/>
        <v>48</v>
      </c>
    </row>
    <row r="228" spans="1:83" ht="12" customHeight="1" x14ac:dyDescent="0.2">
      <c r="A228" s="6">
        <v>6</v>
      </c>
      <c r="B228" s="49" t="str">
        <f t="shared" si="114"/>
        <v>Gomez Cantuarias Yoana JaquelineINASISTENCIAS JUSTIFICADAS</v>
      </c>
      <c r="C228" s="117" t="str">
        <f t="shared" si="105"/>
        <v>Gomez Cantuarias Yoana Jaqueline</v>
      </c>
      <c r="D228" s="49" t="str">
        <f>VLOOKUP(C228,Datos!$B$13:$C$83,2,0)</f>
        <v>CESADO</v>
      </c>
      <c r="E228" s="49" t="s">
        <v>855</v>
      </c>
      <c r="F228" s="49"/>
      <c r="G228" s="49" t="str">
        <f>IFERROR(VLOOKUP(H228,Datos!$J$2:$L$60,3,0),"OBSERVACIONES")</f>
        <v>OBSERVACIONES</v>
      </c>
      <c r="H228" s="49" t="s">
        <v>855</v>
      </c>
      <c r="I228" s="49" t="s">
        <v>856</v>
      </c>
      <c r="J228" s="119" t="s">
        <v>864</v>
      </c>
      <c r="K228" s="16">
        <v>0</v>
      </c>
      <c r="L228" s="16">
        <v>0</v>
      </c>
      <c r="M228" s="16">
        <v>0</v>
      </c>
      <c r="N228" s="16">
        <v>0</v>
      </c>
      <c r="O228" s="16">
        <v>0</v>
      </c>
      <c r="P228" s="16">
        <v>0</v>
      </c>
      <c r="Q228" s="16">
        <v>0</v>
      </c>
      <c r="R228" s="16">
        <v>0</v>
      </c>
      <c r="S228" s="16">
        <v>0</v>
      </c>
      <c r="T228" s="16">
        <v>0</v>
      </c>
      <c r="U228" s="16">
        <v>0</v>
      </c>
      <c r="V228" s="16">
        <v>0</v>
      </c>
      <c r="W228" s="16">
        <v>0</v>
      </c>
      <c r="X228" s="16">
        <v>0</v>
      </c>
      <c r="Y228" s="16">
        <v>0</v>
      </c>
      <c r="Z228" s="16">
        <v>0</v>
      </c>
      <c r="AA228" s="16">
        <v>0</v>
      </c>
      <c r="AB228" s="16">
        <v>0</v>
      </c>
      <c r="AC228" s="16">
        <v>0</v>
      </c>
      <c r="AD228" s="16">
        <v>0</v>
      </c>
      <c r="AE228" s="16">
        <v>0</v>
      </c>
      <c r="AF228" s="16">
        <v>0</v>
      </c>
      <c r="AG228" s="16">
        <v>0</v>
      </c>
      <c r="AH228" s="16">
        <v>0</v>
      </c>
      <c r="AI228" s="16">
        <v>0</v>
      </c>
      <c r="AJ228" s="16">
        <v>0</v>
      </c>
      <c r="AK228" s="16">
        <v>0</v>
      </c>
      <c r="AL228" s="16">
        <v>0</v>
      </c>
      <c r="AM228" s="16">
        <v>0</v>
      </c>
      <c r="AN228" s="16">
        <v>0</v>
      </c>
      <c r="AO228" s="16">
        <v>0</v>
      </c>
      <c r="AP228" s="16">
        <v>0</v>
      </c>
      <c r="AQ228" s="16">
        <v>0</v>
      </c>
      <c r="AR228" s="16">
        <v>0</v>
      </c>
      <c r="AS228" s="16">
        <v>0</v>
      </c>
      <c r="AT228" s="16">
        <v>0</v>
      </c>
      <c r="AU228" s="16">
        <v>0</v>
      </c>
      <c r="AV228" s="16">
        <v>16</v>
      </c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0</v>
      </c>
      <c r="BD228" s="16">
        <v>0</v>
      </c>
      <c r="BE228" s="16">
        <v>0</v>
      </c>
      <c r="BF228" s="16">
        <v>0</v>
      </c>
      <c r="BG228" s="16">
        <v>0</v>
      </c>
      <c r="BH228" s="16">
        <v>0</v>
      </c>
      <c r="BI228" s="16">
        <v>0</v>
      </c>
      <c r="BJ228" s="16">
        <v>0</v>
      </c>
      <c r="BK228" s="16">
        <v>0</v>
      </c>
      <c r="BL228" s="16">
        <v>0</v>
      </c>
      <c r="BM228" s="16">
        <v>0</v>
      </c>
      <c r="BN228" s="16">
        <v>0</v>
      </c>
      <c r="BO228" s="16">
        <v>0</v>
      </c>
      <c r="BP228" s="16">
        <v>0</v>
      </c>
      <c r="BQ228" s="16">
        <v>0</v>
      </c>
      <c r="BR228" s="16">
        <v>0</v>
      </c>
      <c r="BS228" s="207">
        <f t="shared" si="93"/>
        <v>0</v>
      </c>
      <c r="BT228" s="207">
        <f t="shared" si="94"/>
        <v>0</v>
      </c>
      <c r="BU228" s="207">
        <f t="shared" si="95"/>
        <v>0</v>
      </c>
      <c r="BV228" s="207">
        <f t="shared" si="106"/>
        <v>0</v>
      </c>
      <c r="BW228" s="207">
        <f t="shared" si="96"/>
        <v>0</v>
      </c>
      <c r="BX228" s="207">
        <f t="shared" si="97"/>
        <v>0</v>
      </c>
      <c r="BY228" s="207">
        <f t="shared" si="98"/>
        <v>0</v>
      </c>
      <c r="BZ228" s="207">
        <f t="shared" si="99"/>
        <v>16</v>
      </c>
      <c r="CA228" s="207">
        <f t="shared" si="100"/>
        <v>0</v>
      </c>
      <c r="CB228" s="207">
        <f t="shared" si="101"/>
        <v>0</v>
      </c>
      <c r="CC228" s="207">
        <f t="shared" si="102"/>
        <v>0</v>
      </c>
      <c r="CD228" s="207">
        <f t="shared" si="103"/>
        <v>0</v>
      </c>
      <c r="CE228" s="207">
        <f t="shared" si="104"/>
        <v>16</v>
      </c>
    </row>
    <row r="229" spans="1:83" ht="12" customHeight="1" x14ac:dyDescent="0.2">
      <c r="A229" s="6">
        <v>3</v>
      </c>
      <c r="B229" s="49" t="str">
        <f t="shared" si="114"/>
        <v>Sotelo Marcos Victor HugoP0035</v>
      </c>
      <c r="C229" s="117" t="str">
        <f t="shared" si="105"/>
        <v>Sotelo Marcos Victor Hugo</v>
      </c>
      <c r="D229" s="49" t="str">
        <f>VLOOKUP(C229,Datos!$B$13:$C$83,2,0)</f>
        <v>VIGENTE</v>
      </c>
      <c r="E229" s="49" t="s">
        <v>103</v>
      </c>
      <c r="F229" s="49" t="str">
        <f>IFERROR(VLOOKUP(H229,Datos!$J$2:$L$60,3,0),"OBSERVACIONES")</f>
        <v>PROCESO</v>
      </c>
      <c r="G229" s="49"/>
      <c r="H229" s="49" t="s">
        <v>913</v>
      </c>
      <c r="I229" s="49" t="s">
        <v>916</v>
      </c>
      <c r="J229" s="119" t="s">
        <v>431</v>
      </c>
      <c r="K229" s="16">
        <v>0</v>
      </c>
      <c r="L229" s="16">
        <v>0</v>
      </c>
      <c r="M229" s="16">
        <v>0</v>
      </c>
      <c r="N229" s="16">
        <v>0</v>
      </c>
      <c r="O229" s="16">
        <v>0</v>
      </c>
      <c r="P229" s="16">
        <v>0</v>
      </c>
      <c r="Q229" s="16">
        <v>0</v>
      </c>
      <c r="R229" s="16">
        <v>0</v>
      </c>
      <c r="S229" s="16">
        <v>0</v>
      </c>
      <c r="T229" s="16">
        <v>0</v>
      </c>
      <c r="U229" s="16">
        <v>0</v>
      </c>
      <c r="V229" s="16">
        <v>0</v>
      </c>
      <c r="W229" s="16">
        <v>0</v>
      </c>
      <c r="X229" s="16">
        <v>0</v>
      </c>
      <c r="Y229" s="16">
        <v>0</v>
      </c>
      <c r="Z229" s="16">
        <v>0</v>
      </c>
      <c r="AA229" s="16">
        <v>0</v>
      </c>
      <c r="AB229" s="16">
        <v>0</v>
      </c>
      <c r="AC229" s="16">
        <v>0</v>
      </c>
      <c r="AD229" s="16">
        <v>0</v>
      </c>
      <c r="AE229" s="16">
        <v>0</v>
      </c>
      <c r="AF229" s="16">
        <v>0</v>
      </c>
      <c r="AG229" s="16">
        <v>0</v>
      </c>
      <c r="AH229" s="16">
        <v>0</v>
      </c>
      <c r="AI229" s="16">
        <v>0</v>
      </c>
      <c r="AJ229" s="16">
        <v>0</v>
      </c>
      <c r="AK229" s="16">
        <v>0</v>
      </c>
      <c r="AL229" s="16">
        <v>0</v>
      </c>
      <c r="AM229" s="16">
        <v>0</v>
      </c>
      <c r="AN229" s="16">
        <v>0</v>
      </c>
      <c r="AO229" s="16">
        <v>0</v>
      </c>
      <c r="AP229" s="16">
        <v>0</v>
      </c>
      <c r="AQ229" s="16">
        <v>0</v>
      </c>
      <c r="AR229" s="16">
        <v>0</v>
      </c>
      <c r="AS229" s="16">
        <v>0</v>
      </c>
      <c r="AT229" s="16">
        <v>0</v>
      </c>
      <c r="AU229" s="16">
        <v>0</v>
      </c>
      <c r="AV229" s="16">
        <v>0</v>
      </c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1</v>
      </c>
      <c r="BC229" s="16">
        <v>3</v>
      </c>
      <c r="BD229" s="16">
        <v>3</v>
      </c>
      <c r="BE229" s="16">
        <v>0</v>
      </c>
      <c r="BF229" s="16">
        <v>0</v>
      </c>
      <c r="BG229" s="16">
        <v>0</v>
      </c>
      <c r="BH229" s="16">
        <v>0</v>
      </c>
      <c r="BI229" s="16">
        <v>0</v>
      </c>
      <c r="BJ229" s="16">
        <v>0</v>
      </c>
      <c r="BK229" s="16">
        <v>0</v>
      </c>
      <c r="BL229" s="16">
        <v>0</v>
      </c>
      <c r="BM229" s="16">
        <v>0</v>
      </c>
      <c r="BN229" s="16">
        <v>0</v>
      </c>
      <c r="BO229" s="16">
        <v>0</v>
      </c>
      <c r="BP229" s="16">
        <v>0</v>
      </c>
      <c r="BQ229" s="16">
        <v>0</v>
      </c>
      <c r="BR229" s="16">
        <v>0</v>
      </c>
      <c r="BS229" s="207">
        <f t="shared" si="93"/>
        <v>0</v>
      </c>
      <c r="BT229" s="207">
        <f t="shared" si="94"/>
        <v>0</v>
      </c>
      <c r="BU229" s="207">
        <f t="shared" si="95"/>
        <v>0</v>
      </c>
      <c r="BV229" s="207">
        <f t="shared" si="106"/>
        <v>0</v>
      </c>
      <c r="BW229" s="207">
        <f t="shared" si="96"/>
        <v>0</v>
      </c>
      <c r="BX229" s="207">
        <f t="shared" si="97"/>
        <v>0</v>
      </c>
      <c r="BY229" s="207">
        <f t="shared" si="98"/>
        <v>0</v>
      </c>
      <c r="BZ229" s="207">
        <f t="shared" si="99"/>
        <v>0</v>
      </c>
      <c r="CA229" s="207">
        <f t="shared" si="100"/>
        <v>4</v>
      </c>
      <c r="CB229" s="207">
        <f t="shared" si="101"/>
        <v>3</v>
      </c>
      <c r="CC229" s="207">
        <f t="shared" si="102"/>
        <v>0</v>
      </c>
      <c r="CD229" s="207">
        <f t="shared" si="103"/>
        <v>0</v>
      </c>
      <c r="CE229" s="207">
        <f t="shared" si="104"/>
        <v>7</v>
      </c>
    </row>
    <row r="230" spans="1:83" ht="12" customHeight="1" x14ac:dyDescent="0.2">
      <c r="A230" s="6">
        <v>7</v>
      </c>
      <c r="B230" s="49" t="str">
        <f t="shared" si="114"/>
        <v>Sotelo Marcos Victor HugoGESTION DE PROYECTOS</v>
      </c>
      <c r="C230" s="117" t="str">
        <f t="shared" si="105"/>
        <v>Sotelo Marcos Victor Hugo</v>
      </c>
      <c r="D230" s="49" t="str">
        <f>VLOOKUP(C230,Datos!$B$13:$C$83,2,0)</f>
        <v>VIGENTE</v>
      </c>
      <c r="E230" s="49" t="s">
        <v>967</v>
      </c>
      <c r="F230" s="49"/>
      <c r="G230" s="49" t="str">
        <f>IFERROR(VLOOKUP(H230,Datos!$J$2:$L$60,3,0),"OBSERVACIONES")</f>
        <v>OBSERVACIONES</v>
      </c>
      <c r="H230" s="49" t="s">
        <v>967</v>
      </c>
      <c r="I230" s="49" t="s">
        <v>968</v>
      </c>
      <c r="J230" s="119" t="s">
        <v>431</v>
      </c>
      <c r="K230" s="16">
        <v>0</v>
      </c>
      <c r="L230" s="16">
        <v>0</v>
      </c>
      <c r="M230" s="16">
        <v>0</v>
      </c>
      <c r="N230" s="16">
        <v>0</v>
      </c>
      <c r="O230" s="16">
        <v>0</v>
      </c>
      <c r="P230" s="16">
        <v>0</v>
      </c>
      <c r="Q230" s="16">
        <v>0</v>
      </c>
      <c r="R230" s="16">
        <v>0</v>
      </c>
      <c r="S230" s="16">
        <v>0</v>
      </c>
      <c r="T230" s="16">
        <v>0</v>
      </c>
      <c r="U230" s="16">
        <v>0</v>
      </c>
      <c r="V230" s="16">
        <v>0</v>
      </c>
      <c r="W230" s="16">
        <v>0</v>
      </c>
      <c r="X230" s="16">
        <v>0</v>
      </c>
      <c r="Y230" s="16">
        <v>0</v>
      </c>
      <c r="Z230" s="16">
        <v>0</v>
      </c>
      <c r="AA230" s="16">
        <v>0</v>
      </c>
      <c r="AB230" s="16">
        <v>0</v>
      </c>
      <c r="AC230" s="16">
        <v>0</v>
      </c>
      <c r="AD230" s="16">
        <v>0</v>
      </c>
      <c r="AE230" s="16">
        <v>0</v>
      </c>
      <c r="AF230" s="16">
        <v>0</v>
      </c>
      <c r="AG230" s="16">
        <v>0</v>
      </c>
      <c r="AH230" s="16">
        <v>0</v>
      </c>
      <c r="AI230" s="16">
        <v>0</v>
      </c>
      <c r="AJ230" s="16">
        <v>0</v>
      </c>
      <c r="AK230" s="16">
        <v>0</v>
      </c>
      <c r="AL230" s="16">
        <v>0</v>
      </c>
      <c r="AM230" s="16">
        <v>0</v>
      </c>
      <c r="AN230" s="16">
        <v>0</v>
      </c>
      <c r="AO230" s="16">
        <v>0</v>
      </c>
      <c r="AP230" s="16">
        <v>0</v>
      </c>
      <c r="AQ230" s="16">
        <v>0</v>
      </c>
      <c r="AR230" s="16">
        <v>0</v>
      </c>
      <c r="AS230" s="16">
        <v>0</v>
      </c>
      <c r="AT230" s="16">
        <v>0</v>
      </c>
      <c r="AU230" s="16">
        <v>0</v>
      </c>
      <c r="AV230" s="16">
        <v>0</v>
      </c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5</v>
      </c>
      <c r="BC230" s="16">
        <v>9</v>
      </c>
      <c r="BD230" s="16">
        <v>13</v>
      </c>
      <c r="BE230" s="16">
        <v>0</v>
      </c>
      <c r="BF230" s="16">
        <v>0</v>
      </c>
      <c r="BG230" s="16">
        <v>0</v>
      </c>
      <c r="BH230" s="16">
        <v>0</v>
      </c>
      <c r="BI230" s="16">
        <v>0</v>
      </c>
      <c r="BJ230" s="16">
        <v>0</v>
      </c>
      <c r="BK230" s="16">
        <v>0</v>
      </c>
      <c r="BL230" s="16">
        <v>0</v>
      </c>
      <c r="BM230" s="16">
        <v>0</v>
      </c>
      <c r="BN230" s="16">
        <v>0</v>
      </c>
      <c r="BO230" s="16">
        <v>0</v>
      </c>
      <c r="BP230" s="16">
        <v>0</v>
      </c>
      <c r="BQ230" s="16">
        <v>0</v>
      </c>
      <c r="BR230" s="16">
        <v>0</v>
      </c>
      <c r="BS230" s="207">
        <f t="shared" si="93"/>
        <v>0</v>
      </c>
      <c r="BT230" s="207">
        <f t="shared" si="94"/>
        <v>0</v>
      </c>
      <c r="BU230" s="207">
        <f t="shared" si="95"/>
        <v>0</v>
      </c>
      <c r="BV230" s="207">
        <f t="shared" si="106"/>
        <v>0</v>
      </c>
      <c r="BW230" s="207">
        <f t="shared" si="96"/>
        <v>0</v>
      </c>
      <c r="BX230" s="207">
        <f t="shared" si="97"/>
        <v>0</v>
      </c>
      <c r="BY230" s="207">
        <f t="shared" si="98"/>
        <v>0</v>
      </c>
      <c r="BZ230" s="207">
        <f t="shared" si="99"/>
        <v>0</v>
      </c>
      <c r="CA230" s="207">
        <f t="shared" si="100"/>
        <v>14</v>
      </c>
      <c r="CB230" s="207">
        <f t="shared" si="101"/>
        <v>13</v>
      </c>
      <c r="CC230" s="207">
        <f t="shared" si="102"/>
        <v>0</v>
      </c>
      <c r="CD230" s="207">
        <f t="shared" si="103"/>
        <v>0</v>
      </c>
      <c r="CE230" s="207"/>
    </row>
    <row r="231" spans="1:83" ht="12" customHeight="1" x14ac:dyDescent="0.2">
      <c r="A231" s="6">
        <v>3</v>
      </c>
      <c r="B231" s="49" t="str">
        <f t="shared" si="113"/>
        <v>Sotelo Marcos Victor HugoP0027</v>
      </c>
      <c r="C231" s="117" t="str">
        <f t="shared" ref="C231:C240" si="115">J231</f>
        <v>Sotelo Marcos Victor Hugo</v>
      </c>
      <c r="D231" s="49" t="str">
        <f>VLOOKUP(C231,Datos!$B$13:$C$83,2,0)</f>
        <v>VIGENTE</v>
      </c>
      <c r="E231" s="49" t="s">
        <v>103</v>
      </c>
      <c r="F231" s="49" t="str">
        <f>IFERROR(VLOOKUP(H231,Datos!$J$2:$L$60,3,0),"OBSERVACIONES")</f>
        <v>PROCESO</v>
      </c>
      <c r="G231" s="49"/>
      <c r="H231" s="49" t="s">
        <v>361</v>
      </c>
      <c r="I231" s="49" t="s">
        <v>362</v>
      </c>
      <c r="J231" s="119" t="s">
        <v>431</v>
      </c>
      <c r="K231" s="16">
        <v>0</v>
      </c>
      <c r="L231" s="16">
        <v>0</v>
      </c>
      <c r="M231" s="16">
        <v>0</v>
      </c>
      <c r="N231" s="16">
        <v>0</v>
      </c>
      <c r="O231" s="16">
        <v>0</v>
      </c>
      <c r="P231" s="16">
        <v>0</v>
      </c>
      <c r="Q231" s="16">
        <v>0</v>
      </c>
      <c r="R231" s="16">
        <v>0</v>
      </c>
      <c r="S231" s="16">
        <v>0</v>
      </c>
      <c r="T231" s="16">
        <v>0</v>
      </c>
      <c r="U231" s="16">
        <v>0</v>
      </c>
      <c r="V231" s="16">
        <v>0</v>
      </c>
      <c r="W231" s="16">
        <v>0</v>
      </c>
      <c r="X231" s="16">
        <v>0</v>
      </c>
      <c r="Y231" s="16">
        <v>0</v>
      </c>
      <c r="Z231" s="16">
        <v>0</v>
      </c>
      <c r="AA231" s="16">
        <v>0</v>
      </c>
      <c r="AB231" s="16">
        <v>0</v>
      </c>
      <c r="AC231" s="16">
        <v>0</v>
      </c>
      <c r="AD231" s="16">
        <v>0</v>
      </c>
      <c r="AE231" s="16">
        <v>0</v>
      </c>
      <c r="AF231" s="16">
        <v>0</v>
      </c>
      <c r="AG231" s="16">
        <v>0</v>
      </c>
      <c r="AH231" s="16">
        <v>0</v>
      </c>
      <c r="AI231" s="16">
        <v>0</v>
      </c>
      <c r="AJ231" s="16">
        <v>0</v>
      </c>
      <c r="AK231" s="16">
        <v>0</v>
      </c>
      <c r="AL231" s="16">
        <v>0</v>
      </c>
      <c r="AM231" s="16">
        <v>0</v>
      </c>
      <c r="AN231" s="16">
        <v>0</v>
      </c>
      <c r="AO231" s="16">
        <v>0</v>
      </c>
      <c r="AP231" s="16">
        <v>0</v>
      </c>
      <c r="AQ231" s="16">
        <v>32</v>
      </c>
      <c r="AR231" s="16">
        <v>0</v>
      </c>
      <c r="AS231" s="16">
        <v>5</v>
      </c>
      <c r="AT231" s="16">
        <v>10</v>
      </c>
      <c r="AU231" s="16">
        <v>16</v>
      </c>
      <c r="AV231" s="16">
        <v>20</v>
      </c>
      <c r="AW231" s="16">
        <v>14</v>
      </c>
      <c r="AX231" s="16">
        <v>6</v>
      </c>
      <c r="AY231" s="16">
        <v>2</v>
      </c>
      <c r="AZ231" s="16">
        <v>12</v>
      </c>
      <c r="BA231" s="16">
        <v>5</v>
      </c>
      <c r="BB231" s="16">
        <v>5</v>
      </c>
      <c r="BC231" s="16">
        <v>6</v>
      </c>
      <c r="BD231" s="16">
        <v>5</v>
      </c>
      <c r="BE231" s="16">
        <v>0</v>
      </c>
      <c r="BF231" s="16">
        <v>0</v>
      </c>
      <c r="BG231" s="16">
        <v>0</v>
      </c>
      <c r="BH231" s="16">
        <v>0</v>
      </c>
      <c r="BI231" s="16">
        <v>0</v>
      </c>
      <c r="BJ231" s="16">
        <v>0</v>
      </c>
      <c r="BK231" s="16">
        <v>0</v>
      </c>
      <c r="BL231" s="16">
        <v>0</v>
      </c>
      <c r="BM231" s="16">
        <v>0</v>
      </c>
      <c r="BN231" s="16">
        <v>0</v>
      </c>
      <c r="BO231" s="16">
        <v>0</v>
      </c>
      <c r="BP231" s="16">
        <v>0</v>
      </c>
      <c r="BQ231" s="16">
        <v>0</v>
      </c>
      <c r="BR231" s="16">
        <v>0</v>
      </c>
      <c r="BS231" s="207">
        <f t="shared" si="93"/>
        <v>0</v>
      </c>
      <c r="BT231" s="207">
        <f t="shared" si="94"/>
        <v>0</v>
      </c>
      <c r="BU231" s="207">
        <f t="shared" si="95"/>
        <v>0</v>
      </c>
      <c r="BV231" s="207">
        <f t="shared" si="106"/>
        <v>0</v>
      </c>
      <c r="BW231" s="207">
        <f t="shared" si="96"/>
        <v>0</v>
      </c>
      <c r="BX231" s="207">
        <f t="shared" si="97"/>
        <v>0</v>
      </c>
      <c r="BY231" s="207">
        <f t="shared" si="98"/>
        <v>37</v>
      </c>
      <c r="BZ231" s="207">
        <f t="shared" si="99"/>
        <v>66</v>
      </c>
      <c r="CA231" s="207">
        <f t="shared" si="100"/>
        <v>30</v>
      </c>
      <c r="CB231" s="207">
        <f t="shared" si="101"/>
        <v>5</v>
      </c>
      <c r="CC231" s="207">
        <f t="shared" si="102"/>
        <v>0</v>
      </c>
      <c r="CD231" s="207">
        <f t="shared" si="103"/>
        <v>0</v>
      </c>
      <c r="CE231" s="207">
        <f t="shared" si="104"/>
        <v>138</v>
      </c>
    </row>
    <row r="232" spans="1:83" ht="12" customHeight="1" x14ac:dyDescent="0.2">
      <c r="A232" s="6">
        <v>3</v>
      </c>
      <c r="B232" s="49" t="str">
        <f t="shared" si="113"/>
        <v>Pérez Montemayor Jose JavierP0034</v>
      </c>
      <c r="C232" s="117" t="str">
        <f t="shared" si="115"/>
        <v>Pérez Montemayor Jose Javier</v>
      </c>
      <c r="D232" s="49" t="str">
        <f>VLOOKUP(C232,Datos!$B$13:$C$83,2,0)</f>
        <v>VIGENTE</v>
      </c>
      <c r="E232" s="49" t="s">
        <v>50</v>
      </c>
      <c r="F232" s="49" t="str">
        <f>IFERROR(VLOOKUP(H232,Datos!$J$2:$L$60,3,0),"OBSERVACIONES")</f>
        <v>CERRADO</v>
      </c>
      <c r="G232" s="49"/>
      <c r="H232" s="49" t="s">
        <v>639</v>
      </c>
      <c r="I232" s="49" t="s">
        <v>640</v>
      </c>
      <c r="J232" s="118" t="s">
        <v>35</v>
      </c>
      <c r="K232" s="16">
        <v>0</v>
      </c>
      <c r="L232" s="16">
        <v>0</v>
      </c>
      <c r="M232" s="16">
        <v>0</v>
      </c>
      <c r="N232" s="16">
        <v>0</v>
      </c>
      <c r="O232" s="16">
        <v>0</v>
      </c>
      <c r="P232" s="16">
        <v>0</v>
      </c>
      <c r="Q232" s="16">
        <v>0</v>
      </c>
      <c r="R232" s="16">
        <v>0</v>
      </c>
      <c r="S232" s="16">
        <v>0</v>
      </c>
      <c r="T232" s="16">
        <v>0</v>
      </c>
      <c r="U232" s="16">
        <v>0</v>
      </c>
      <c r="V232" s="16">
        <v>0</v>
      </c>
      <c r="W232" s="16">
        <v>0</v>
      </c>
      <c r="X232" s="16">
        <v>0</v>
      </c>
      <c r="Y232" s="16">
        <v>0</v>
      </c>
      <c r="Z232" s="16">
        <v>0</v>
      </c>
      <c r="AA232" s="16">
        <v>0</v>
      </c>
      <c r="AB232" s="16">
        <v>0</v>
      </c>
      <c r="AC232" s="16">
        <v>0</v>
      </c>
      <c r="AD232" s="16">
        <v>0</v>
      </c>
      <c r="AE232" s="16">
        <v>0</v>
      </c>
      <c r="AF232" s="16">
        <v>0</v>
      </c>
      <c r="AG232" s="16">
        <v>0</v>
      </c>
      <c r="AH232" s="16">
        <v>0</v>
      </c>
      <c r="AI232" s="16">
        <v>0</v>
      </c>
      <c r="AJ232" s="16">
        <v>0</v>
      </c>
      <c r="AK232" s="16">
        <v>0</v>
      </c>
      <c r="AL232" s="16">
        <v>0</v>
      </c>
      <c r="AM232" s="16">
        <v>0</v>
      </c>
      <c r="AN232" s="16">
        <v>0</v>
      </c>
      <c r="AO232" s="16">
        <v>0</v>
      </c>
      <c r="AP232" s="16">
        <v>0</v>
      </c>
      <c r="AQ232" s="16">
        <v>0</v>
      </c>
      <c r="AR232" s="16">
        <v>0</v>
      </c>
      <c r="AS232" s="16">
        <v>0</v>
      </c>
      <c r="AT232" s="16">
        <v>32</v>
      </c>
      <c r="AU232" s="16">
        <v>40</v>
      </c>
      <c r="AV232" s="16">
        <v>40</v>
      </c>
      <c r="AW232" s="16">
        <v>8</v>
      </c>
      <c r="AX232" s="16">
        <v>8</v>
      </c>
      <c r="AY232" s="16">
        <v>0</v>
      </c>
      <c r="AZ232" s="16">
        <v>2</v>
      </c>
      <c r="BA232" s="16">
        <v>0</v>
      </c>
      <c r="BB232" s="16">
        <v>0</v>
      </c>
      <c r="BC232" s="16">
        <v>0</v>
      </c>
      <c r="BD232" s="16">
        <v>0</v>
      </c>
      <c r="BE232" s="16">
        <v>0</v>
      </c>
      <c r="BF232" s="16">
        <v>0</v>
      </c>
      <c r="BG232" s="16">
        <v>0</v>
      </c>
      <c r="BH232" s="16">
        <v>0</v>
      </c>
      <c r="BI232" s="16">
        <v>0</v>
      </c>
      <c r="BJ232" s="16">
        <v>0</v>
      </c>
      <c r="BK232" s="16">
        <v>0</v>
      </c>
      <c r="BL232" s="16">
        <v>0</v>
      </c>
      <c r="BM232" s="16">
        <v>0</v>
      </c>
      <c r="BN232" s="16">
        <v>0</v>
      </c>
      <c r="BO232" s="16">
        <v>0</v>
      </c>
      <c r="BP232" s="16">
        <v>0</v>
      </c>
      <c r="BQ232" s="16">
        <v>0</v>
      </c>
      <c r="BR232" s="16">
        <v>0</v>
      </c>
      <c r="BS232" s="207">
        <f t="shared" si="93"/>
        <v>0</v>
      </c>
      <c r="BT232" s="207">
        <f t="shared" si="94"/>
        <v>0</v>
      </c>
      <c r="BU232" s="207">
        <f t="shared" si="95"/>
        <v>0</v>
      </c>
      <c r="BV232" s="207">
        <f t="shared" si="106"/>
        <v>0</v>
      </c>
      <c r="BW232" s="207">
        <f t="shared" si="96"/>
        <v>0</v>
      </c>
      <c r="BX232" s="207">
        <f t="shared" si="97"/>
        <v>0</v>
      </c>
      <c r="BY232" s="207">
        <f t="shared" si="98"/>
        <v>0</v>
      </c>
      <c r="BZ232" s="207">
        <f t="shared" si="99"/>
        <v>128</v>
      </c>
      <c r="CA232" s="207">
        <f t="shared" si="100"/>
        <v>2</v>
      </c>
      <c r="CB232" s="207">
        <f t="shared" si="101"/>
        <v>0</v>
      </c>
      <c r="CC232" s="207">
        <f t="shared" si="102"/>
        <v>0</v>
      </c>
      <c r="CD232" s="207">
        <f t="shared" si="103"/>
        <v>0</v>
      </c>
      <c r="CE232" s="207">
        <f t="shared" si="104"/>
        <v>130</v>
      </c>
    </row>
    <row r="233" spans="1:83" ht="12" customHeight="1" x14ac:dyDescent="0.2">
      <c r="A233" s="6">
        <v>3</v>
      </c>
      <c r="B233" s="49" t="str">
        <f>C233&amp;H233</f>
        <v>Ticona Pinto Hector AlexaderP0027</v>
      </c>
      <c r="C233" s="117" t="str">
        <f>J233</f>
        <v>Ticona Pinto Hector Alexader</v>
      </c>
      <c r="D233" s="49" t="str">
        <f>VLOOKUP(C233,Datos!$B$13:$C$83,2,0)</f>
        <v>VIGENTE</v>
      </c>
      <c r="E233" s="49" t="s">
        <v>103</v>
      </c>
      <c r="F233" s="49" t="str">
        <f>IFERROR(VLOOKUP(H233,Datos!$J$2:$L$60,3,0),"OBSERVACIONES")</f>
        <v>PROCESO</v>
      </c>
      <c r="G233" s="49"/>
      <c r="H233" s="49" t="s">
        <v>361</v>
      </c>
      <c r="I233" s="49" t="s">
        <v>362</v>
      </c>
      <c r="J233" s="118" t="s">
        <v>973</v>
      </c>
      <c r="K233" s="16">
        <v>0</v>
      </c>
      <c r="L233" s="16">
        <v>0</v>
      </c>
      <c r="M233" s="16">
        <v>0</v>
      </c>
      <c r="N233" s="16">
        <v>0</v>
      </c>
      <c r="O233" s="16">
        <v>0</v>
      </c>
      <c r="P233" s="16">
        <v>0</v>
      </c>
      <c r="Q233" s="16">
        <v>0</v>
      </c>
      <c r="R233" s="16">
        <v>0</v>
      </c>
      <c r="S233" s="16">
        <v>0</v>
      </c>
      <c r="T233" s="16">
        <v>0</v>
      </c>
      <c r="U233" s="16">
        <v>0</v>
      </c>
      <c r="V233" s="16">
        <v>0</v>
      </c>
      <c r="W233" s="16">
        <v>0</v>
      </c>
      <c r="X233" s="16">
        <v>0</v>
      </c>
      <c r="Y233" s="16">
        <v>0</v>
      </c>
      <c r="Z233" s="16">
        <v>0</v>
      </c>
      <c r="AA233" s="16">
        <v>0</v>
      </c>
      <c r="AB233" s="16">
        <v>0</v>
      </c>
      <c r="AC233" s="16">
        <v>0</v>
      </c>
      <c r="AD233" s="16">
        <v>0</v>
      </c>
      <c r="AE233" s="16">
        <v>0</v>
      </c>
      <c r="AF233" s="16">
        <v>0</v>
      </c>
      <c r="AG233" s="16">
        <v>0</v>
      </c>
      <c r="AH233" s="16">
        <v>0</v>
      </c>
      <c r="AI233" s="16">
        <v>0</v>
      </c>
      <c r="AJ233" s="16">
        <v>0</v>
      </c>
      <c r="AK233" s="16">
        <v>0</v>
      </c>
      <c r="AL233" s="16">
        <v>0</v>
      </c>
      <c r="AM233" s="16">
        <v>0</v>
      </c>
      <c r="AN233" s="16">
        <v>0</v>
      </c>
      <c r="AO233" s="16">
        <v>0</v>
      </c>
      <c r="AP233" s="16">
        <v>0</v>
      </c>
      <c r="AQ233" s="16">
        <v>0</v>
      </c>
      <c r="AR233" s="16">
        <v>0</v>
      </c>
      <c r="AS233" s="16">
        <v>0</v>
      </c>
      <c r="AT233" s="16">
        <v>0</v>
      </c>
      <c r="AU233" s="16">
        <v>0</v>
      </c>
      <c r="AV233" s="16">
        <v>0</v>
      </c>
      <c r="AW233" s="16">
        <v>0</v>
      </c>
      <c r="AX233" s="16">
        <v>24</v>
      </c>
      <c r="AY233" s="16">
        <v>8</v>
      </c>
      <c r="AZ233" s="16">
        <v>40</v>
      </c>
      <c r="BA233" s="16">
        <v>40</v>
      </c>
      <c r="BB233" s="16">
        <v>40</v>
      </c>
      <c r="BC233" s="16">
        <v>40</v>
      </c>
      <c r="BD233" s="16">
        <v>40</v>
      </c>
      <c r="BE233" s="16">
        <v>0</v>
      </c>
      <c r="BF233" s="16">
        <v>0</v>
      </c>
      <c r="BG233" s="16">
        <v>0</v>
      </c>
      <c r="BH233" s="16">
        <v>0</v>
      </c>
      <c r="BI233" s="16">
        <v>0</v>
      </c>
      <c r="BJ233" s="16">
        <v>0</v>
      </c>
      <c r="BK233" s="16">
        <v>0</v>
      </c>
      <c r="BL233" s="16">
        <v>0</v>
      </c>
      <c r="BM233" s="16">
        <v>0</v>
      </c>
      <c r="BN233" s="16">
        <v>0</v>
      </c>
      <c r="BO233" s="16">
        <v>0</v>
      </c>
      <c r="BP233" s="16">
        <v>0</v>
      </c>
      <c r="BQ233" s="16">
        <v>0</v>
      </c>
      <c r="BR233" s="16">
        <v>0</v>
      </c>
      <c r="BS233" s="207">
        <f t="shared" si="93"/>
        <v>0</v>
      </c>
      <c r="BT233" s="207">
        <f t="shared" si="94"/>
        <v>0</v>
      </c>
      <c r="BU233" s="207">
        <f t="shared" si="95"/>
        <v>0</v>
      </c>
      <c r="BV233" s="207">
        <f t="shared" si="106"/>
        <v>0</v>
      </c>
      <c r="BW233" s="207">
        <f t="shared" si="96"/>
        <v>0</v>
      </c>
      <c r="BX233" s="207">
        <f t="shared" si="97"/>
        <v>0</v>
      </c>
      <c r="BY233" s="207">
        <f t="shared" si="97"/>
        <v>0</v>
      </c>
      <c r="BZ233" s="207">
        <f t="shared" si="99"/>
        <v>24</v>
      </c>
      <c r="CA233" s="207">
        <f t="shared" si="100"/>
        <v>168</v>
      </c>
      <c r="CB233" s="207">
        <f t="shared" si="101"/>
        <v>40</v>
      </c>
      <c r="CC233" s="207">
        <f t="shared" si="102"/>
        <v>0</v>
      </c>
      <c r="CD233" s="207">
        <f t="shared" si="103"/>
        <v>0</v>
      </c>
      <c r="CE233" s="207">
        <f t="shared" si="104"/>
        <v>232</v>
      </c>
    </row>
    <row r="234" spans="1:83" ht="12" customHeight="1" x14ac:dyDescent="0.2">
      <c r="A234" s="6">
        <v>3</v>
      </c>
      <c r="B234" s="49" t="str">
        <f t="shared" ref="B234" si="116">C234&amp;H234</f>
        <v>Vascones Sandova Jose AntonioP0027</v>
      </c>
      <c r="C234" s="117" t="str">
        <f t="shared" ref="C234" si="117">J234</f>
        <v>Vascones Sandova Jose Antonio</v>
      </c>
      <c r="D234" s="49" t="str">
        <f>VLOOKUP(C234,Datos!$B$13:$C$100,2,0)</f>
        <v>VIGENTE</v>
      </c>
      <c r="E234" s="49" t="s">
        <v>103</v>
      </c>
      <c r="F234" s="49" t="str">
        <f>IFERROR(VLOOKUP(H234,Datos!$J$2:$L$60,3,0),"OBSERVACIONES")</f>
        <v>PROCESO</v>
      </c>
      <c r="G234" s="49"/>
      <c r="H234" s="49" t="s">
        <v>361</v>
      </c>
      <c r="I234" s="49" t="s">
        <v>362</v>
      </c>
      <c r="J234" s="118" t="s">
        <v>974</v>
      </c>
      <c r="K234" s="16">
        <v>0</v>
      </c>
      <c r="L234" s="16">
        <v>0</v>
      </c>
      <c r="M234" s="16">
        <v>0</v>
      </c>
      <c r="N234" s="16">
        <v>0</v>
      </c>
      <c r="O234" s="16">
        <v>0</v>
      </c>
      <c r="P234" s="16">
        <v>0</v>
      </c>
      <c r="Q234" s="16">
        <v>0</v>
      </c>
      <c r="R234" s="16">
        <v>0</v>
      </c>
      <c r="S234" s="16">
        <v>0</v>
      </c>
      <c r="T234" s="16">
        <v>0</v>
      </c>
      <c r="U234" s="16">
        <v>0</v>
      </c>
      <c r="V234" s="16">
        <v>0</v>
      </c>
      <c r="W234" s="16">
        <v>0</v>
      </c>
      <c r="X234" s="16">
        <v>0</v>
      </c>
      <c r="Y234" s="16">
        <v>0</v>
      </c>
      <c r="Z234" s="16">
        <v>0</v>
      </c>
      <c r="AA234" s="16">
        <v>0</v>
      </c>
      <c r="AB234" s="16">
        <v>0</v>
      </c>
      <c r="AC234" s="16">
        <v>0</v>
      </c>
      <c r="AD234" s="16">
        <v>0</v>
      </c>
      <c r="AE234" s="16">
        <v>0</v>
      </c>
      <c r="AF234" s="16">
        <v>0</v>
      </c>
      <c r="AG234" s="16">
        <v>0</v>
      </c>
      <c r="AH234" s="16">
        <v>0</v>
      </c>
      <c r="AI234" s="16">
        <v>0</v>
      </c>
      <c r="AJ234" s="16">
        <v>0</v>
      </c>
      <c r="AK234" s="16">
        <v>0</v>
      </c>
      <c r="AL234" s="16">
        <v>0</v>
      </c>
      <c r="AM234" s="16">
        <v>0</v>
      </c>
      <c r="AN234" s="16">
        <v>0</v>
      </c>
      <c r="AO234" s="16">
        <v>0</v>
      </c>
      <c r="AP234" s="16">
        <v>0</v>
      </c>
      <c r="AQ234" s="16">
        <v>0</v>
      </c>
      <c r="AR234" s="16">
        <v>0</v>
      </c>
      <c r="AS234" s="16">
        <v>0</v>
      </c>
      <c r="AT234" s="16">
        <v>0</v>
      </c>
      <c r="AU234" s="16">
        <v>0</v>
      </c>
      <c r="AV234" s="16">
        <v>0</v>
      </c>
      <c r="AW234" s="16">
        <v>0</v>
      </c>
      <c r="AX234" s="16">
        <v>0</v>
      </c>
      <c r="AY234" s="16">
        <v>0</v>
      </c>
      <c r="AZ234" s="16">
        <v>0</v>
      </c>
      <c r="BA234" s="16">
        <v>40</v>
      </c>
      <c r="BB234" s="16">
        <v>40</v>
      </c>
      <c r="BC234" s="16">
        <v>40</v>
      </c>
      <c r="BD234" s="16">
        <v>40</v>
      </c>
      <c r="BE234" s="16">
        <v>0</v>
      </c>
      <c r="BF234" s="16">
        <v>0</v>
      </c>
      <c r="BG234" s="16">
        <v>0</v>
      </c>
      <c r="BH234" s="16">
        <v>0</v>
      </c>
      <c r="BI234" s="16">
        <v>0</v>
      </c>
      <c r="BJ234" s="16">
        <v>0</v>
      </c>
      <c r="BK234" s="16">
        <v>0</v>
      </c>
      <c r="BL234" s="16">
        <v>0</v>
      </c>
      <c r="BM234" s="16">
        <v>0</v>
      </c>
      <c r="BN234" s="16">
        <v>0</v>
      </c>
      <c r="BO234" s="16">
        <v>0</v>
      </c>
      <c r="BP234" s="16">
        <v>0</v>
      </c>
      <c r="BQ234" s="16">
        <v>0</v>
      </c>
      <c r="BR234" s="16">
        <v>0</v>
      </c>
      <c r="BS234" s="207">
        <f t="shared" si="93"/>
        <v>0</v>
      </c>
      <c r="BT234" s="207">
        <f t="shared" si="94"/>
        <v>0</v>
      </c>
      <c r="BU234" s="207">
        <f t="shared" si="95"/>
        <v>0</v>
      </c>
      <c r="BV234" s="207">
        <f t="shared" si="106"/>
        <v>0</v>
      </c>
      <c r="BW234" s="207">
        <f t="shared" si="96"/>
        <v>0</v>
      </c>
      <c r="BX234" s="207">
        <f t="shared" si="97"/>
        <v>0</v>
      </c>
      <c r="BY234" s="207">
        <f t="shared" si="97"/>
        <v>0</v>
      </c>
      <c r="BZ234" s="207">
        <f t="shared" si="99"/>
        <v>0</v>
      </c>
      <c r="CA234" s="207">
        <f t="shared" si="100"/>
        <v>120</v>
      </c>
      <c r="CB234" s="207">
        <f t="shared" si="101"/>
        <v>40</v>
      </c>
      <c r="CC234" s="207">
        <f t="shared" si="102"/>
        <v>0</v>
      </c>
      <c r="CD234" s="207">
        <f t="shared" si="103"/>
        <v>0</v>
      </c>
      <c r="CE234" s="207">
        <f t="shared" si="104"/>
        <v>160</v>
      </c>
    </row>
    <row r="235" spans="1:83" ht="12" customHeight="1" x14ac:dyDescent="0.2">
      <c r="A235" s="6">
        <v>3</v>
      </c>
      <c r="B235" s="49" t="str">
        <f t="shared" si="113"/>
        <v>Pérez Montemayor Jose JavierP0027</v>
      </c>
      <c r="C235" s="117" t="str">
        <f t="shared" si="115"/>
        <v>Pérez Montemayor Jose Javier</v>
      </c>
      <c r="D235" s="49" t="str">
        <f>VLOOKUP(C235,Datos!$B$13:$C$83,2,0)</f>
        <v>VIGENTE</v>
      </c>
      <c r="E235" s="49" t="s">
        <v>103</v>
      </c>
      <c r="F235" s="49" t="str">
        <f>IFERROR(VLOOKUP(H235,Datos!$J$2:$L$60,3,0),"OBSERVACIONES")</f>
        <v>PROCESO</v>
      </c>
      <c r="G235" s="49"/>
      <c r="H235" s="49" t="s">
        <v>361</v>
      </c>
      <c r="I235" s="49" t="s">
        <v>362</v>
      </c>
      <c r="J235" s="118" t="s">
        <v>35</v>
      </c>
      <c r="K235" s="16">
        <v>0</v>
      </c>
      <c r="L235" s="16">
        <v>0</v>
      </c>
      <c r="M235" s="16">
        <v>0</v>
      </c>
      <c r="N235" s="16">
        <v>0</v>
      </c>
      <c r="O235" s="16">
        <v>0</v>
      </c>
      <c r="P235" s="16">
        <v>0</v>
      </c>
      <c r="Q235" s="16">
        <v>0</v>
      </c>
      <c r="R235" s="16">
        <v>0</v>
      </c>
      <c r="S235" s="16">
        <v>0</v>
      </c>
      <c r="T235" s="16">
        <v>0</v>
      </c>
      <c r="U235" s="16">
        <v>0</v>
      </c>
      <c r="V235" s="16">
        <v>0</v>
      </c>
      <c r="W235" s="16">
        <v>0</v>
      </c>
      <c r="X235" s="16">
        <v>0</v>
      </c>
      <c r="Y235" s="16">
        <v>0</v>
      </c>
      <c r="Z235" s="16">
        <v>0</v>
      </c>
      <c r="AA235" s="16">
        <v>0</v>
      </c>
      <c r="AB235" s="16">
        <v>0</v>
      </c>
      <c r="AC235" s="16">
        <v>0</v>
      </c>
      <c r="AD235" s="16">
        <v>0</v>
      </c>
      <c r="AE235" s="16">
        <v>0</v>
      </c>
      <c r="AF235" s="16">
        <v>0</v>
      </c>
      <c r="AG235" s="16">
        <v>0</v>
      </c>
      <c r="AH235" s="16">
        <v>0</v>
      </c>
      <c r="AI235" s="16">
        <v>0</v>
      </c>
      <c r="AJ235" s="16">
        <v>0</v>
      </c>
      <c r="AK235" s="16">
        <v>0</v>
      </c>
      <c r="AL235" s="16">
        <v>0</v>
      </c>
      <c r="AM235" s="16">
        <v>0</v>
      </c>
      <c r="AN235" s="16">
        <v>0</v>
      </c>
      <c r="AO235" s="16">
        <v>0</v>
      </c>
      <c r="AP235" s="16">
        <v>0</v>
      </c>
      <c r="AQ235" s="16">
        <v>0</v>
      </c>
      <c r="AR235" s="16">
        <v>0</v>
      </c>
      <c r="AS235" s="16">
        <v>0</v>
      </c>
      <c r="AT235" s="16">
        <v>0</v>
      </c>
      <c r="AU235" s="16">
        <v>0</v>
      </c>
      <c r="AV235" s="16">
        <v>0</v>
      </c>
      <c r="AW235" s="16">
        <v>32</v>
      </c>
      <c r="AX235" s="16">
        <v>16</v>
      </c>
      <c r="AY235" s="16">
        <v>8</v>
      </c>
      <c r="AZ235" s="16">
        <v>38</v>
      </c>
      <c r="BA235" s="16">
        <v>38</v>
      </c>
      <c r="BB235" s="16">
        <v>40</v>
      </c>
      <c r="BC235" s="16">
        <v>40</v>
      </c>
      <c r="BD235" s="16">
        <v>40</v>
      </c>
      <c r="BE235" s="16">
        <v>0</v>
      </c>
      <c r="BF235" s="16">
        <v>0</v>
      </c>
      <c r="BG235" s="16">
        <v>0</v>
      </c>
      <c r="BH235" s="16">
        <v>0</v>
      </c>
      <c r="BI235" s="16">
        <v>0</v>
      </c>
      <c r="BJ235" s="16">
        <v>0</v>
      </c>
      <c r="BK235" s="16">
        <v>0</v>
      </c>
      <c r="BL235" s="16">
        <v>0</v>
      </c>
      <c r="BM235" s="16">
        <v>0</v>
      </c>
      <c r="BN235" s="16">
        <v>0</v>
      </c>
      <c r="BO235" s="16">
        <v>0</v>
      </c>
      <c r="BP235" s="16">
        <v>0</v>
      </c>
      <c r="BQ235" s="16">
        <v>0</v>
      </c>
      <c r="BR235" s="16">
        <v>0</v>
      </c>
      <c r="BS235" s="207">
        <f t="shared" si="93"/>
        <v>0</v>
      </c>
      <c r="BT235" s="207">
        <f t="shared" si="94"/>
        <v>0</v>
      </c>
      <c r="BU235" s="207">
        <f t="shared" si="95"/>
        <v>0</v>
      </c>
      <c r="BV235" s="207">
        <f t="shared" si="106"/>
        <v>0</v>
      </c>
      <c r="BW235" s="207">
        <f t="shared" si="96"/>
        <v>0</v>
      </c>
      <c r="BX235" s="207">
        <f t="shared" si="97"/>
        <v>0</v>
      </c>
      <c r="BY235" s="207">
        <f t="shared" si="98"/>
        <v>0</v>
      </c>
      <c r="BZ235" s="207">
        <f t="shared" si="99"/>
        <v>48</v>
      </c>
      <c r="CA235" s="207">
        <f t="shared" si="100"/>
        <v>164</v>
      </c>
      <c r="CB235" s="207">
        <f t="shared" si="101"/>
        <v>40</v>
      </c>
      <c r="CC235" s="207">
        <f t="shared" si="102"/>
        <v>0</v>
      </c>
      <c r="CD235" s="207">
        <f t="shared" si="103"/>
        <v>0</v>
      </c>
      <c r="CE235" s="207">
        <f t="shared" si="104"/>
        <v>252</v>
      </c>
    </row>
    <row r="236" spans="1:83" ht="12" customHeight="1" x14ac:dyDescent="0.2">
      <c r="A236" s="6">
        <v>7</v>
      </c>
      <c r="B236" s="49" t="str">
        <f t="shared" si="113"/>
        <v>Cespedes Pasion Jean FrancoGESTION DE PROYECTOS</v>
      </c>
      <c r="C236" s="117" t="str">
        <f t="shared" si="115"/>
        <v>Cespedes Pasion Jean Franco</v>
      </c>
      <c r="D236" s="49" t="str">
        <f>VLOOKUP(C236,Datos!$B$13:$C$83,2,0)</f>
        <v>VIGENTE</v>
      </c>
      <c r="E236" s="49" t="s">
        <v>967</v>
      </c>
      <c r="F236" s="49"/>
      <c r="G236" s="49" t="str">
        <f>IFERROR(VLOOKUP(H236,Datos!$J$2:$L$60,3,0),"OBSERVACIONES")</f>
        <v>OBSERVACIONES</v>
      </c>
      <c r="H236" s="49" t="s">
        <v>967</v>
      </c>
      <c r="I236" s="49" t="s">
        <v>968</v>
      </c>
      <c r="J236" s="119" t="s">
        <v>442</v>
      </c>
      <c r="K236" s="16">
        <v>0</v>
      </c>
      <c r="L236" s="16">
        <v>0</v>
      </c>
      <c r="M236" s="16">
        <v>0</v>
      </c>
      <c r="N236" s="16">
        <v>0</v>
      </c>
      <c r="O236" s="16">
        <v>0</v>
      </c>
      <c r="P236" s="16">
        <v>0</v>
      </c>
      <c r="Q236" s="16">
        <v>0</v>
      </c>
      <c r="R236" s="16">
        <v>0</v>
      </c>
      <c r="S236" s="16">
        <v>0</v>
      </c>
      <c r="T236" s="16">
        <v>0</v>
      </c>
      <c r="U236" s="16">
        <v>0</v>
      </c>
      <c r="V236" s="16">
        <v>0</v>
      </c>
      <c r="W236" s="16">
        <v>0</v>
      </c>
      <c r="X236" s="16">
        <v>0</v>
      </c>
      <c r="Y236" s="16">
        <v>0</v>
      </c>
      <c r="Z236" s="16">
        <v>0</v>
      </c>
      <c r="AA236" s="16">
        <v>0</v>
      </c>
      <c r="AB236" s="16">
        <v>0</v>
      </c>
      <c r="AC236" s="16">
        <v>0</v>
      </c>
      <c r="AD236" s="16">
        <v>0</v>
      </c>
      <c r="AE236" s="16">
        <v>0</v>
      </c>
      <c r="AF236" s="16">
        <v>0</v>
      </c>
      <c r="AG236" s="16">
        <v>0</v>
      </c>
      <c r="AH236" s="16">
        <v>0</v>
      </c>
      <c r="AI236" s="16">
        <v>0</v>
      </c>
      <c r="AJ236" s="16">
        <v>0</v>
      </c>
      <c r="AK236" s="16">
        <v>0</v>
      </c>
      <c r="AL236" s="16">
        <v>0</v>
      </c>
      <c r="AM236" s="16">
        <v>0</v>
      </c>
      <c r="AN236" s="16">
        <v>40</v>
      </c>
      <c r="AO236" s="16">
        <v>40</v>
      </c>
      <c r="AP236" s="16">
        <v>40</v>
      </c>
      <c r="AQ236" s="16">
        <v>32</v>
      </c>
      <c r="AR236" s="16">
        <v>0</v>
      </c>
      <c r="AS236" s="16">
        <v>8</v>
      </c>
      <c r="AT236" s="16">
        <v>32</v>
      </c>
      <c r="AU236" s="16">
        <v>40</v>
      </c>
      <c r="AV236" s="16">
        <v>40</v>
      </c>
      <c r="AW236" s="16">
        <v>40</v>
      </c>
      <c r="AX236" s="16">
        <v>24</v>
      </c>
      <c r="AY236" s="16">
        <v>8</v>
      </c>
      <c r="AZ236" s="16">
        <v>40</v>
      </c>
      <c r="BA236" s="16">
        <v>40</v>
      </c>
      <c r="BB236" s="16">
        <v>40</v>
      </c>
      <c r="BC236" s="16">
        <v>40</v>
      </c>
      <c r="BD236" s="16">
        <v>40</v>
      </c>
      <c r="BE236" s="16">
        <v>0</v>
      </c>
      <c r="BF236" s="16">
        <v>0</v>
      </c>
      <c r="BG236" s="16">
        <v>0</v>
      </c>
      <c r="BH236" s="16">
        <v>0</v>
      </c>
      <c r="BI236" s="16">
        <v>0</v>
      </c>
      <c r="BJ236" s="16">
        <v>0</v>
      </c>
      <c r="BK236" s="16">
        <v>0</v>
      </c>
      <c r="BL236" s="16">
        <v>0</v>
      </c>
      <c r="BM236" s="16">
        <v>0</v>
      </c>
      <c r="BN236" s="16">
        <v>0</v>
      </c>
      <c r="BO236" s="16">
        <v>0</v>
      </c>
      <c r="BP236" s="16">
        <v>0</v>
      </c>
      <c r="BQ236" s="16">
        <v>0</v>
      </c>
      <c r="BR236" s="16">
        <v>0</v>
      </c>
      <c r="BS236" s="207">
        <f t="shared" si="93"/>
        <v>0</v>
      </c>
      <c r="BT236" s="207">
        <f t="shared" si="94"/>
        <v>0</v>
      </c>
      <c r="BU236" s="207">
        <f t="shared" si="95"/>
        <v>0</v>
      </c>
      <c r="BV236" s="207">
        <f t="shared" ref="BV236:BW240" si="118">SUM(Z236:AC236)</f>
        <v>0</v>
      </c>
      <c r="BW236" s="207">
        <f t="shared" si="96"/>
        <v>0</v>
      </c>
      <c r="BX236" s="207">
        <f t="shared" si="97"/>
        <v>0</v>
      </c>
      <c r="BY236" s="207">
        <f>SUM(AN236:AS236)</f>
        <v>160</v>
      </c>
      <c r="BZ236" s="207">
        <f t="shared" si="99"/>
        <v>176</v>
      </c>
      <c r="CA236" s="207">
        <f t="shared" si="100"/>
        <v>168</v>
      </c>
      <c r="CB236" s="207">
        <f t="shared" si="101"/>
        <v>40</v>
      </c>
      <c r="CC236" s="207">
        <f t="shared" si="102"/>
        <v>0</v>
      </c>
      <c r="CD236" s="207">
        <f t="shared" si="103"/>
        <v>0</v>
      </c>
      <c r="CE236" s="207">
        <f>SUM(BS236:CD236)</f>
        <v>544</v>
      </c>
    </row>
    <row r="237" spans="1:83" ht="12" customHeight="1" x14ac:dyDescent="0.2">
      <c r="A237" s="6">
        <v>4</v>
      </c>
      <c r="B237" s="49" t="str">
        <f t="shared" si="113"/>
        <v>Trujillo Mochcco AlexVACACIONES</v>
      </c>
      <c r="C237" s="117" t="str">
        <f t="shared" si="115"/>
        <v>Trujillo Mochcco Alex</v>
      </c>
      <c r="D237" s="49" t="str">
        <f>VLOOKUP(C237,Datos!$B$13:$C$83,2,0)</f>
        <v>CESADO</v>
      </c>
      <c r="E237" s="49" t="s">
        <v>209</v>
      </c>
      <c r="F237" s="49"/>
      <c r="G237" s="49" t="str">
        <f>IFERROR(VLOOKUP(H237,Datos!$J$2:$L$60,3,0),"OBSERVACIONES")</f>
        <v>OBSERVACIONES</v>
      </c>
      <c r="H237" s="49" t="s">
        <v>209</v>
      </c>
      <c r="I237" s="49" t="s">
        <v>243</v>
      </c>
      <c r="J237" s="119" t="s">
        <v>426</v>
      </c>
      <c r="K237" s="16">
        <v>40</v>
      </c>
      <c r="L237" s="16">
        <v>0</v>
      </c>
      <c r="M237" s="16">
        <v>0</v>
      </c>
      <c r="N237" s="16">
        <v>0</v>
      </c>
      <c r="O237" s="16">
        <v>0</v>
      </c>
      <c r="P237" s="16">
        <v>0</v>
      </c>
      <c r="Q237" s="16">
        <v>0</v>
      </c>
      <c r="R237" s="16">
        <v>0</v>
      </c>
      <c r="S237" s="16">
        <v>0</v>
      </c>
      <c r="T237" s="16">
        <v>0</v>
      </c>
      <c r="U237" s="16">
        <v>0</v>
      </c>
      <c r="V237" s="16">
        <v>0</v>
      </c>
      <c r="W237" s="16">
        <v>0</v>
      </c>
      <c r="X237" s="16">
        <v>0</v>
      </c>
      <c r="Y237" s="16">
        <v>0</v>
      </c>
      <c r="Z237" s="16">
        <v>0</v>
      </c>
      <c r="AA237" s="16">
        <v>0</v>
      </c>
      <c r="AB237" s="16">
        <v>0</v>
      </c>
      <c r="AC237" s="16">
        <v>0</v>
      </c>
      <c r="AD237" s="16">
        <v>0</v>
      </c>
      <c r="AE237" s="16">
        <v>0</v>
      </c>
      <c r="AF237" s="16">
        <v>0</v>
      </c>
      <c r="AG237" s="16">
        <v>0</v>
      </c>
      <c r="AH237" s="16">
        <v>0</v>
      </c>
      <c r="AI237" s="16">
        <v>0</v>
      </c>
      <c r="AJ237" s="16">
        <v>0</v>
      </c>
      <c r="AK237" s="16">
        <v>0</v>
      </c>
      <c r="AL237" s="16">
        <v>0</v>
      </c>
      <c r="AM237" s="16">
        <v>0</v>
      </c>
      <c r="AN237" s="16">
        <v>0</v>
      </c>
      <c r="AO237" s="16">
        <v>0</v>
      </c>
      <c r="AP237" s="16">
        <v>0</v>
      </c>
      <c r="AQ237" s="16">
        <v>0</v>
      </c>
      <c r="AR237" s="16">
        <v>0</v>
      </c>
      <c r="AS237" s="16">
        <v>0</v>
      </c>
      <c r="AT237" s="16">
        <v>0</v>
      </c>
      <c r="AU237" s="16">
        <v>0</v>
      </c>
      <c r="AV237" s="16">
        <v>0</v>
      </c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0</v>
      </c>
      <c r="BD237" s="16">
        <v>0</v>
      </c>
      <c r="BE237" s="16">
        <v>0</v>
      </c>
      <c r="BF237" s="16">
        <v>0</v>
      </c>
      <c r="BG237" s="16">
        <v>0</v>
      </c>
      <c r="BH237" s="16">
        <v>0</v>
      </c>
      <c r="BI237" s="16">
        <v>0</v>
      </c>
      <c r="BJ237" s="16">
        <v>0</v>
      </c>
      <c r="BK237" s="16">
        <v>0</v>
      </c>
      <c r="BL237" s="16">
        <v>0</v>
      </c>
      <c r="BM237" s="16">
        <v>0</v>
      </c>
      <c r="BN237" s="16">
        <v>0</v>
      </c>
      <c r="BO237" s="16">
        <v>0</v>
      </c>
      <c r="BP237" s="16">
        <v>0</v>
      </c>
      <c r="BQ237" s="16">
        <v>0</v>
      </c>
      <c r="BR237" s="16">
        <v>0</v>
      </c>
      <c r="BS237" s="207">
        <f t="shared" si="93"/>
        <v>40</v>
      </c>
      <c r="BT237" s="207">
        <f t="shared" si="94"/>
        <v>0</v>
      </c>
      <c r="BU237" s="207">
        <f t="shared" si="95"/>
        <v>0</v>
      </c>
      <c r="BV237" s="207">
        <f t="shared" si="118"/>
        <v>0</v>
      </c>
      <c r="BW237" s="207">
        <f t="shared" si="118"/>
        <v>0</v>
      </c>
      <c r="BX237" s="207">
        <f t="shared" si="97"/>
        <v>0</v>
      </c>
      <c r="BY237" s="207">
        <f>SUM(AN237:AS237)</f>
        <v>0</v>
      </c>
      <c r="BZ237" s="207">
        <f t="shared" si="99"/>
        <v>0</v>
      </c>
      <c r="CA237" s="207">
        <f t="shared" si="100"/>
        <v>0</v>
      </c>
      <c r="CB237" s="207">
        <f t="shared" si="101"/>
        <v>0</v>
      </c>
      <c r="CC237" s="207">
        <f t="shared" si="102"/>
        <v>0</v>
      </c>
      <c r="CD237" s="207">
        <f t="shared" si="103"/>
        <v>0</v>
      </c>
      <c r="CE237" s="207">
        <f t="shared" si="104"/>
        <v>40</v>
      </c>
    </row>
    <row r="238" spans="1:83" ht="12" customHeight="1" x14ac:dyDescent="0.2">
      <c r="A238" s="6">
        <v>3</v>
      </c>
      <c r="B238" s="49" t="str">
        <f t="shared" ref="B238" si="119">C238&amp;H238</f>
        <v>La Rosa WilfredoMP004</v>
      </c>
      <c r="C238" s="117" t="str">
        <f t="shared" ref="C238" si="120">J238</f>
        <v>La Rosa Wilfredo</v>
      </c>
      <c r="D238" s="49" t="str">
        <f>VLOOKUP(C238,Datos!$B$13:$C$90,2,0)</f>
        <v>VIGENTE</v>
      </c>
      <c r="E238" s="49" t="s">
        <v>44</v>
      </c>
      <c r="F238" s="49" t="str">
        <f>IFERROR(VLOOKUP(H238,Datos!$J$2:$L$60,3,0),"OBSERVACIONES")</f>
        <v>PROCESO</v>
      </c>
      <c r="G238" s="49"/>
      <c r="H238" s="49" t="s">
        <v>42</v>
      </c>
      <c r="I238" s="49" t="s">
        <v>304</v>
      </c>
      <c r="J238" s="119" t="s">
        <v>980</v>
      </c>
      <c r="K238" s="16">
        <v>0</v>
      </c>
      <c r="L238" s="16">
        <v>0</v>
      </c>
      <c r="M238" s="16">
        <v>0</v>
      </c>
      <c r="N238" s="16">
        <v>0</v>
      </c>
      <c r="O238" s="16">
        <v>0</v>
      </c>
      <c r="P238" s="16">
        <v>0</v>
      </c>
      <c r="Q238" s="16">
        <v>0</v>
      </c>
      <c r="R238" s="16">
        <v>0</v>
      </c>
      <c r="S238" s="16">
        <v>0</v>
      </c>
      <c r="T238" s="16">
        <v>0</v>
      </c>
      <c r="U238" s="16">
        <v>0</v>
      </c>
      <c r="V238" s="16">
        <v>0</v>
      </c>
      <c r="W238" s="16">
        <v>0</v>
      </c>
      <c r="X238" s="16">
        <v>0</v>
      </c>
      <c r="Y238" s="16">
        <v>0</v>
      </c>
      <c r="Z238" s="16">
        <v>0</v>
      </c>
      <c r="AA238" s="16">
        <v>0</v>
      </c>
      <c r="AB238" s="16">
        <v>0</v>
      </c>
      <c r="AC238" s="16">
        <v>0</v>
      </c>
      <c r="AD238" s="16">
        <v>0</v>
      </c>
      <c r="AE238" s="16">
        <v>0</v>
      </c>
      <c r="AF238" s="16">
        <v>0</v>
      </c>
      <c r="AG238" s="16">
        <v>0</v>
      </c>
      <c r="AH238" s="16">
        <v>0</v>
      </c>
      <c r="AI238" s="16">
        <v>0</v>
      </c>
      <c r="AJ238" s="16">
        <v>0</v>
      </c>
      <c r="AK238" s="16">
        <v>0</v>
      </c>
      <c r="AL238" s="16">
        <v>0</v>
      </c>
      <c r="AM238" s="16">
        <v>0</v>
      </c>
      <c r="AN238" s="16">
        <v>0</v>
      </c>
      <c r="AO238" s="16">
        <v>0</v>
      </c>
      <c r="AP238" s="16">
        <v>0</v>
      </c>
      <c r="AQ238" s="16">
        <v>0</v>
      </c>
      <c r="AR238" s="16">
        <v>0</v>
      </c>
      <c r="AS238" s="16">
        <v>0</v>
      </c>
      <c r="AT238" s="16">
        <v>0</v>
      </c>
      <c r="AU238" s="16">
        <v>0</v>
      </c>
      <c r="AV238" s="16">
        <v>0</v>
      </c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24</v>
      </c>
      <c r="BD238" s="16">
        <v>40</v>
      </c>
      <c r="BE238" s="16">
        <v>0</v>
      </c>
      <c r="BF238" s="16">
        <v>0</v>
      </c>
      <c r="BG238" s="16">
        <v>0</v>
      </c>
      <c r="BH238" s="16">
        <v>0</v>
      </c>
      <c r="BI238" s="16">
        <v>0</v>
      </c>
      <c r="BJ238" s="16">
        <v>0</v>
      </c>
      <c r="BK238" s="16">
        <v>0</v>
      </c>
      <c r="BL238" s="16">
        <v>0</v>
      </c>
      <c r="BM238" s="16">
        <v>0</v>
      </c>
      <c r="BN238" s="16">
        <v>0</v>
      </c>
      <c r="BO238" s="16">
        <v>0</v>
      </c>
      <c r="BP238" s="16">
        <v>0</v>
      </c>
      <c r="BQ238" s="16">
        <v>0</v>
      </c>
      <c r="BR238" s="16">
        <v>0</v>
      </c>
      <c r="BS238" s="207">
        <f t="shared" si="93"/>
        <v>0</v>
      </c>
      <c r="BT238" s="207">
        <f t="shared" si="94"/>
        <v>0</v>
      </c>
      <c r="BU238" s="207">
        <f t="shared" si="95"/>
        <v>0</v>
      </c>
      <c r="BV238" s="207">
        <f t="shared" si="118"/>
        <v>0</v>
      </c>
      <c r="BW238" s="207">
        <f t="shared" si="118"/>
        <v>0</v>
      </c>
      <c r="BX238" s="207">
        <f t="shared" si="97"/>
        <v>0</v>
      </c>
      <c r="BY238" s="207">
        <f t="shared" si="98"/>
        <v>0</v>
      </c>
      <c r="BZ238" s="207">
        <f t="shared" si="99"/>
        <v>0</v>
      </c>
      <c r="CA238" s="207">
        <f t="shared" si="100"/>
        <v>24</v>
      </c>
      <c r="CB238" s="207">
        <f t="shared" si="101"/>
        <v>40</v>
      </c>
      <c r="CC238" s="207">
        <f t="shared" si="102"/>
        <v>0</v>
      </c>
      <c r="CD238" s="207">
        <f t="shared" si="103"/>
        <v>0</v>
      </c>
      <c r="CE238" s="207">
        <f t="shared" si="104"/>
        <v>64</v>
      </c>
    </row>
    <row r="239" spans="1:83" ht="12" customHeight="1" x14ac:dyDescent="0.2">
      <c r="A239" s="6">
        <v>3</v>
      </c>
      <c r="B239" s="49" t="str">
        <f t="shared" si="113"/>
        <v>Trujillo Mochcco AlexMP004</v>
      </c>
      <c r="C239" s="117" t="str">
        <f t="shared" si="115"/>
        <v>Trujillo Mochcco Alex</v>
      </c>
      <c r="D239" s="49" t="str">
        <f>VLOOKUP(C239,Datos!$B$13:$C$83,2,0)</f>
        <v>CESADO</v>
      </c>
      <c r="E239" s="49" t="s">
        <v>44</v>
      </c>
      <c r="F239" s="49" t="str">
        <f>IFERROR(VLOOKUP(H239,Datos!$J$2:$L$60,3,0),"OBSERVACIONES")</f>
        <v>PROCESO</v>
      </c>
      <c r="G239" s="49"/>
      <c r="H239" s="49" t="s">
        <v>42</v>
      </c>
      <c r="I239" s="49" t="s">
        <v>304</v>
      </c>
      <c r="J239" s="119" t="s">
        <v>426</v>
      </c>
      <c r="K239" s="16">
        <v>0</v>
      </c>
      <c r="L239" s="16">
        <v>40</v>
      </c>
      <c r="M239" s="16">
        <v>40</v>
      </c>
      <c r="N239" s="16">
        <v>40</v>
      </c>
      <c r="O239" s="16">
        <v>16</v>
      </c>
      <c r="P239" s="16">
        <v>0</v>
      </c>
      <c r="Q239" s="16">
        <v>0</v>
      </c>
      <c r="R239" s="16">
        <v>0</v>
      </c>
      <c r="S239" s="16">
        <v>0</v>
      </c>
      <c r="T239" s="16">
        <v>0</v>
      </c>
      <c r="U239" s="16">
        <v>0</v>
      </c>
      <c r="V239" s="16">
        <v>0</v>
      </c>
      <c r="W239" s="16">
        <v>0</v>
      </c>
      <c r="X239" s="16">
        <v>0</v>
      </c>
      <c r="Y239" s="16">
        <v>0</v>
      </c>
      <c r="Z239" s="16">
        <v>0</v>
      </c>
      <c r="AA239" s="16">
        <v>0</v>
      </c>
      <c r="AB239" s="16">
        <v>0</v>
      </c>
      <c r="AC239" s="16">
        <v>0</v>
      </c>
      <c r="AD239" s="16">
        <v>0</v>
      </c>
      <c r="AE239" s="16">
        <v>0</v>
      </c>
      <c r="AF239" s="16">
        <v>0</v>
      </c>
      <c r="AG239" s="16">
        <v>0</v>
      </c>
      <c r="AH239" s="16">
        <v>0</v>
      </c>
      <c r="AI239" s="16">
        <v>0</v>
      </c>
      <c r="AJ239" s="16">
        <v>0</v>
      </c>
      <c r="AK239" s="16">
        <v>0</v>
      </c>
      <c r="AL239" s="16">
        <v>0</v>
      </c>
      <c r="AM239" s="16">
        <v>0</v>
      </c>
      <c r="AN239" s="16">
        <v>0</v>
      </c>
      <c r="AO239" s="16">
        <v>0</v>
      </c>
      <c r="AP239" s="16">
        <v>0</v>
      </c>
      <c r="AQ239" s="16">
        <v>0</v>
      </c>
      <c r="AR239" s="16">
        <v>0</v>
      </c>
      <c r="AS239" s="16">
        <v>0</v>
      </c>
      <c r="AT239" s="16">
        <v>0</v>
      </c>
      <c r="AU239" s="16">
        <v>0</v>
      </c>
      <c r="AV239" s="16">
        <v>0</v>
      </c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0</v>
      </c>
      <c r="BD239" s="16">
        <v>0</v>
      </c>
      <c r="BE239" s="16">
        <v>0</v>
      </c>
      <c r="BF239" s="16">
        <v>0</v>
      </c>
      <c r="BG239" s="16">
        <v>0</v>
      </c>
      <c r="BH239" s="16">
        <v>0</v>
      </c>
      <c r="BI239" s="16">
        <v>0</v>
      </c>
      <c r="BJ239" s="16">
        <v>0</v>
      </c>
      <c r="BK239" s="16">
        <v>0</v>
      </c>
      <c r="BL239" s="16">
        <v>0</v>
      </c>
      <c r="BM239" s="16">
        <v>0</v>
      </c>
      <c r="BN239" s="16">
        <v>0</v>
      </c>
      <c r="BO239" s="16">
        <v>0</v>
      </c>
      <c r="BP239" s="16">
        <v>0</v>
      </c>
      <c r="BQ239" s="16">
        <v>0</v>
      </c>
      <c r="BR239" s="16">
        <v>0</v>
      </c>
      <c r="BS239" s="207">
        <f t="shared" si="93"/>
        <v>136</v>
      </c>
      <c r="BT239" s="207">
        <f t="shared" si="94"/>
        <v>0</v>
      </c>
      <c r="BU239" s="207">
        <f t="shared" si="95"/>
        <v>0</v>
      </c>
      <c r="BV239" s="207">
        <f t="shared" si="118"/>
        <v>0</v>
      </c>
      <c r="BW239" s="207">
        <f t="shared" si="118"/>
        <v>0</v>
      </c>
      <c r="BX239" s="207">
        <f t="shared" si="97"/>
        <v>0</v>
      </c>
      <c r="BY239" s="207">
        <f t="shared" si="98"/>
        <v>0</v>
      </c>
      <c r="BZ239" s="207">
        <f t="shared" si="99"/>
        <v>0</v>
      </c>
      <c r="CA239" s="207">
        <f t="shared" si="100"/>
        <v>0</v>
      </c>
      <c r="CB239" s="207">
        <f t="shared" si="101"/>
        <v>0</v>
      </c>
      <c r="CC239" s="207">
        <f t="shared" si="102"/>
        <v>0</v>
      </c>
      <c r="CD239" s="207">
        <f t="shared" si="103"/>
        <v>0</v>
      </c>
      <c r="CE239" s="207">
        <f t="shared" si="104"/>
        <v>136</v>
      </c>
    </row>
    <row r="240" spans="1:83" ht="12" customHeight="1" x14ac:dyDescent="0.2">
      <c r="A240" s="6">
        <v>5</v>
      </c>
      <c r="B240" s="49" t="str">
        <f t="shared" ref="B240" si="121">C240&amp;H240</f>
        <v>Cespedes Levano Edwin IsraelINASISTENCIAS</v>
      </c>
      <c r="C240" s="117" t="str">
        <f t="shared" si="115"/>
        <v>Cespedes Levano Edwin Israel</v>
      </c>
      <c r="D240" s="49" t="str">
        <f>VLOOKUP(C240,Datos!$B$13:$C$83,2,0)</f>
        <v>VIGENTE</v>
      </c>
      <c r="E240" s="50" t="s">
        <v>208</v>
      </c>
      <c r="F240" s="49"/>
      <c r="G240" s="49" t="str">
        <f>IFERROR(VLOOKUP(H240,Datos!$J$2:$L$60,3,0),"OBSERVACIONES")</f>
        <v>OBSERVACIONES</v>
      </c>
      <c r="H240" s="50" t="s">
        <v>208</v>
      </c>
      <c r="I240" s="49" t="s">
        <v>210</v>
      </c>
      <c r="J240" s="119" t="s">
        <v>195</v>
      </c>
      <c r="K240" s="16">
        <v>0</v>
      </c>
      <c r="L240" s="16">
        <v>0</v>
      </c>
      <c r="M240" s="16">
        <v>0</v>
      </c>
      <c r="N240" s="16">
        <v>0</v>
      </c>
      <c r="O240" s="16">
        <v>0</v>
      </c>
      <c r="P240" s="16">
        <v>0</v>
      </c>
      <c r="Q240" s="16">
        <v>0</v>
      </c>
      <c r="R240" s="16">
        <v>0</v>
      </c>
      <c r="S240" s="16">
        <v>0</v>
      </c>
      <c r="T240" s="16">
        <v>0</v>
      </c>
      <c r="U240" s="16">
        <v>0</v>
      </c>
      <c r="V240" s="16">
        <v>0</v>
      </c>
      <c r="W240" s="16">
        <v>0</v>
      </c>
      <c r="X240" s="16">
        <v>0</v>
      </c>
      <c r="Y240" s="16">
        <v>0</v>
      </c>
      <c r="Z240" s="16">
        <v>0</v>
      </c>
      <c r="AA240" s="16">
        <v>0</v>
      </c>
      <c r="AB240" s="16">
        <v>0</v>
      </c>
      <c r="AC240" s="16">
        <v>0</v>
      </c>
      <c r="AD240" s="16">
        <v>0</v>
      </c>
      <c r="AE240" s="16">
        <v>0</v>
      </c>
      <c r="AF240" s="16">
        <v>0</v>
      </c>
      <c r="AG240" s="16">
        <v>0</v>
      </c>
      <c r="AH240" s="16">
        <v>0</v>
      </c>
      <c r="AI240" s="16">
        <v>0</v>
      </c>
      <c r="AJ240" s="16">
        <v>0</v>
      </c>
      <c r="AK240" s="16">
        <v>0</v>
      </c>
      <c r="AL240" s="16">
        <v>0</v>
      </c>
      <c r="AM240" s="16">
        <v>0</v>
      </c>
      <c r="AN240" s="16">
        <v>0</v>
      </c>
      <c r="AO240" s="16">
        <v>0</v>
      </c>
      <c r="AP240" s="16">
        <v>0</v>
      </c>
      <c r="AQ240" s="16">
        <v>0</v>
      </c>
      <c r="AR240" s="16">
        <v>0</v>
      </c>
      <c r="AS240" s="16">
        <v>0</v>
      </c>
      <c r="AT240" s="16">
        <v>0</v>
      </c>
      <c r="AU240" s="16">
        <v>0</v>
      </c>
      <c r="AV240" s="16">
        <v>0</v>
      </c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0</v>
      </c>
      <c r="BD240" s="16">
        <v>40</v>
      </c>
      <c r="BE240" s="16">
        <v>0</v>
      </c>
      <c r="BF240" s="16">
        <v>0</v>
      </c>
      <c r="BG240" s="16">
        <v>0</v>
      </c>
      <c r="BH240" s="16">
        <v>0</v>
      </c>
      <c r="BI240" s="16">
        <v>0</v>
      </c>
      <c r="BJ240" s="16">
        <v>0</v>
      </c>
      <c r="BK240" s="16">
        <v>0</v>
      </c>
      <c r="BL240" s="16">
        <v>0</v>
      </c>
      <c r="BM240" s="16">
        <v>0</v>
      </c>
      <c r="BN240" s="16">
        <v>0</v>
      </c>
      <c r="BO240" s="16">
        <v>0</v>
      </c>
      <c r="BP240" s="16">
        <v>0</v>
      </c>
      <c r="BQ240" s="16">
        <v>0</v>
      </c>
      <c r="BR240" s="16">
        <v>0</v>
      </c>
      <c r="BS240" s="207">
        <f t="shared" si="93"/>
        <v>0</v>
      </c>
      <c r="BT240" s="207">
        <f t="shared" si="94"/>
        <v>0</v>
      </c>
      <c r="BU240" s="207">
        <f t="shared" si="95"/>
        <v>0</v>
      </c>
      <c r="BV240" s="207">
        <f t="shared" si="118"/>
        <v>0</v>
      </c>
      <c r="BW240" s="207">
        <f t="shared" ref="BW240" si="122">SUM(AD240:AH240)</f>
        <v>0</v>
      </c>
      <c r="BX240" s="207">
        <f t="shared" si="97"/>
        <v>0</v>
      </c>
      <c r="BY240" s="207">
        <f t="shared" si="98"/>
        <v>0</v>
      </c>
      <c r="BZ240" s="207">
        <f t="shared" si="99"/>
        <v>0</v>
      </c>
      <c r="CA240" s="207">
        <f t="shared" si="100"/>
        <v>0</v>
      </c>
      <c r="CB240" s="207">
        <f t="shared" si="101"/>
        <v>40</v>
      </c>
      <c r="CC240" s="207">
        <f t="shared" si="102"/>
        <v>0</v>
      </c>
      <c r="CD240" s="207">
        <f t="shared" si="103"/>
        <v>0</v>
      </c>
      <c r="CE240" s="207">
        <f t="shared" si="104"/>
        <v>40</v>
      </c>
    </row>
    <row r="241" spans="1:83" ht="12" customHeight="1" x14ac:dyDescent="0.2">
      <c r="A241" s="6">
        <v>3</v>
      </c>
      <c r="B241" s="49" t="str">
        <f t="shared" si="113"/>
        <v>Cespedes Levano Edwin IsraelMP007</v>
      </c>
      <c r="C241" s="117" t="str">
        <f t="shared" si="105"/>
        <v>Cespedes Levano Edwin Israel</v>
      </c>
      <c r="D241" s="49" t="str">
        <f>VLOOKUP(C241,Datos!$B$13:$C$83,2,0)</f>
        <v>VIGENTE</v>
      </c>
      <c r="E241" s="49" t="s">
        <v>50</v>
      </c>
      <c r="F241" s="49" t="str">
        <f>IFERROR(VLOOKUP(H241,Datos!$J$2:$L$60,3,0),"OBSERVACIONES")</f>
        <v>PROCESO</v>
      </c>
      <c r="G241" s="49"/>
      <c r="H241" s="49" t="s">
        <v>930</v>
      </c>
      <c r="I241" s="49" t="s">
        <v>409</v>
      </c>
      <c r="J241" s="119" t="s">
        <v>195</v>
      </c>
      <c r="K241" s="16">
        <v>0</v>
      </c>
      <c r="L241" s="16">
        <v>0</v>
      </c>
      <c r="M241" s="16">
        <v>0</v>
      </c>
      <c r="N241" s="16">
        <v>0</v>
      </c>
      <c r="O241" s="16">
        <v>0</v>
      </c>
      <c r="P241" s="16">
        <v>0</v>
      </c>
      <c r="Q241" s="16">
        <v>0</v>
      </c>
      <c r="R241" s="16">
        <v>0</v>
      </c>
      <c r="S241" s="16">
        <v>0</v>
      </c>
      <c r="T241" s="16">
        <v>0</v>
      </c>
      <c r="U241" s="16">
        <v>0</v>
      </c>
      <c r="V241" s="16">
        <v>0</v>
      </c>
      <c r="W241" s="16">
        <v>0</v>
      </c>
      <c r="X241" s="16">
        <v>0</v>
      </c>
      <c r="Y241" s="16">
        <v>0</v>
      </c>
      <c r="Z241" s="16">
        <v>0</v>
      </c>
      <c r="AA241" s="16">
        <v>0</v>
      </c>
      <c r="AB241" s="16">
        <v>0</v>
      </c>
      <c r="AC241" s="16">
        <v>0</v>
      </c>
      <c r="AD241" s="16">
        <v>0</v>
      </c>
      <c r="AE241" s="16">
        <v>0</v>
      </c>
      <c r="AF241" s="16">
        <v>32</v>
      </c>
      <c r="AG241" s="16">
        <v>40</v>
      </c>
      <c r="AH241" s="16">
        <v>24</v>
      </c>
      <c r="AI241" s="16">
        <v>16</v>
      </c>
      <c r="AJ241" s="16">
        <v>40</v>
      </c>
      <c r="AK241" s="16">
        <v>40</v>
      </c>
      <c r="AL241" s="16">
        <v>40</v>
      </c>
      <c r="AM241" s="16">
        <v>32</v>
      </c>
      <c r="AN241" s="16">
        <v>40</v>
      </c>
      <c r="AO241" s="16">
        <v>40</v>
      </c>
      <c r="AP241" s="16">
        <v>40</v>
      </c>
      <c r="AQ241" s="16">
        <v>32</v>
      </c>
      <c r="AR241" s="16">
        <v>0</v>
      </c>
      <c r="AS241" s="16">
        <v>8</v>
      </c>
      <c r="AT241" s="16">
        <v>32</v>
      </c>
      <c r="AU241" s="16">
        <v>40</v>
      </c>
      <c r="AV241" s="16">
        <v>40</v>
      </c>
      <c r="AW241" s="16">
        <v>40</v>
      </c>
      <c r="AX241" s="16">
        <v>24</v>
      </c>
      <c r="AY241" s="16">
        <v>8</v>
      </c>
      <c r="AZ241" s="16">
        <v>40</v>
      </c>
      <c r="BA241" s="16">
        <v>40</v>
      </c>
      <c r="BB241" s="16">
        <v>40</v>
      </c>
      <c r="BC241" s="16">
        <v>40</v>
      </c>
      <c r="BD241" s="16">
        <v>0</v>
      </c>
      <c r="BE241" s="16">
        <v>0</v>
      </c>
      <c r="BF241" s="16">
        <v>0</v>
      </c>
      <c r="BG241" s="16">
        <v>0</v>
      </c>
      <c r="BH241" s="16">
        <v>0</v>
      </c>
      <c r="BI241" s="16">
        <v>0</v>
      </c>
      <c r="BJ241" s="16">
        <v>0</v>
      </c>
      <c r="BK241" s="16">
        <v>0</v>
      </c>
      <c r="BL241" s="16">
        <v>0</v>
      </c>
      <c r="BM241" s="16">
        <v>0</v>
      </c>
      <c r="BN241" s="16">
        <v>0</v>
      </c>
      <c r="BO241" s="16">
        <v>0</v>
      </c>
      <c r="BP241" s="16">
        <v>0</v>
      </c>
      <c r="BQ241" s="16">
        <v>0</v>
      </c>
      <c r="BR241" s="16">
        <v>0</v>
      </c>
      <c r="BS241" s="207">
        <f t="shared" si="93"/>
        <v>0</v>
      </c>
      <c r="BT241" s="207">
        <f t="shared" si="94"/>
        <v>0</v>
      </c>
      <c r="BU241" s="207">
        <f t="shared" si="95"/>
        <v>0</v>
      </c>
      <c r="BV241" s="207">
        <f t="shared" si="106"/>
        <v>0</v>
      </c>
      <c r="BW241" s="207">
        <f>SUM(AD241:AH241)</f>
        <v>96</v>
      </c>
      <c r="BX241" s="207">
        <f t="shared" si="97"/>
        <v>168</v>
      </c>
      <c r="BY241" s="207">
        <f t="shared" si="98"/>
        <v>160</v>
      </c>
      <c r="BZ241" s="207">
        <f t="shared" si="99"/>
        <v>176</v>
      </c>
      <c r="CA241" s="207">
        <f t="shared" si="100"/>
        <v>168</v>
      </c>
      <c r="CB241" s="207">
        <f t="shared" si="101"/>
        <v>0</v>
      </c>
      <c r="CC241" s="207">
        <f t="shared" si="102"/>
        <v>0</v>
      </c>
      <c r="CD241" s="207">
        <f t="shared" si="103"/>
        <v>0</v>
      </c>
      <c r="CE241" s="207">
        <f t="shared" si="104"/>
        <v>768</v>
      </c>
    </row>
    <row r="242" spans="1:83" ht="12" customHeight="1" x14ac:dyDescent="0.2">
      <c r="A242" s="6">
        <v>3</v>
      </c>
      <c r="B242" s="49" t="str">
        <f t="shared" si="113"/>
        <v>Somoza Francisco JavierP0013</v>
      </c>
      <c r="C242" s="117" t="str">
        <f>J242</f>
        <v>Somoza Francisco Javier</v>
      </c>
      <c r="D242" s="49" t="str">
        <f>VLOOKUP(C242,Datos!$B$13:$C$83,2,0)</f>
        <v>CESADO</v>
      </c>
      <c r="E242" s="49" t="s">
        <v>45</v>
      </c>
      <c r="F242" s="49" t="str">
        <f>IFERROR(VLOOKUP(H242,Datos!$J$2:$L$60,3,0),"OBSERVACIONES")</f>
        <v>CERRADO</v>
      </c>
      <c r="G242" s="49"/>
      <c r="H242" s="49" t="s">
        <v>51</v>
      </c>
      <c r="I242" s="49" t="s">
        <v>122</v>
      </c>
      <c r="J242" s="119" t="s">
        <v>200</v>
      </c>
      <c r="K242" s="16">
        <v>0</v>
      </c>
      <c r="L242" s="16">
        <v>0</v>
      </c>
      <c r="M242" s="16">
        <v>0</v>
      </c>
      <c r="N242" s="16">
        <v>0</v>
      </c>
      <c r="O242" s="16">
        <v>0</v>
      </c>
      <c r="P242" s="16">
        <v>0</v>
      </c>
      <c r="Q242" s="16">
        <v>0</v>
      </c>
      <c r="R242" s="16">
        <v>0</v>
      </c>
      <c r="S242" s="16">
        <v>0</v>
      </c>
      <c r="T242" s="16">
        <v>0</v>
      </c>
      <c r="U242" s="16">
        <v>0</v>
      </c>
      <c r="V242" s="16">
        <v>0</v>
      </c>
      <c r="W242" s="16">
        <v>0</v>
      </c>
      <c r="X242" s="16">
        <v>0</v>
      </c>
      <c r="Y242" s="16">
        <v>0</v>
      </c>
      <c r="Z242" s="16">
        <v>0</v>
      </c>
      <c r="AA242" s="16">
        <v>0</v>
      </c>
      <c r="AB242" s="16">
        <v>0</v>
      </c>
      <c r="AC242" s="16">
        <v>0</v>
      </c>
      <c r="AD242" s="16">
        <v>0</v>
      </c>
      <c r="AE242" s="16">
        <v>0</v>
      </c>
      <c r="AF242" s="16">
        <v>0</v>
      </c>
      <c r="AG242" s="16">
        <v>0</v>
      </c>
      <c r="AH242" s="16">
        <v>0</v>
      </c>
      <c r="AI242" s="16">
        <v>0</v>
      </c>
      <c r="AJ242" s="16">
        <v>8</v>
      </c>
      <c r="AK242" s="16">
        <v>40</v>
      </c>
      <c r="AL242" s="16">
        <v>40</v>
      </c>
      <c r="AM242" s="16">
        <v>32</v>
      </c>
      <c r="AN242" s="16">
        <v>0</v>
      </c>
      <c r="AO242" s="16">
        <v>0</v>
      </c>
      <c r="AP242" s="16">
        <v>0</v>
      </c>
      <c r="AQ242" s="16">
        <v>0</v>
      </c>
      <c r="AR242" s="16">
        <v>0</v>
      </c>
      <c r="AS242" s="16">
        <v>0</v>
      </c>
      <c r="AT242" s="16">
        <v>0</v>
      </c>
      <c r="AU242" s="16">
        <v>0</v>
      </c>
      <c r="AV242" s="16">
        <v>0</v>
      </c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0</v>
      </c>
      <c r="BD242" s="16">
        <v>0</v>
      </c>
      <c r="BE242" s="16">
        <v>0</v>
      </c>
      <c r="BF242" s="16">
        <v>0</v>
      </c>
      <c r="BG242" s="16">
        <v>0</v>
      </c>
      <c r="BH242" s="16">
        <v>0</v>
      </c>
      <c r="BI242" s="16">
        <v>0</v>
      </c>
      <c r="BJ242" s="16">
        <v>0</v>
      </c>
      <c r="BK242" s="16">
        <v>0</v>
      </c>
      <c r="BL242" s="16">
        <v>0</v>
      </c>
      <c r="BM242" s="16">
        <v>0</v>
      </c>
      <c r="BN242" s="16">
        <v>0</v>
      </c>
      <c r="BO242" s="16">
        <v>0</v>
      </c>
      <c r="BP242" s="16">
        <v>0</v>
      </c>
      <c r="BQ242" s="16">
        <v>0</v>
      </c>
      <c r="BR242" s="16">
        <v>0</v>
      </c>
      <c r="BS242" s="207">
        <f t="shared" si="93"/>
        <v>0</v>
      </c>
      <c r="BT242" s="207">
        <f t="shared" si="94"/>
        <v>0</v>
      </c>
      <c r="BU242" s="207">
        <f t="shared" si="95"/>
        <v>0</v>
      </c>
      <c r="BV242" s="207">
        <f t="shared" si="106"/>
        <v>0</v>
      </c>
      <c r="BW242" s="207">
        <f>SUM(AD242:AH242)</f>
        <v>0</v>
      </c>
      <c r="BX242" s="207">
        <f t="shared" si="97"/>
        <v>120</v>
      </c>
      <c r="BY242" s="207">
        <f t="shared" si="98"/>
        <v>0</v>
      </c>
      <c r="BZ242" s="207">
        <f t="shared" si="99"/>
        <v>0</v>
      </c>
      <c r="CA242" s="207">
        <f t="shared" si="100"/>
        <v>0</v>
      </c>
      <c r="CB242" s="207">
        <f t="shared" si="101"/>
        <v>0</v>
      </c>
      <c r="CC242" s="207">
        <f t="shared" si="102"/>
        <v>0</v>
      </c>
      <c r="CD242" s="207">
        <f t="shared" si="103"/>
        <v>0</v>
      </c>
      <c r="CE242" s="207">
        <f t="shared" si="104"/>
        <v>120</v>
      </c>
    </row>
    <row r="243" spans="1:83" ht="12" customHeight="1" x14ac:dyDescent="0.2">
      <c r="B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</row>
    <row r="244" spans="1:83" ht="12" customHeight="1" x14ac:dyDescent="0.2">
      <c r="B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</row>
    <row r="245" spans="1:83" ht="12" customHeight="1" x14ac:dyDescent="0.2">
      <c r="B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</row>
  </sheetData>
  <autoFilter ref="A7:AQ245"/>
  <conditionalFormatting sqref="Z101:AE101 Z102:AJ112 Z8:AQ9 Z130:AQ138 AK101:AM112 Z159:AQ159 Z91:AQ97 Z154:AQ154 Z25:AQ27 Z99:AQ100 AK49:AQ73 Z28:AA28 AF28:AQ28 Z35:AQ35 AB30:AQ34 Z113:AM114 AN101:BR114 L101:Y114 BS184:CE185 BS190:CE192 BV205 BS106:CE110 BS113:CE114 BS70:CE77 BS54:CE62 L90:M97 BS116:BY116 CE116 Z11:BQ19 BR8:BR19 BY187:BY189 BS69:CD69 BS197:BX197 BZ197:CE197 BZ195:CD196 BS134:CE149 L140:BR151 K140:K152 AB36:AQ42 W36:AA38 AF43:AQ48 L30:V48 AR30:BR73 W43:AE45 BS194:CE194 CE187:CE189 BS80:CE92 K115:BR128 BS117:CE132 K213:BR241 BW215:BY215 BZ215:CD230 CE215 BS215:BU215 BV215:BV221 Z20:BR22 L11:Y22 K11:K54 BS8:CE52 L155:BR158 V161:AV211 L159:U211 AW175:AW211 AX161:BR211 K154:K211 BV225:BV230 BS155:CE182 BS94:CE102 K56:K114 BS231:CE237 BS238:CD238 BS198:CE204 BS239:CE242 BS206:CE214">
    <cfRule type="cellIs" dxfId="1972" priority="460" operator="equal">
      <formula>0</formula>
    </cfRule>
  </conditionalFormatting>
  <conditionalFormatting sqref="AF101:AH101">
    <cfRule type="cellIs" dxfId="1971" priority="454" operator="equal">
      <formula>0</formula>
    </cfRule>
  </conditionalFormatting>
  <conditionalFormatting sqref="AI101">
    <cfRule type="cellIs" dxfId="1970" priority="453" operator="equal">
      <formula>0</formula>
    </cfRule>
  </conditionalFormatting>
  <conditionalFormatting sqref="AJ101">
    <cfRule type="cellIs" dxfId="1969" priority="452" operator="equal">
      <formula>0</formula>
    </cfRule>
  </conditionalFormatting>
  <conditionalFormatting sqref="Z212:AM212">
    <cfRule type="cellIs" dxfId="1968" priority="447" operator="equal">
      <formula>0</formula>
    </cfRule>
  </conditionalFormatting>
  <conditionalFormatting sqref="Z242:AM242">
    <cfRule type="cellIs" dxfId="1967" priority="443" operator="equal">
      <formula>0</formula>
    </cfRule>
  </conditionalFormatting>
  <conditionalFormatting sqref="AN212:AQ212">
    <cfRule type="cellIs" dxfId="1966" priority="441" operator="equal">
      <formula>0</formula>
    </cfRule>
  </conditionalFormatting>
  <conditionalFormatting sqref="AN242:AQ242">
    <cfRule type="cellIs" dxfId="1965" priority="440" operator="equal">
      <formula>0</formula>
    </cfRule>
  </conditionalFormatting>
  <conditionalFormatting sqref="Z129:AQ129">
    <cfRule type="cellIs" dxfId="1964" priority="437" operator="equal">
      <formula>0</formula>
    </cfRule>
  </conditionalFormatting>
  <conditionalFormatting sqref="Z139 AM139:AQ139">
    <cfRule type="cellIs" dxfId="1963" priority="436" operator="equal">
      <formula>0</formula>
    </cfRule>
  </conditionalFormatting>
  <conditionalFormatting sqref="AA139:AL139">
    <cfRule type="cellIs" dxfId="1962" priority="435" operator="equal">
      <formula>0</formula>
    </cfRule>
  </conditionalFormatting>
  <conditionalFormatting sqref="Y8:Y9 Y130:Y138 Y159 Y91:Y97 Y25:Y28 Y99:Y100 Y153:Y154 Y35">
    <cfRule type="cellIs" dxfId="1961" priority="434" operator="equal">
      <formula>0</formula>
    </cfRule>
  </conditionalFormatting>
  <conditionalFormatting sqref="Y212">
    <cfRule type="cellIs" dxfId="1960" priority="433" operator="equal">
      <formula>0</formula>
    </cfRule>
  </conditionalFormatting>
  <conditionalFormatting sqref="Y242">
    <cfRule type="cellIs" dxfId="1959" priority="432" operator="equal">
      <formula>0</formula>
    </cfRule>
  </conditionalFormatting>
  <conditionalFormatting sqref="Y129">
    <cfRule type="cellIs" dxfId="1958" priority="429" operator="equal">
      <formula>0</formula>
    </cfRule>
  </conditionalFormatting>
  <conditionalFormatting sqref="Y139">
    <cfRule type="cellIs" dxfId="1957" priority="428" operator="equal">
      <formula>0</formula>
    </cfRule>
  </conditionalFormatting>
  <conditionalFormatting sqref="X8:X9 X130:X138 X159 X91:X97 X25:X28 X99:X100 X153:X154 X35">
    <cfRule type="cellIs" dxfId="1956" priority="427" operator="equal">
      <formula>0</formula>
    </cfRule>
  </conditionalFormatting>
  <conditionalFormatting sqref="X212">
    <cfRule type="cellIs" dxfId="1955" priority="426" operator="equal">
      <formula>0</formula>
    </cfRule>
  </conditionalFormatting>
  <conditionalFormatting sqref="X242">
    <cfRule type="cellIs" dxfId="1954" priority="425" operator="equal">
      <formula>0</formula>
    </cfRule>
  </conditionalFormatting>
  <conditionalFormatting sqref="X129">
    <cfRule type="cellIs" dxfId="1953" priority="422" operator="equal">
      <formula>0</formula>
    </cfRule>
  </conditionalFormatting>
  <conditionalFormatting sqref="X139">
    <cfRule type="cellIs" dxfId="1952" priority="421" operator="equal">
      <formula>0</formula>
    </cfRule>
  </conditionalFormatting>
  <conditionalFormatting sqref="W8:W9 W130:W138 W159 W91:W97 W25:W28 W99:W100 W153:W154 W35">
    <cfRule type="cellIs" dxfId="1951" priority="420" operator="equal">
      <formula>0</formula>
    </cfRule>
  </conditionalFormatting>
  <conditionalFormatting sqref="W212">
    <cfRule type="cellIs" dxfId="1950" priority="419" operator="equal">
      <formula>0</formula>
    </cfRule>
  </conditionalFormatting>
  <conditionalFormatting sqref="W242">
    <cfRule type="cellIs" dxfId="1949" priority="418" operator="equal">
      <formula>0</formula>
    </cfRule>
  </conditionalFormatting>
  <conditionalFormatting sqref="W129">
    <cfRule type="cellIs" dxfId="1948" priority="415" operator="equal">
      <formula>0</formula>
    </cfRule>
  </conditionalFormatting>
  <conditionalFormatting sqref="W139">
    <cfRule type="cellIs" dxfId="1947" priority="414" operator="equal">
      <formula>0</formula>
    </cfRule>
  </conditionalFormatting>
  <conditionalFormatting sqref="V8:V9 V130:V138 V159 V91:V97 V25:V28 V99:V100 V153:V154">
    <cfRule type="cellIs" dxfId="1946" priority="413" operator="equal">
      <formula>0</formula>
    </cfRule>
  </conditionalFormatting>
  <conditionalFormatting sqref="V212">
    <cfRule type="cellIs" dxfId="1945" priority="412" operator="equal">
      <formula>0</formula>
    </cfRule>
  </conditionalFormatting>
  <conditionalFormatting sqref="V242">
    <cfRule type="cellIs" dxfId="1944" priority="411" operator="equal">
      <formula>0</formula>
    </cfRule>
  </conditionalFormatting>
  <conditionalFormatting sqref="V129">
    <cfRule type="cellIs" dxfId="1943" priority="408" operator="equal">
      <formula>0</formula>
    </cfRule>
  </conditionalFormatting>
  <conditionalFormatting sqref="V139">
    <cfRule type="cellIs" dxfId="1942" priority="407" operator="equal">
      <formula>0</formula>
    </cfRule>
  </conditionalFormatting>
  <conditionalFormatting sqref="U8:U9 U130:U138 U91:U97 U25:U28 U99:U100 U153:U154">
    <cfRule type="cellIs" dxfId="1941" priority="406" operator="equal">
      <formula>0</formula>
    </cfRule>
  </conditionalFormatting>
  <conditionalFormatting sqref="U212">
    <cfRule type="cellIs" dxfId="1940" priority="405" operator="equal">
      <formula>0</formula>
    </cfRule>
  </conditionalFormatting>
  <conditionalFormatting sqref="U242">
    <cfRule type="cellIs" dxfId="1939" priority="404" operator="equal">
      <formula>0</formula>
    </cfRule>
  </conditionalFormatting>
  <conditionalFormatting sqref="U129">
    <cfRule type="cellIs" dxfId="1938" priority="401" operator="equal">
      <formula>0</formula>
    </cfRule>
  </conditionalFormatting>
  <conditionalFormatting sqref="U139">
    <cfRule type="cellIs" dxfId="1937" priority="400" operator="equal">
      <formula>0</formula>
    </cfRule>
  </conditionalFormatting>
  <conditionalFormatting sqref="T8:T9 T130:T138 T91:T97 T25:T28 T99:T100 T153:T154">
    <cfRule type="cellIs" dxfId="1936" priority="399" operator="equal">
      <formula>0</formula>
    </cfRule>
  </conditionalFormatting>
  <conditionalFormatting sqref="T212">
    <cfRule type="cellIs" dxfId="1935" priority="398" operator="equal">
      <formula>0</formula>
    </cfRule>
  </conditionalFormatting>
  <conditionalFormatting sqref="T242">
    <cfRule type="cellIs" dxfId="1934" priority="397" operator="equal">
      <formula>0</formula>
    </cfRule>
  </conditionalFormatting>
  <conditionalFormatting sqref="T129">
    <cfRule type="cellIs" dxfId="1933" priority="394" operator="equal">
      <formula>0</formula>
    </cfRule>
  </conditionalFormatting>
  <conditionalFormatting sqref="T139">
    <cfRule type="cellIs" dxfId="1932" priority="393" operator="equal">
      <formula>0</formula>
    </cfRule>
  </conditionalFormatting>
  <conditionalFormatting sqref="S8:S9 S130:S138 S91:S97 S154 S25:S28 S99:S100">
    <cfRule type="cellIs" dxfId="1931" priority="392" operator="equal">
      <formula>0</formula>
    </cfRule>
  </conditionalFormatting>
  <conditionalFormatting sqref="S212">
    <cfRule type="cellIs" dxfId="1930" priority="391" operator="equal">
      <formula>0</formula>
    </cfRule>
  </conditionalFormatting>
  <conditionalFormatting sqref="S242">
    <cfRule type="cellIs" dxfId="1929" priority="390" operator="equal">
      <formula>0</formula>
    </cfRule>
  </conditionalFormatting>
  <conditionalFormatting sqref="S129">
    <cfRule type="cellIs" dxfId="1928" priority="387" operator="equal">
      <formula>0</formula>
    </cfRule>
  </conditionalFormatting>
  <conditionalFormatting sqref="S139">
    <cfRule type="cellIs" dxfId="1927" priority="386" operator="equal">
      <formula>0</formula>
    </cfRule>
  </conditionalFormatting>
  <conditionalFormatting sqref="R8:R9 R130:R138 R91:R97 R154 R25:R28 R99:R100">
    <cfRule type="cellIs" dxfId="1926" priority="385" operator="equal">
      <formula>0</formula>
    </cfRule>
  </conditionalFormatting>
  <conditionalFormatting sqref="R212">
    <cfRule type="cellIs" dxfId="1925" priority="384" operator="equal">
      <formula>0</formula>
    </cfRule>
  </conditionalFormatting>
  <conditionalFormatting sqref="R242">
    <cfRule type="cellIs" dxfId="1924" priority="383" operator="equal">
      <formula>0</formula>
    </cfRule>
  </conditionalFormatting>
  <conditionalFormatting sqref="R129">
    <cfRule type="cellIs" dxfId="1923" priority="380" operator="equal">
      <formula>0</formula>
    </cfRule>
  </conditionalFormatting>
  <conditionalFormatting sqref="R139">
    <cfRule type="cellIs" dxfId="1922" priority="379" operator="equal">
      <formula>0</formula>
    </cfRule>
  </conditionalFormatting>
  <conditionalFormatting sqref="Q8:Q9 Q130:Q138 Q91:Q97 Q154 Q25:Q28 Q99:Q100">
    <cfRule type="cellIs" dxfId="1921" priority="378" operator="equal">
      <formula>0</formula>
    </cfRule>
  </conditionalFormatting>
  <conditionalFormatting sqref="Q212">
    <cfRule type="cellIs" dxfId="1920" priority="377" operator="equal">
      <formula>0</formula>
    </cfRule>
  </conditionalFormatting>
  <conditionalFormatting sqref="Q242">
    <cfRule type="cellIs" dxfId="1919" priority="376" operator="equal">
      <formula>0</formula>
    </cfRule>
  </conditionalFormatting>
  <conditionalFormatting sqref="Q129">
    <cfRule type="cellIs" dxfId="1918" priority="373" operator="equal">
      <formula>0</formula>
    </cfRule>
  </conditionalFormatting>
  <conditionalFormatting sqref="Q139">
    <cfRule type="cellIs" dxfId="1917" priority="372" operator="equal">
      <formula>0</formula>
    </cfRule>
  </conditionalFormatting>
  <conditionalFormatting sqref="P8:P9 P130:P138 P91:P97 P154 P24:P28 P99:P100">
    <cfRule type="cellIs" dxfId="1916" priority="371" operator="equal">
      <formula>0</formula>
    </cfRule>
  </conditionalFormatting>
  <conditionalFormatting sqref="P212">
    <cfRule type="cellIs" dxfId="1915" priority="370" operator="equal">
      <formula>0</formula>
    </cfRule>
  </conditionalFormatting>
  <conditionalFormatting sqref="P242">
    <cfRule type="cellIs" dxfId="1914" priority="369" operator="equal">
      <formula>0</formula>
    </cfRule>
  </conditionalFormatting>
  <conditionalFormatting sqref="P129">
    <cfRule type="cellIs" dxfId="1913" priority="366" operator="equal">
      <formula>0</formula>
    </cfRule>
  </conditionalFormatting>
  <conditionalFormatting sqref="P139">
    <cfRule type="cellIs" dxfId="1912" priority="365" operator="equal">
      <formula>0</formula>
    </cfRule>
  </conditionalFormatting>
  <conditionalFormatting sqref="O8:O9 O130:O138 O91:O97 O154 O24:O28 O99:O100">
    <cfRule type="cellIs" dxfId="1911" priority="364" operator="equal">
      <formula>0</formula>
    </cfRule>
  </conditionalFormatting>
  <conditionalFormatting sqref="O212">
    <cfRule type="cellIs" dxfId="1910" priority="363" operator="equal">
      <formula>0</formula>
    </cfRule>
  </conditionalFormatting>
  <conditionalFormatting sqref="O242">
    <cfRule type="cellIs" dxfId="1909" priority="362" operator="equal">
      <formula>0</formula>
    </cfRule>
  </conditionalFormatting>
  <conditionalFormatting sqref="O129">
    <cfRule type="cellIs" dxfId="1908" priority="359" operator="equal">
      <formula>0</formula>
    </cfRule>
  </conditionalFormatting>
  <conditionalFormatting sqref="O139">
    <cfRule type="cellIs" dxfId="1907" priority="358" operator="equal">
      <formula>0</formula>
    </cfRule>
  </conditionalFormatting>
  <conditionalFormatting sqref="N8:N9 N130:N138 N91:N97 N154 N24:N28 N99:N100">
    <cfRule type="cellIs" dxfId="1906" priority="357" operator="equal">
      <formula>0</formula>
    </cfRule>
  </conditionalFormatting>
  <conditionalFormatting sqref="N212">
    <cfRule type="cellIs" dxfId="1905" priority="356" operator="equal">
      <formula>0</formula>
    </cfRule>
  </conditionalFormatting>
  <conditionalFormatting sqref="N242">
    <cfRule type="cellIs" dxfId="1904" priority="355" operator="equal">
      <formula>0</formula>
    </cfRule>
  </conditionalFormatting>
  <conditionalFormatting sqref="N129">
    <cfRule type="cellIs" dxfId="1903" priority="352" operator="equal">
      <formula>0</formula>
    </cfRule>
  </conditionalFormatting>
  <conditionalFormatting sqref="N139">
    <cfRule type="cellIs" dxfId="1902" priority="351" operator="equal">
      <formula>0</formula>
    </cfRule>
  </conditionalFormatting>
  <conditionalFormatting sqref="M8:M9 M130:M138 N90:V90 M154 M24:M28 M99:M100 AF90:BR90">
    <cfRule type="cellIs" dxfId="1901" priority="350" operator="equal">
      <formula>0</formula>
    </cfRule>
  </conditionalFormatting>
  <conditionalFormatting sqref="M212">
    <cfRule type="cellIs" dxfId="1900" priority="349" operator="equal">
      <formula>0</formula>
    </cfRule>
  </conditionalFormatting>
  <conditionalFormatting sqref="M242">
    <cfRule type="cellIs" dxfId="1899" priority="348" operator="equal">
      <formula>0</formula>
    </cfRule>
  </conditionalFormatting>
  <conditionalFormatting sqref="M129">
    <cfRule type="cellIs" dxfId="1898" priority="345" operator="equal">
      <formula>0</formula>
    </cfRule>
  </conditionalFormatting>
  <conditionalFormatting sqref="M139">
    <cfRule type="cellIs" dxfId="1897" priority="344" operator="equal">
      <formula>0</formula>
    </cfRule>
  </conditionalFormatting>
  <conditionalFormatting sqref="L8:L9 L130:L138 L154 L24:L28 L99:L100">
    <cfRule type="cellIs" dxfId="1896" priority="343" operator="equal">
      <formula>0</formula>
    </cfRule>
  </conditionalFormatting>
  <conditionalFormatting sqref="L212">
    <cfRule type="cellIs" dxfId="1895" priority="342" operator="equal">
      <formula>0</formula>
    </cfRule>
  </conditionalFormatting>
  <conditionalFormatting sqref="L242">
    <cfRule type="cellIs" dxfId="1894" priority="341" operator="equal">
      <formula>0</formula>
    </cfRule>
  </conditionalFormatting>
  <conditionalFormatting sqref="L129">
    <cfRule type="cellIs" dxfId="1893" priority="338" operator="equal">
      <formula>0</formula>
    </cfRule>
  </conditionalFormatting>
  <conditionalFormatting sqref="L139">
    <cfRule type="cellIs" dxfId="1892" priority="337" operator="equal">
      <formula>0</formula>
    </cfRule>
  </conditionalFormatting>
  <conditionalFormatting sqref="K8:K9 K130:K138 L23:BR23 L98:BR98 L152:BR152 L29:V29 X55:AJ55 AF29:BR29 L74:BR89 L56:AJ73 L49:AJ54">
    <cfRule type="cellIs" dxfId="1891" priority="336" operator="equal">
      <formula>0</formula>
    </cfRule>
  </conditionalFormatting>
  <conditionalFormatting sqref="K212">
    <cfRule type="cellIs" dxfId="1890" priority="335" operator="equal">
      <formula>0</formula>
    </cfRule>
  </conditionalFormatting>
  <conditionalFormatting sqref="K242">
    <cfRule type="cellIs" dxfId="1889" priority="334" operator="equal">
      <formula>0</formula>
    </cfRule>
  </conditionalFormatting>
  <conditionalFormatting sqref="K129">
    <cfRule type="cellIs" dxfId="1888" priority="331" operator="equal">
      <formula>0</formula>
    </cfRule>
  </conditionalFormatting>
  <conditionalFormatting sqref="K139">
    <cfRule type="cellIs" dxfId="1887" priority="330" operator="equal">
      <formula>0</formula>
    </cfRule>
  </conditionalFormatting>
  <conditionalFormatting sqref="AR8:AR9 AR130:AR138 AR159 AR91:AR97 AR24:AR28 AR99:AR100 AR153:AR154">
    <cfRule type="cellIs" dxfId="1886" priority="329" operator="equal">
      <formula>0</formula>
    </cfRule>
  </conditionalFormatting>
  <conditionalFormatting sqref="AR212">
    <cfRule type="cellIs" dxfId="1885" priority="327" operator="equal">
      <formula>0</formula>
    </cfRule>
  </conditionalFormatting>
  <conditionalFormatting sqref="AR242">
    <cfRule type="cellIs" dxfId="1884" priority="326" operator="equal">
      <formula>0</formula>
    </cfRule>
  </conditionalFormatting>
  <conditionalFormatting sqref="AR129">
    <cfRule type="cellIs" dxfId="1883" priority="323" operator="equal">
      <formula>0</formula>
    </cfRule>
  </conditionalFormatting>
  <conditionalFormatting sqref="AR139">
    <cfRule type="cellIs" dxfId="1882" priority="322" operator="equal">
      <formula>0</formula>
    </cfRule>
  </conditionalFormatting>
  <conditionalFormatting sqref="AS8:AS9 AS130:AS138 AS159 AS91:AS97 AS154 AS25:AS28 AS99:AS100">
    <cfRule type="cellIs" dxfId="1881" priority="321" operator="equal">
      <formula>0</formula>
    </cfRule>
  </conditionalFormatting>
  <conditionalFormatting sqref="AS212">
    <cfRule type="cellIs" dxfId="1880" priority="319" operator="equal">
      <formula>0</formula>
    </cfRule>
  </conditionalFormatting>
  <conditionalFormatting sqref="AS242">
    <cfRule type="cellIs" dxfId="1879" priority="318" operator="equal">
      <formula>0</formula>
    </cfRule>
  </conditionalFormatting>
  <conditionalFormatting sqref="AS129">
    <cfRule type="cellIs" dxfId="1878" priority="315" operator="equal">
      <formula>0</formula>
    </cfRule>
  </conditionalFormatting>
  <conditionalFormatting sqref="AS139">
    <cfRule type="cellIs" dxfId="1877" priority="314" operator="equal">
      <formula>0</formula>
    </cfRule>
  </conditionalFormatting>
  <conditionalFormatting sqref="AT8:AT9 AT130:AT138 AT159 AT91:AT97 AT154 AT25:AT28 AT99:AT100">
    <cfRule type="cellIs" dxfId="1876" priority="313" operator="equal">
      <formula>0</formula>
    </cfRule>
  </conditionalFormatting>
  <conditionalFormatting sqref="AT212">
    <cfRule type="cellIs" dxfId="1875" priority="311" operator="equal">
      <formula>0</formula>
    </cfRule>
  </conditionalFormatting>
  <conditionalFormatting sqref="AT242">
    <cfRule type="cellIs" dxfId="1874" priority="310" operator="equal">
      <formula>0</formula>
    </cfRule>
  </conditionalFormatting>
  <conditionalFormatting sqref="AT129">
    <cfRule type="cellIs" dxfId="1873" priority="307" operator="equal">
      <formula>0</formula>
    </cfRule>
  </conditionalFormatting>
  <conditionalFormatting sqref="AT139">
    <cfRule type="cellIs" dxfId="1872" priority="306" operator="equal">
      <formula>0</formula>
    </cfRule>
  </conditionalFormatting>
  <conditionalFormatting sqref="AU8:AU9 AU130:AU138 AU159 AU91:AU97 AU154 AU25:AU28 AU99:AU100">
    <cfRule type="cellIs" dxfId="1871" priority="305" operator="equal">
      <formula>0</formula>
    </cfRule>
  </conditionalFormatting>
  <conditionalFormatting sqref="AU212">
    <cfRule type="cellIs" dxfId="1870" priority="303" operator="equal">
      <formula>0</formula>
    </cfRule>
  </conditionalFormatting>
  <conditionalFormatting sqref="AU242">
    <cfRule type="cellIs" dxfId="1869" priority="302" operator="equal">
      <formula>0</formula>
    </cfRule>
  </conditionalFormatting>
  <conditionalFormatting sqref="AU129">
    <cfRule type="cellIs" dxfId="1868" priority="299" operator="equal">
      <formula>0</formula>
    </cfRule>
  </conditionalFormatting>
  <conditionalFormatting sqref="AU139">
    <cfRule type="cellIs" dxfId="1867" priority="298" operator="equal">
      <formula>0</formula>
    </cfRule>
  </conditionalFormatting>
  <conditionalFormatting sqref="AV8:AV9 AV130:AV138 AV159 AV91:AV97 AV154 AV25:AV28 AV99:AV100">
    <cfRule type="cellIs" dxfId="1866" priority="297" operator="equal">
      <formula>0</formula>
    </cfRule>
  </conditionalFormatting>
  <conditionalFormatting sqref="AV212">
    <cfRule type="cellIs" dxfId="1865" priority="295" operator="equal">
      <formula>0</formula>
    </cfRule>
  </conditionalFormatting>
  <conditionalFormatting sqref="AV242">
    <cfRule type="cellIs" dxfId="1864" priority="294" operator="equal">
      <formula>0</formula>
    </cfRule>
  </conditionalFormatting>
  <conditionalFormatting sqref="AV129">
    <cfRule type="cellIs" dxfId="1863" priority="291" operator="equal">
      <formula>0</formula>
    </cfRule>
  </conditionalFormatting>
  <conditionalFormatting sqref="AV139">
    <cfRule type="cellIs" dxfId="1862" priority="290" operator="equal">
      <formula>0</formula>
    </cfRule>
  </conditionalFormatting>
  <conditionalFormatting sqref="AW8:AW9 AW130:AW138 AW159 AW91:AW97 AW161:AW173 AW154 AW25:AW28 AW99:AW100">
    <cfRule type="cellIs" dxfId="1861" priority="289" operator="equal">
      <formula>0</formula>
    </cfRule>
  </conditionalFormatting>
  <conditionalFormatting sqref="AW212">
    <cfRule type="cellIs" dxfId="1860" priority="287" operator="equal">
      <formula>0</formula>
    </cfRule>
  </conditionalFormatting>
  <conditionalFormatting sqref="AW242">
    <cfRule type="cellIs" dxfId="1859" priority="286" operator="equal">
      <formula>0</formula>
    </cfRule>
  </conditionalFormatting>
  <conditionalFormatting sqref="AW129">
    <cfRule type="cellIs" dxfId="1858" priority="283" operator="equal">
      <formula>0</formula>
    </cfRule>
  </conditionalFormatting>
  <conditionalFormatting sqref="AW139">
    <cfRule type="cellIs" dxfId="1857" priority="282" operator="equal">
      <formula>0</formula>
    </cfRule>
  </conditionalFormatting>
  <conditionalFormatting sqref="AX8:AX9 AX130:AX138 AX159 AX91:AX97 AX154 AX25:AX28 AX99:AX100">
    <cfRule type="cellIs" dxfId="1856" priority="281" operator="equal">
      <formula>0</formula>
    </cfRule>
  </conditionalFormatting>
  <conditionalFormatting sqref="AX212">
    <cfRule type="cellIs" dxfId="1855" priority="279" operator="equal">
      <formula>0</formula>
    </cfRule>
  </conditionalFormatting>
  <conditionalFormatting sqref="AX242">
    <cfRule type="cellIs" dxfId="1854" priority="278" operator="equal">
      <formula>0</formula>
    </cfRule>
  </conditionalFormatting>
  <conditionalFormatting sqref="AX129">
    <cfRule type="cellIs" dxfId="1853" priority="275" operator="equal">
      <formula>0</formula>
    </cfRule>
  </conditionalFormatting>
  <conditionalFormatting sqref="AX139">
    <cfRule type="cellIs" dxfId="1852" priority="274" operator="equal">
      <formula>0</formula>
    </cfRule>
  </conditionalFormatting>
  <conditionalFormatting sqref="AY8:AY9 AY130:AY138 AY159 AY91:AY97 AY154 AY25:AY28 AY99:AY100">
    <cfRule type="cellIs" dxfId="1851" priority="273" operator="equal">
      <formula>0</formula>
    </cfRule>
  </conditionalFormatting>
  <conditionalFormatting sqref="AY212">
    <cfRule type="cellIs" dxfId="1850" priority="271" operator="equal">
      <formula>0</formula>
    </cfRule>
  </conditionalFormatting>
  <conditionalFormatting sqref="AY242">
    <cfRule type="cellIs" dxfId="1849" priority="270" operator="equal">
      <formula>0</formula>
    </cfRule>
  </conditionalFormatting>
  <conditionalFormatting sqref="AY129">
    <cfRule type="cellIs" dxfId="1848" priority="267" operator="equal">
      <formula>0</formula>
    </cfRule>
  </conditionalFormatting>
  <conditionalFormatting sqref="AY139">
    <cfRule type="cellIs" dxfId="1847" priority="266" operator="equal">
      <formula>0</formula>
    </cfRule>
  </conditionalFormatting>
  <conditionalFormatting sqref="AZ8:AZ9 AZ130:AZ138 AZ159 AZ91:AZ97 AZ154 AZ25:AZ28 AZ99:AZ100">
    <cfRule type="cellIs" dxfId="1846" priority="265" operator="equal">
      <formula>0</formula>
    </cfRule>
  </conditionalFormatting>
  <conditionalFormatting sqref="AZ212">
    <cfRule type="cellIs" dxfId="1845" priority="263" operator="equal">
      <formula>0</formula>
    </cfRule>
  </conditionalFormatting>
  <conditionalFormatting sqref="AZ242">
    <cfRule type="cellIs" dxfId="1844" priority="262" operator="equal">
      <formula>0</formula>
    </cfRule>
  </conditionalFormatting>
  <conditionalFormatting sqref="AZ129">
    <cfRule type="cellIs" dxfId="1843" priority="259" operator="equal">
      <formula>0</formula>
    </cfRule>
  </conditionalFormatting>
  <conditionalFormatting sqref="AZ139">
    <cfRule type="cellIs" dxfId="1842" priority="258" operator="equal">
      <formula>0</formula>
    </cfRule>
  </conditionalFormatting>
  <conditionalFormatting sqref="BA8:BA9 BA130:BA138 BA159 BA91:BA97 BA154 BA25:BA28 BA99:BA100">
    <cfRule type="cellIs" dxfId="1841" priority="257" operator="equal">
      <formula>0</formula>
    </cfRule>
  </conditionalFormatting>
  <conditionalFormatting sqref="BA212">
    <cfRule type="cellIs" dxfId="1840" priority="255" operator="equal">
      <formula>0</formula>
    </cfRule>
  </conditionalFormatting>
  <conditionalFormatting sqref="BA242">
    <cfRule type="cellIs" dxfId="1839" priority="254" operator="equal">
      <formula>0</formula>
    </cfRule>
  </conditionalFormatting>
  <conditionalFormatting sqref="BA129">
    <cfRule type="cellIs" dxfId="1838" priority="251" operator="equal">
      <formula>0</formula>
    </cfRule>
  </conditionalFormatting>
  <conditionalFormatting sqref="BA139">
    <cfRule type="cellIs" dxfId="1837" priority="250" operator="equal">
      <formula>0</formula>
    </cfRule>
  </conditionalFormatting>
  <conditionalFormatting sqref="BB8:BB9 BB130:BB138 BB159 BB91:BB97 BB154 BB25:BB28 BB99:BB100">
    <cfRule type="cellIs" dxfId="1836" priority="249" operator="equal">
      <formula>0</formula>
    </cfRule>
  </conditionalFormatting>
  <conditionalFormatting sqref="BB212">
    <cfRule type="cellIs" dxfId="1835" priority="247" operator="equal">
      <formula>0</formula>
    </cfRule>
  </conditionalFormatting>
  <conditionalFormatting sqref="BB242">
    <cfRule type="cellIs" dxfId="1834" priority="246" operator="equal">
      <formula>0</formula>
    </cfRule>
  </conditionalFormatting>
  <conditionalFormatting sqref="BB129">
    <cfRule type="cellIs" dxfId="1833" priority="243" operator="equal">
      <formula>0</formula>
    </cfRule>
  </conditionalFormatting>
  <conditionalFormatting sqref="BB139">
    <cfRule type="cellIs" dxfId="1832" priority="242" operator="equal">
      <formula>0</formula>
    </cfRule>
  </conditionalFormatting>
  <conditionalFormatting sqref="BC8:BC9 BC130:BC138 BC159 BC91:BC97 BC154 BC25:BC28 BC99:BC100">
    <cfRule type="cellIs" dxfId="1831" priority="241" operator="equal">
      <formula>0</formula>
    </cfRule>
  </conditionalFormatting>
  <conditionalFormatting sqref="BC212">
    <cfRule type="cellIs" dxfId="1830" priority="239" operator="equal">
      <formula>0</formula>
    </cfRule>
  </conditionalFormatting>
  <conditionalFormatting sqref="BC242">
    <cfRule type="cellIs" dxfId="1829" priority="238" operator="equal">
      <formula>0</formula>
    </cfRule>
  </conditionalFormatting>
  <conditionalFormatting sqref="BC129">
    <cfRule type="cellIs" dxfId="1828" priority="235" operator="equal">
      <formula>0</formula>
    </cfRule>
  </conditionalFormatting>
  <conditionalFormatting sqref="BC139">
    <cfRule type="cellIs" dxfId="1827" priority="234" operator="equal">
      <formula>0</formula>
    </cfRule>
  </conditionalFormatting>
  <conditionalFormatting sqref="BD8:BD9 BD130:BD138 BD159 BD91:BD97 BD154 BD25:BD28 BD99:BD100">
    <cfRule type="cellIs" dxfId="1826" priority="233" operator="equal">
      <formula>0</formula>
    </cfRule>
  </conditionalFormatting>
  <conditionalFormatting sqref="BD212">
    <cfRule type="cellIs" dxfId="1825" priority="231" operator="equal">
      <formula>0</formula>
    </cfRule>
  </conditionalFormatting>
  <conditionalFormatting sqref="BD242">
    <cfRule type="cellIs" dxfId="1824" priority="230" operator="equal">
      <formula>0</formula>
    </cfRule>
  </conditionalFormatting>
  <conditionalFormatting sqref="BD129">
    <cfRule type="cellIs" dxfId="1823" priority="227" operator="equal">
      <formula>0</formula>
    </cfRule>
  </conditionalFormatting>
  <conditionalFormatting sqref="BD139">
    <cfRule type="cellIs" dxfId="1822" priority="226" operator="equal">
      <formula>0</formula>
    </cfRule>
  </conditionalFormatting>
  <conditionalFormatting sqref="BE8:BE9 BE130:BE138 BE159 BE91:BE97 BE154 BE25:BE28 BE99:BE100">
    <cfRule type="cellIs" dxfId="1821" priority="225" operator="equal">
      <formula>0</formula>
    </cfRule>
  </conditionalFormatting>
  <conditionalFormatting sqref="BE212">
    <cfRule type="cellIs" dxfId="1820" priority="223" operator="equal">
      <formula>0</formula>
    </cfRule>
  </conditionalFormatting>
  <conditionalFormatting sqref="BE242">
    <cfRule type="cellIs" dxfId="1819" priority="222" operator="equal">
      <formula>0</formula>
    </cfRule>
  </conditionalFormatting>
  <conditionalFormatting sqref="BE129">
    <cfRule type="cellIs" dxfId="1818" priority="219" operator="equal">
      <formula>0</formula>
    </cfRule>
  </conditionalFormatting>
  <conditionalFormatting sqref="BE139">
    <cfRule type="cellIs" dxfId="1817" priority="218" operator="equal">
      <formula>0</formula>
    </cfRule>
  </conditionalFormatting>
  <conditionalFormatting sqref="BF8:BF9 BF130:BF138 BF159 BF91:BF97 BF154 BF25:BF28 BF99:BF100">
    <cfRule type="cellIs" dxfId="1816" priority="217" operator="equal">
      <formula>0</formula>
    </cfRule>
  </conditionalFormatting>
  <conditionalFormatting sqref="BF212">
    <cfRule type="cellIs" dxfId="1815" priority="215" operator="equal">
      <formula>0</formula>
    </cfRule>
  </conditionalFormatting>
  <conditionalFormatting sqref="BF242">
    <cfRule type="cellIs" dxfId="1814" priority="214" operator="equal">
      <formula>0</formula>
    </cfRule>
  </conditionalFormatting>
  <conditionalFormatting sqref="BF129">
    <cfRule type="cellIs" dxfId="1813" priority="211" operator="equal">
      <formula>0</formula>
    </cfRule>
  </conditionalFormatting>
  <conditionalFormatting sqref="BF139">
    <cfRule type="cellIs" dxfId="1812" priority="210" operator="equal">
      <formula>0</formula>
    </cfRule>
  </conditionalFormatting>
  <conditionalFormatting sqref="BG8:BG9 BG130:BG138 BG159 BG91:BG97 BG154 BG25:BG28 BG99:BG100">
    <cfRule type="cellIs" dxfId="1811" priority="209" operator="equal">
      <formula>0</formula>
    </cfRule>
  </conditionalFormatting>
  <conditionalFormatting sqref="BG212">
    <cfRule type="cellIs" dxfId="1810" priority="207" operator="equal">
      <formula>0</formula>
    </cfRule>
  </conditionalFormatting>
  <conditionalFormatting sqref="BG242">
    <cfRule type="cellIs" dxfId="1809" priority="206" operator="equal">
      <formula>0</formula>
    </cfRule>
  </conditionalFormatting>
  <conditionalFormatting sqref="BG129">
    <cfRule type="cellIs" dxfId="1808" priority="203" operator="equal">
      <formula>0</formula>
    </cfRule>
  </conditionalFormatting>
  <conditionalFormatting sqref="BG139">
    <cfRule type="cellIs" dxfId="1807" priority="202" operator="equal">
      <formula>0</formula>
    </cfRule>
  </conditionalFormatting>
  <conditionalFormatting sqref="BH8:BH9 BH130:BH138 BH159 BH91:BH97 BH154 BH25:BH28 BH99:BH100">
    <cfRule type="cellIs" dxfId="1806" priority="201" operator="equal">
      <formula>0</formula>
    </cfRule>
  </conditionalFormatting>
  <conditionalFormatting sqref="BH212">
    <cfRule type="cellIs" dxfId="1805" priority="199" operator="equal">
      <formula>0</formula>
    </cfRule>
  </conditionalFormatting>
  <conditionalFormatting sqref="BH242">
    <cfRule type="cellIs" dxfId="1804" priority="198" operator="equal">
      <formula>0</formula>
    </cfRule>
  </conditionalFormatting>
  <conditionalFormatting sqref="BH129">
    <cfRule type="cellIs" dxfId="1803" priority="195" operator="equal">
      <formula>0</formula>
    </cfRule>
  </conditionalFormatting>
  <conditionalFormatting sqref="BH139">
    <cfRule type="cellIs" dxfId="1802" priority="194" operator="equal">
      <formula>0</formula>
    </cfRule>
  </conditionalFormatting>
  <conditionalFormatting sqref="BI8:BI9 BI130:BI138 BI159 BI91:BI97 BI154 BI25:BI28 BI99:BI100">
    <cfRule type="cellIs" dxfId="1801" priority="193" operator="equal">
      <formula>0</formula>
    </cfRule>
  </conditionalFormatting>
  <conditionalFormatting sqref="BI212">
    <cfRule type="cellIs" dxfId="1800" priority="191" operator="equal">
      <formula>0</formula>
    </cfRule>
  </conditionalFormatting>
  <conditionalFormatting sqref="BI242">
    <cfRule type="cellIs" dxfId="1799" priority="190" operator="equal">
      <formula>0</formula>
    </cfRule>
  </conditionalFormatting>
  <conditionalFormatting sqref="BI129">
    <cfRule type="cellIs" dxfId="1798" priority="187" operator="equal">
      <formula>0</formula>
    </cfRule>
  </conditionalFormatting>
  <conditionalFormatting sqref="BI139">
    <cfRule type="cellIs" dxfId="1797" priority="186" operator="equal">
      <formula>0</formula>
    </cfRule>
  </conditionalFormatting>
  <conditionalFormatting sqref="BJ8:BJ9 BJ130:BJ138 BJ159 BJ91:BJ97 BJ154 BJ25:BJ28 BJ99:BJ100">
    <cfRule type="cellIs" dxfId="1796" priority="185" operator="equal">
      <formula>0</formula>
    </cfRule>
  </conditionalFormatting>
  <conditionalFormatting sqref="BJ212">
    <cfRule type="cellIs" dxfId="1795" priority="183" operator="equal">
      <formula>0</formula>
    </cfRule>
  </conditionalFormatting>
  <conditionalFormatting sqref="BJ242">
    <cfRule type="cellIs" dxfId="1794" priority="182" operator="equal">
      <formula>0</formula>
    </cfRule>
  </conditionalFormatting>
  <conditionalFormatting sqref="BJ129">
    <cfRule type="cellIs" dxfId="1793" priority="179" operator="equal">
      <formula>0</formula>
    </cfRule>
  </conditionalFormatting>
  <conditionalFormatting sqref="BJ139">
    <cfRule type="cellIs" dxfId="1792" priority="178" operator="equal">
      <formula>0</formula>
    </cfRule>
  </conditionalFormatting>
  <conditionalFormatting sqref="BK8:BK9 BK130:BK138 BK159 BK91:BK97 BK154 BK25:BK28 BK99:BK100">
    <cfRule type="cellIs" dxfId="1791" priority="177" operator="equal">
      <formula>0</formula>
    </cfRule>
  </conditionalFormatting>
  <conditionalFormatting sqref="BK212">
    <cfRule type="cellIs" dxfId="1790" priority="175" operator="equal">
      <formula>0</formula>
    </cfRule>
  </conditionalFormatting>
  <conditionalFormatting sqref="BK242">
    <cfRule type="cellIs" dxfId="1789" priority="174" operator="equal">
      <formula>0</formula>
    </cfRule>
  </conditionalFormatting>
  <conditionalFormatting sqref="BK129">
    <cfRule type="cellIs" dxfId="1788" priority="171" operator="equal">
      <formula>0</formula>
    </cfRule>
  </conditionalFormatting>
  <conditionalFormatting sqref="BK139">
    <cfRule type="cellIs" dxfId="1787" priority="170" operator="equal">
      <formula>0</formula>
    </cfRule>
  </conditionalFormatting>
  <conditionalFormatting sqref="BL8:BL9 BL130:BL138 BL159 BL91:BL97 BL154 BL25:BL28 BL99:BL100">
    <cfRule type="cellIs" dxfId="1786" priority="169" operator="equal">
      <formula>0</formula>
    </cfRule>
  </conditionalFormatting>
  <conditionalFormatting sqref="BL212">
    <cfRule type="cellIs" dxfId="1785" priority="167" operator="equal">
      <formula>0</formula>
    </cfRule>
  </conditionalFormatting>
  <conditionalFormatting sqref="BL242">
    <cfRule type="cellIs" dxfId="1784" priority="166" operator="equal">
      <formula>0</formula>
    </cfRule>
  </conditionalFormatting>
  <conditionalFormatting sqref="BL129">
    <cfRule type="cellIs" dxfId="1783" priority="163" operator="equal">
      <formula>0</formula>
    </cfRule>
  </conditionalFormatting>
  <conditionalFormatting sqref="BL139">
    <cfRule type="cellIs" dxfId="1782" priority="162" operator="equal">
      <formula>0</formula>
    </cfRule>
  </conditionalFormatting>
  <conditionalFormatting sqref="BM8:BM9 BM130:BM138 BM159 BM91:BM97 BM154 BM25:BM28 BM99:BM100">
    <cfRule type="cellIs" dxfId="1781" priority="161" operator="equal">
      <formula>0</formula>
    </cfRule>
  </conditionalFormatting>
  <conditionalFormatting sqref="BM212">
    <cfRule type="cellIs" dxfId="1780" priority="159" operator="equal">
      <formula>0</formula>
    </cfRule>
  </conditionalFormatting>
  <conditionalFormatting sqref="BM242">
    <cfRule type="cellIs" dxfId="1779" priority="158" operator="equal">
      <formula>0</formula>
    </cfRule>
  </conditionalFormatting>
  <conditionalFormatting sqref="BM129">
    <cfRule type="cellIs" dxfId="1778" priority="155" operator="equal">
      <formula>0</formula>
    </cfRule>
  </conditionalFormatting>
  <conditionalFormatting sqref="BM139">
    <cfRule type="cellIs" dxfId="1777" priority="154" operator="equal">
      <formula>0</formula>
    </cfRule>
  </conditionalFormatting>
  <conditionalFormatting sqref="BN8:BN9 BN130:BN138 BN159 BN91:BN97 BN154 BN25:BN28 BN99:BN100">
    <cfRule type="cellIs" dxfId="1776" priority="153" operator="equal">
      <formula>0</formula>
    </cfRule>
  </conditionalFormatting>
  <conditionalFormatting sqref="BN212">
    <cfRule type="cellIs" dxfId="1775" priority="151" operator="equal">
      <formula>0</formula>
    </cfRule>
  </conditionalFormatting>
  <conditionalFormatting sqref="BN242">
    <cfRule type="cellIs" dxfId="1774" priority="150" operator="equal">
      <formula>0</formula>
    </cfRule>
  </conditionalFormatting>
  <conditionalFormatting sqref="BN129">
    <cfRule type="cellIs" dxfId="1773" priority="147" operator="equal">
      <formula>0</formula>
    </cfRule>
  </conditionalFormatting>
  <conditionalFormatting sqref="BN139">
    <cfRule type="cellIs" dxfId="1772" priority="146" operator="equal">
      <formula>0</formula>
    </cfRule>
  </conditionalFormatting>
  <conditionalFormatting sqref="BO8:BO9 BO130:BO138 BO159 BO91:BO97 BO154 BO25:BO28 BO99:BO100">
    <cfRule type="cellIs" dxfId="1771" priority="145" operator="equal">
      <formula>0</formula>
    </cfRule>
  </conditionalFormatting>
  <conditionalFormatting sqref="BO212">
    <cfRule type="cellIs" dxfId="1770" priority="143" operator="equal">
      <formula>0</formula>
    </cfRule>
  </conditionalFormatting>
  <conditionalFormatting sqref="BO242">
    <cfRule type="cellIs" dxfId="1769" priority="142" operator="equal">
      <formula>0</formula>
    </cfRule>
  </conditionalFormatting>
  <conditionalFormatting sqref="BO129">
    <cfRule type="cellIs" dxfId="1768" priority="139" operator="equal">
      <formula>0</formula>
    </cfRule>
  </conditionalFormatting>
  <conditionalFormatting sqref="BO139">
    <cfRule type="cellIs" dxfId="1767" priority="138" operator="equal">
      <formula>0</formula>
    </cfRule>
  </conditionalFormatting>
  <conditionalFormatting sqref="BP8:BP9 BP130:BP138 BP159 BP91:BP97 BP154 BP25:BP28 BP99:BP100">
    <cfRule type="cellIs" dxfId="1766" priority="137" operator="equal">
      <formula>0</formula>
    </cfRule>
  </conditionalFormatting>
  <conditionalFormatting sqref="BP212">
    <cfRule type="cellIs" dxfId="1765" priority="135" operator="equal">
      <formula>0</formula>
    </cfRule>
  </conditionalFormatting>
  <conditionalFormatting sqref="BP242">
    <cfRule type="cellIs" dxfId="1764" priority="134" operator="equal">
      <formula>0</formula>
    </cfRule>
  </conditionalFormatting>
  <conditionalFormatting sqref="BP129">
    <cfRule type="cellIs" dxfId="1763" priority="131" operator="equal">
      <formula>0</formula>
    </cfRule>
  </conditionalFormatting>
  <conditionalFormatting sqref="BP139">
    <cfRule type="cellIs" dxfId="1762" priority="130" operator="equal">
      <formula>0</formula>
    </cfRule>
  </conditionalFormatting>
  <conditionalFormatting sqref="BQ8:BQ9 BQ130:BQ138 BQ159 BQ91:BQ97 BQ154 BQ25:BQ28 BQ99:BQ100">
    <cfRule type="cellIs" dxfId="1761" priority="129" operator="equal">
      <formula>0</formula>
    </cfRule>
  </conditionalFormatting>
  <conditionalFormatting sqref="BQ212">
    <cfRule type="cellIs" dxfId="1760" priority="127" operator="equal">
      <formula>0</formula>
    </cfRule>
  </conditionalFormatting>
  <conditionalFormatting sqref="BQ242">
    <cfRule type="cellIs" dxfId="1759" priority="126" operator="equal">
      <formula>0</formula>
    </cfRule>
  </conditionalFormatting>
  <conditionalFormatting sqref="BQ129">
    <cfRule type="cellIs" dxfId="1758" priority="123" operator="equal">
      <formula>0</formula>
    </cfRule>
  </conditionalFormatting>
  <conditionalFormatting sqref="BQ139">
    <cfRule type="cellIs" dxfId="1757" priority="122" operator="equal">
      <formula>0</formula>
    </cfRule>
  </conditionalFormatting>
  <conditionalFormatting sqref="BR130:BR138 BR159 BR91:BR97 BR154 BR25:BR28 BR99:BR100 K10:BQ10">
    <cfRule type="cellIs" dxfId="1756" priority="121" operator="equal">
      <formula>0</formula>
    </cfRule>
  </conditionalFormatting>
  <conditionalFormatting sqref="BR212">
    <cfRule type="cellIs" dxfId="1755" priority="119" operator="equal">
      <formula>0</formula>
    </cfRule>
  </conditionalFormatting>
  <conditionalFormatting sqref="BR242">
    <cfRule type="cellIs" dxfId="1754" priority="118" operator="equal">
      <formula>0</formula>
    </cfRule>
  </conditionalFormatting>
  <conditionalFormatting sqref="BR129">
    <cfRule type="cellIs" dxfId="1753" priority="115" operator="equal">
      <formula>0</formula>
    </cfRule>
  </conditionalFormatting>
  <conditionalFormatting sqref="BR139">
    <cfRule type="cellIs" dxfId="1752" priority="114" operator="equal">
      <formula>0</formula>
    </cfRule>
  </conditionalFormatting>
  <conditionalFormatting sqref="V160:BR160">
    <cfRule type="cellIs" dxfId="1751" priority="112" operator="equal">
      <formula>0</formula>
    </cfRule>
  </conditionalFormatting>
  <conditionalFormatting sqref="K153:S153">
    <cfRule type="cellIs" dxfId="1750" priority="111" operator="equal">
      <formula>0</formula>
    </cfRule>
  </conditionalFormatting>
  <conditionalFormatting sqref="AS153:BR153 Z153:AQ153">
    <cfRule type="cellIs" dxfId="1749" priority="110" operator="equal">
      <formula>0</formula>
    </cfRule>
  </conditionalFormatting>
  <conditionalFormatting sqref="AS24:BR24 Q24:AQ24">
    <cfRule type="cellIs" dxfId="1748" priority="109" operator="equal">
      <formula>0</formula>
    </cfRule>
  </conditionalFormatting>
  <conditionalFormatting sqref="AB46:AE48">
    <cfRule type="cellIs" dxfId="1747" priority="108" operator="equal">
      <formula>0</formula>
    </cfRule>
  </conditionalFormatting>
  <conditionalFormatting sqref="AB90:AE90">
    <cfRule type="cellIs" dxfId="1746" priority="106" operator="equal">
      <formula>0</formula>
    </cfRule>
  </conditionalFormatting>
  <conditionalFormatting sqref="AB29:AE29">
    <cfRule type="cellIs" dxfId="1745" priority="105" operator="equal">
      <formula>0</formula>
    </cfRule>
  </conditionalFormatting>
  <conditionalFormatting sqref="AB28:AE28">
    <cfRule type="cellIs" dxfId="1744" priority="104" operator="equal">
      <formula>0</formula>
    </cfRule>
  </conditionalFormatting>
  <conditionalFormatting sqref="W55">
    <cfRule type="cellIs" dxfId="1743" priority="103" operator="equal">
      <formula>0</formula>
    </cfRule>
  </conditionalFormatting>
  <conditionalFormatting sqref="W46:AA48">
    <cfRule type="cellIs" dxfId="1742" priority="102" operator="equal">
      <formula>0</formula>
    </cfRule>
  </conditionalFormatting>
  <conditionalFormatting sqref="W42:AA42">
    <cfRule type="cellIs" dxfId="1741" priority="100" operator="equal">
      <formula>0</formula>
    </cfRule>
  </conditionalFormatting>
  <conditionalFormatting sqref="W39:AA41">
    <cfRule type="cellIs" dxfId="1740" priority="99" operator="equal">
      <formula>0</formula>
    </cfRule>
  </conditionalFormatting>
  <conditionalFormatting sqref="Z34:AA34">
    <cfRule type="cellIs" dxfId="1739" priority="97" operator="equal">
      <formula>0</formula>
    </cfRule>
  </conditionalFormatting>
  <conditionalFormatting sqref="Y34">
    <cfRule type="cellIs" dxfId="1738" priority="96" operator="equal">
      <formula>0</formula>
    </cfRule>
  </conditionalFormatting>
  <conditionalFormatting sqref="X34">
    <cfRule type="cellIs" dxfId="1737" priority="95" operator="equal">
      <formula>0</formula>
    </cfRule>
  </conditionalFormatting>
  <conditionalFormatting sqref="W34">
    <cfRule type="cellIs" dxfId="1736" priority="94" operator="equal">
      <formula>0</formula>
    </cfRule>
  </conditionalFormatting>
  <conditionalFormatting sqref="W90:AA90">
    <cfRule type="cellIs" dxfId="1735" priority="93" operator="equal">
      <formula>0</formula>
    </cfRule>
  </conditionalFormatting>
  <conditionalFormatting sqref="Z33:AA33">
    <cfRule type="cellIs" dxfId="1734" priority="92" operator="equal">
      <formula>0</formula>
    </cfRule>
  </conditionalFormatting>
  <conditionalFormatting sqref="Y33">
    <cfRule type="cellIs" dxfId="1733" priority="91" operator="equal">
      <formula>0</formula>
    </cfRule>
  </conditionalFormatting>
  <conditionalFormatting sqref="X33">
    <cfRule type="cellIs" dxfId="1732" priority="90" operator="equal">
      <formula>0</formula>
    </cfRule>
  </conditionalFormatting>
  <conditionalFormatting sqref="W33">
    <cfRule type="cellIs" dxfId="1731" priority="89" operator="equal">
      <formula>0</formula>
    </cfRule>
  </conditionalFormatting>
  <conditionalFormatting sqref="Z32:AA32">
    <cfRule type="cellIs" dxfId="1730" priority="88" operator="equal">
      <formula>0</formula>
    </cfRule>
  </conditionalFormatting>
  <conditionalFormatting sqref="Y32">
    <cfRule type="cellIs" dxfId="1729" priority="87" operator="equal">
      <formula>0</formula>
    </cfRule>
  </conditionalFormatting>
  <conditionalFormatting sqref="X32">
    <cfRule type="cellIs" dxfId="1728" priority="86" operator="equal">
      <formula>0</formula>
    </cfRule>
  </conditionalFormatting>
  <conditionalFormatting sqref="W32">
    <cfRule type="cellIs" dxfId="1727" priority="85" operator="equal">
      <formula>0</formula>
    </cfRule>
  </conditionalFormatting>
  <conditionalFormatting sqref="Z30:AA31">
    <cfRule type="cellIs" dxfId="1726" priority="84" operator="equal">
      <formula>0</formula>
    </cfRule>
  </conditionalFormatting>
  <conditionalFormatting sqref="Y30:Y31">
    <cfRule type="cellIs" dxfId="1725" priority="83" operator="equal">
      <formula>0</formula>
    </cfRule>
  </conditionalFormatting>
  <conditionalFormatting sqref="X30:X31">
    <cfRule type="cellIs" dxfId="1724" priority="82" operator="equal">
      <formula>0</formula>
    </cfRule>
  </conditionalFormatting>
  <conditionalFormatting sqref="W30:W31">
    <cfRule type="cellIs" dxfId="1723" priority="81" operator="equal">
      <formula>0</formula>
    </cfRule>
  </conditionalFormatting>
  <conditionalFormatting sqref="Z29:AA29">
    <cfRule type="cellIs" dxfId="1722" priority="80" operator="equal">
      <formula>0</formula>
    </cfRule>
  </conditionalFormatting>
  <conditionalFormatting sqref="Y29">
    <cfRule type="cellIs" dxfId="1721" priority="79" operator="equal">
      <formula>0</formula>
    </cfRule>
  </conditionalFormatting>
  <conditionalFormatting sqref="X29">
    <cfRule type="cellIs" dxfId="1720" priority="78" operator="equal">
      <formula>0</formula>
    </cfRule>
  </conditionalFormatting>
  <conditionalFormatting sqref="W29">
    <cfRule type="cellIs" dxfId="1719" priority="77" operator="equal">
      <formula>0</formula>
    </cfRule>
  </conditionalFormatting>
  <conditionalFormatting sqref="K55:V55">
    <cfRule type="cellIs" dxfId="1718" priority="76" operator="equal">
      <formula>0</formula>
    </cfRule>
  </conditionalFormatting>
  <conditionalFormatting sqref="BS53 BS93 BS111 BS115 BS133 BS150:BS154 BS193 BS205 BS78:BS79 BS63:BS68 BS183 BS103:BS105 BS186:BS189 BS217:BS221 BS226:BS230">
    <cfRule type="cellIs" dxfId="1717" priority="75" operator="equal">
      <formula>0</formula>
    </cfRule>
  </conditionalFormatting>
  <conditionalFormatting sqref="BW53 BW93 BW111 BW115 BW133 BW150:BW154 BW193 BW205 BW78:BW79 BW63:BW68 BW183 BW103:BW105 BW186:BW189 BW217:BW221 BW226:BW230">
    <cfRule type="cellIs" dxfId="1716" priority="62" operator="equal">
      <formula>0</formula>
    </cfRule>
  </conditionalFormatting>
  <conditionalFormatting sqref="BX53 BX93 BX111 BX115 BX133 BX150:BX154 BX193 BX205 BX78:BX79 BX63:BX68 BX183 BX103:BX105 BX186:BX189 BX217:BX221 BX226:BX230">
    <cfRule type="cellIs" dxfId="1715" priority="61" operator="equal">
      <formula>0</formula>
    </cfRule>
  </conditionalFormatting>
  <conditionalFormatting sqref="BY53 BY93 BY111 BY115 BY133 BY150:BY154 BY186 BY193 BY205 BY78:BY79 BY183 BY63:BY68 BY217:BY221 BY103:BY105 BY225:BY229">
    <cfRule type="cellIs" dxfId="1714" priority="60" operator="equal">
      <formula>0</formula>
    </cfRule>
  </conditionalFormatting>
  <conditionalFormatting sqref="BZ53 BZ93 BZ111:BZ112 BZ115:BZ116 BZ133 BZ150:BZ154 BZ193 BZ205 BZ78:BZ79 BZ63:BZ68 BZ183 BZ103:BZ105 BZ186:BZ189">
    <cfRule type="cellIs" dxfId="1713" priority="59" operator="equal">
      <formula>0</formula>
    </cfRule>
  </conditionalFormatting>
  <conditionalFormatting sqref="CA53 CA93 CA111:CA112 CA115:CA116 CA133 CA150:CA154 CA186:CA189 CA193 CA205 CA78:CA79 CA63:CA68 CA183 CA103:CA105">
    <cfRule type="cellIs" dxfId="1712" priority="58" operator="equal">
      <formula>0</formula>
    </cfRule>
  </conditionalFormatting>
  <conditionalFormatting sqref="CB53 CB93 CB111:CB112 CB115:CB116 CB133 CB150:CB154 CB186:CB189 CB193 CB205 CB78:CB79 CB63:CB68 CB183 CB103:CB105">
    <cfRule type="cellIs" dxfId="1711" priority="57" operator="equal">
      <formula>0</formula>
    </cfRule>
  </conditionalFormatting>
  <conditionalFormatting sqref="CC53 CC93 CC111:CC112 CC115:CC116 CC133 CC150:CC154 CC186:CC189 CC193 CC205 CC78:CC79 CC63:CC68 CC183 CC103:CC105">
    <cfRule type="cellIs" dxfId="1710" priority="56" operator="equal">
      <formula>0</formula>
    </cfRule>
  </conditionalFormatting>
  <conditionalFormatting sqref="CD53 CD93 CD111:CD112 CD115:CD116 CD133 CD150:CD154 CD186:CD189 CD193 CD205 CD78:CD79 CD63:CD68 CD183 CD103:CD105">
    <cfRule type="cellIs" dxfId="1709" priority="55" operator="equal">
      <formula>0</formula>
    </cfRule>
  </conditionalFormatting>
  <conditionalFormatting sqref="CE53 CE93 CE111 CE115 CE133 CE150:CE154 CE186 CE193 CE205 CE78:CE79 CE183 CE63:CE68 CE217:CE221 CE226:CE230 CE103:CE105">
    <cfRule type="cellIs" dxfId="1708" priority="54" operator="equal">
      <formula>0</formula>
    </cfRule>
  </conditionalFormatting>
  <conditionalFormatting sqref="BT53 BT93 BT111 BT115 BT133 BT150:BT154 BT193 BT205 BT78:BT79 BT63:BT68 BT183 BT103:BT105 BT186:BT189 BT217:BT221 BT226:BT230">
    <cfRule type="cellIs" dxfId="1707" priority="65" operator="equal">
      <formula>0</formula>
    </cfRule>
  </conditionalFormatting>
  <conditionalFormatting sqref="BU53 BU93 BU111 BU115 BU133 BU150:BU154 BU193 BU205 BU78:BU79 BU63:BU68 BU183 BU103:BU105 BU186:BU189 BU217:BU221 BU226:BU230">
    <cfRule type="cellIs" dxfId="1706" priority="64" operator="equal">
      <formula>0</formula>
    </cfRule>
  </conditionalFormatting>
  <conditionalFormatting sqref="BV53 BV93 BV111 BV115 BV133 BV150:BV154 BV193 BV78:BV79 BV63:BV68 BV183 BV103:BV105 BV186:BV189">
    <cfRule type="cellIs" dxfId="1705" priority="63" operator="equal">
      <formula>0</formula>
    </cfRule>
  </conditionalFormatting>
  <conditionalFormatting sqref="CE69">
    <cfRule type="cellIs" dxfId="1704" priority="52" operator="equal">
      <formula>0</formula>
    </cfRule>
  </conditionalFormatting>
  <conditionalFormatting sqref="AW174">
    <cfRule type="cellIs" dxfId="1703" priority="51" operator="equal">
      <formula>0</formula>
    </cfRule>
  </conditionalFormatting>
  <conditionalFormatting sqref="BS195:BS196">
    <cfRule type="cellIs" dxfId="1702" priority="50" operator="equal">
      <formula>0</formula>
    </cfRule>
  </conditionalFormatting>
  <conditionalFormatting sqref="BT195:BT196">
    <cfRule type="cellIs" dxfId="1701" priority="49" operator="equal">
      <formula>0</formula>
    </cfRule>
  </conditionalFormatting>
  <conditionalFormatting sqref="BU195:BU196">
    <cfRule type="cellIs" dxfId="1700" priority="48" operator="equal">
      <formula>0</formula>
    </cfRule>
  </conditionalFormatting>
  <conditionalFormatting sqref="BV195:BV196">
    <cfRule type="cellIs" dxfId="1699" priority="47" operator="equal">
      <formula>0</formula>
    </cfRule>
  </conditionalFormatting>
  <conditionalFormatting sqref="BW195:BW196">
    <cfRule type="cellIs" dxfId="1698" priority="46" operator="equal">
      <formula>0</formula>
    </cfRule>
  </conditionalFormatting>
  <conditionalFormatting sqref="BX195:BX196">
    <cfRule type="cellIs" dxfId="1697" priority="45" operator="equal">
      <formula>0</formula>
    </cfRule>
  </conditionalFormatting>
  <conditionalFormatting sqref="BY197">
    <cfRule type="cellIs" dxfId="1696" priority="44" operator="equal">
      <formula>0</formula>
    </cfRule>
  </conditionalFormatting>
  <conditionalFormatting sqref="BY195:BY196">
    <cfRule type="cellIs" dxfId="1695" priority="43" operator="equal">
      <formula>0</formula>
    </cfRule>
  </conditionalFormatting>
  <conditionalFormatting sqref="CE195:CE196">
    <cfRule type="cellIs" dxfId="1694" priority="42" operator="equal">
      <formula>0</formula>
    </cfRule>
  </conditionalFormatting>
  <conditionalFormatting sqref="CE216">
    <cfRule type="cellIs" dxfId="1693" priority="41" operator="equal">
      <formula>0</formula>
    </cfRule>
  </conditionalFormatting>
  <conditionalFormatting sqref="BW216">
    <cfRule type="cellIs" dxfId="1692" priority="40" operator="equal">
      <formula>0</formula>
    </cfRule>
  </conditionalFormatting>
  <conditionalFormatting sqref="BU216">
    <cfRule type="cellIs" dxfId="1691" priority="39" operator="equal">
      <formula>0</formula>
    </cfRule>
  </conditionalFormatting>
  <conditionalFormatting sqref="BT216">
    <cfRule type="cellIs" dxfId="1690" priority="38" operator="equal">
      <formula>0</formula>
    </cfRule>
  </conditionalFormatting>
  <conditionalFormatting sqref="BS216">
    <cfRule type="cellIs" dxfId="1689" priority="37" operator="equal">
      <formula>0</formula>
    </cfRule>
  </conditionalFormatting>
  <conditionalFormatting sqref="BX216">
    <cfRule type="cellIs" dxfId="1688" priority="36" operator="equal">
      <formula>0</formula>
    </cfRule>
  </conditionalFormatting>
  <conditionalFormatting sqref="BY216">
    <cfRule type="cellIs" dxfId="1687" priority="35" operator="equal">
      <formula>0</formula>
    </cfRule>
  </conditionalFormatting>
  <conditionalFormatting sqref="BS225">
    <cfRule type="cellIs" dxfId="1686" priority="34" operator="equal">
      <formula>0</formula>
    </cfRule>
  </conditionalFormatting>
  <conditionalFormatting sqref="BT225">
    <cfRule type="cellIs" dxfId="1685" priority="33" operator="equal">
      <formula>0</formula>
    </cfRule>
  </conditionalFormatting>
  <conditionalFormatting sqref="BU225">
    <cfRule type="cellIs" dxfId="1684" priority="32" operator="equal">
      <formula>0</formula>
    </cfRule>
  </conditionalFormatting>
  <conditionalFormatting sqref="BW225">
    <cfRule type="cellIs" dxfId="1683" priority="31" operator="equal">
      <formula>0</formula>
    </cfRule>
  </conditionalFormatting>
  <conditionalFormatting sqref="BX225">
    <cfRule type="cellIs" dxfId="1682" priority="30" operator="equal">
      <formula>0</formula>
    </cfRule>
  </conditionalFormatting>
  <conditionalFormatting sqref="CE225">
    <cfRule type="cellIs" dxfId="1681" priority="29" operator="equal">
      <formula>0</formula>
    </cfRule>
  </conditionalFormatting>
  <conditionalFormatting sqref="BS112">
    <cfRule type="cellIs" dxfId="1680" priority="28" operator="equal">
      <formula>0</formula>
    </cfRule>
  </conditionalFormatting>
  <conditionalFormatting sqref="BT112">
    <cfRule type="cellIs" dxfId="1679" priority="27" operator="equal">
      <formula>0</formula>
    </cfRule>
  </conditionalFormatting>
  <conditionalFormatting sqref="BU112">
    <cfRule type="cellIs" dxfId="1678" priority="26" operator="equal">
      <formula>0</formula>
    </cfRule>
  </conditionalFormatting>
  <conditionalFormatting sqref="BV112">
    <cfRule type="cellIs" dxfId="1677" priority="25" operator="equal">
      <formula>0</formula>
    </cfRule>
  </conditionalFormatting>
  <conditionalFormatting sqref="BW112">
    <cfRule type="cellIs" dxfId="1676" priority="24" operator="equal">
      <formula>0</formula>
    </cfRule>
  </conditionalFormatting>
  <conditionalFormatting sqref="BX112">
    <cfRule type="cellIs" dxfId="1675" priority="23" operator="equal">
      <formula>0</formula>
    </cfRule>
  </conditionalFormatting>
  <conditionalFormatting sqref="BY112">
    <cfRule type="cellIs" dxfId="1674" priority="22" operator="equal">
      <formula>0</formula>
    </cfRule>
  </conditionalFormatting>
  <conditionalFormatting sqref="CE112">
    <cfRule type="cellIs" dxfId="1673" priority="21" operator="equal">
      <formula>0</formula>
    </cfRule>
  </conditionalFormatting>
  <conditionalFormatting sqref="BS223:BS224">
    <cfRule type="cellIs" dxfId="1672" priority="20" operator="equal">
      <formula>0</formula>
    </cfRule>
  </conditionalFormatting>
  <conditionalFormatting sqref="BT223:BT224">
    <cfRule type="cellIs" dxfId="1671" priority="19" operator="equal">
      <formula>0</formula>
    </cfRule>
  </conditionalFormatting>
  <conditionalFormatting sqref="BU223:BU224">
    <cfRule type="cellIs" dxfId="1670" priority="18" operator="equal">
      <formula>0</formula>
    </cfRule>
  </conditionalFormatting>
  <conditionalFormatting sqref="BV223:BV224">
    <cfRule type="cellIs" dxfId="1669" priority="17" operator="equal">
      <formula>0</formula>
    </cfRule>
  </conditionalFormatting>
  <conditionalFormatting sqref="BW223:BW224">
    <cfRule type="cellIs" dxfId="1668" priority="16" operator="equal">
      <formula>0</formula>
    </cfRule>
  </conditionalFormatting>
  <conditionalFormatting sqref="BX223:BX224">
    <cfRule type="cellIs" dxfId="1667" priority="15" operator="equal">
      <formula>0</formula>
    </cfRule>
  </conditionalFormatting>
  <conditionalFormatting sqref="BY223">
    <cfRule type="cellIs" dxfId="1666" priority="14" operator="equal">
      <formula>0</formula>
    </cfRule>
  </conditionalFormatting>
  <conditionalFormatting sqref="CE223">
    <cfRule type="cellIs" dxfId="1665" priority="13" operator="equal">
      <formula>0</formula>
    </cfRule>
  </conditionalFormatting>
  <conditionalFormatting sqref="BS222">
    <cfRule type="cellIs" dxfId="1664" priority="12" operator="equal">
      <formula>0</formula>
    </cfRule>
  </conditionalFormatting>
  <conditionalFormatting sqref="BT222">
    <cfRule type="cellIs" dxfId="1663" priority="11" operator="equal">
      <formula>0</formula>
    </cfRule>
  </conditionalFormatting>
  <conditionalFormatting sqref="BU222">
    <cfRule type="cellIs" dxfId="1662" priority="10" operator="equal">
      <formula>0</formula>
    </cfRule>
  </conditionalFormatting>
  <conditionalFormatting sqref="BV222">
    <cfRule type="cellIs" dxfId="1661" priority="9" operator="equal">
      <formula>0</formula>
    </cfRule>
  </conditionalFormatting>
  <conditionalFormatting sqref="BW222">
    <cfRule type="cellIs" dxfId="1660" priority="8" operator="equal">
      <formula>0</formula>
    </cfRule>
  </conditionalFormatting>
  <conditionalFormatting sqref="BX222">
    <cfRule type="cellIs" dxfId="1659" priority="7" operator="equal">
      <formula>0</formula>
    </cfRule>
  </conditionalFormatting>
  <conditionalFormatting sqref="BY222">
    <cfRule type="cellIs" dxfId="1658" priority="6" operator="equal">
      <formula>0</formula>
    </cfRule>
  </conditionalFormatting>
  <conditionalFormatting sqref="CE222">
    <cfRule type="cellIs" dxfId="1657" priority="5" operator="equal">
      <formula>0</formula>
    </cfRule>
  </conditionalFormatting>
  <conditionalFormatting sqref="BY230">
    <cfRule type="cellIs" dxfId="1656" priority="4" operator="equal">
      <formula>0</formula>
    </cfRule>
  </conditionalFormatting>
  <conditionalFormatting sqref="BY224">
    <cfRule type="cellIs" dxfId="1655" priority="3" operator="equal">
      <formula>0</formula>
    </cfRule>
  </conditionalFormatting>
  <conditionalFormatting sqref="CE224">
    <cfRule type="cellIs" dxfId="1654" priority="2" operator="equal">
      <formula>0</formula>
    </cfRule>
  </conditionalFormatting>
  <conditionalFormatting sqref="CE238">
    <cfRule type="cellIs" dxfId="1653" priority="1" operator="equal">
      <formula>0</formula>
    </cfRule>
  </conditionalFormatting>
  <pageMargins left="0.7" right="0.7" top="0.75" bottom="0.75" header="0.3" footer="0.3"/>
  <pageSetup paperSize="9" orientation="portrait" r:id="rId1"/>
  <ignoredErrors>
    <ignoredError sqref="AK6 AO6 BA6" twoDigitTextYear="1"/>
    <ignoredError sqref="BS62:BV62 BS52:BV52 BS39:CD39 BS32:CD36 BS54:BV57 BS77:CD78 BX79 BS74:BV75 BW40:CD40 BW74:CD76 BS42:CD43 BW52:CD58 BW62:CD63 BS69:CD69 BS49:CD49 BS133:CD139 BS80:CD80 BS46:CD46 BS212:CD214 BS115:CD115 BS141:CD155 BS106:CD107 BS183:CD186 BS208:CD209 BS113:CD113 BS178:CD179 BS86:CD86 BS171:CD171 BS176:BV176 BS72:CD72 BS60:CD60 BS231:CD231 BS82:CD83 CE8:CE17 BS241:CD242 BS173:CD173 BS197:BX197 BX176:CD176 BZ197:CD197 BS122:CD130 BS190:CD194 BS111:CD111 BS8:CD30 BS158:CD169 BS89:CD102 BS202:CD206" formulaRange="1"/>
    <ignoredError sqref="F20 D234 D199 D238" 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9" tint="-0.249977111117893"/>
  </sheetPr>
  <dimension ref="A1:S15"/>
  <sheetViews>
    <sheetView showGridLines="0" zoomScale="86" zoomScaleNormal="86" workbookViewId="0">
      <pane ySplit="16" topLeftCell="A20" activePane="bottomLeft" state="frozen"/>
      <selection activeCell="G24" sqref="G24"/>
      <selection pane="bottomLeft" activeCell="B23" sqref="B23"/>
    </sheetView>
  </sheetViews>
  <sheetFormatPr baseColWidth="10" defaultRowHeight="13.5" customHeight="1" x14ac:dyDescent="0.2"/>
  <cols>
    <col min="1" max="1" width="3.5703125" style="1" customWidth="1"/>
    <col min="2" max="2" width="50.85546875" style="1" customWidth="1"/>
    <col min="3" max="11" width="12" style="1" customWidth="1"/>
    <col min="12" max="12" width="10.7109375" style="1" customWidth="1"/>
    <col min="13" max="13" width="11.42578125" style="1" customWidth="1"/>
    <col min="14" max="14" width="11" style="1" customWidth="1"/>
    <col min="15" max="15" width="12" style="1" customWidth="1"/>
    <col min="16" max="18" width="11.42578125" style="1"/>
    <col min="19" max="19" width="15" style="1" customWidth="1"/>
    <col min="20" max="16384" width="11.42578125" style="1"/>
  </cols>
  <sheetData>
    <row r="1" spans="1:19" ht="13.5" customHeight="1" thickBot="1" x14ac:dyDescent="0.25"/>
    <row r="2" spans="1:19" ht="13.5" customHeight="1" thickBot="1" x14ac:dyDescent="0.3">
      <c r="B2" s="30" t="s">
        <v>136</v>
      </c>
      <c r="P2" s="352" t="s">
        <v>176</v>
      </c>
      <c r="Q2" s="353"/>
    </row>
    <row r="3" spans="1:19" ht="13.5" customHeight="1" thickBot="1" x14ac:dyDescent="0.25"/>
    <row r="4" spans="1:19" ht="13.5" customHeight="1" thickBot="1" x14ac:dyDescent="0.3">
      <c r="B4" s="31" t="s">
        <v>137</v>
      </c>
      <c r="P4" s="352" t="s">
        <v>177</v>
      </c>
      <c r="Q4" s="354"/>
    </row>
    <row r="5" spans="1:19" ht="13.5" customHeight="1" x14ac:dyDescent="0.25">
      <c r="B5" s="44"/>
      <c r="P5" s="45"/>
      <c r="Q5" s="46"/>
    </row>
    <row r="6" spans="1:19" s="25" customFormat="1" ht="13.5" customHeight="1" thickBot="1" x14ac:dyDescent="0.25">
      <c r="A6" s="1"/>
      <c r="C6" s="120">
        <v>1</v>
      </c>
      <c r="D6" s="120">
        <f>C6+1</f>
        <v>2</v>
      </c>
      <c r="E6" s="120">
        <f t="shared" ref="E6:N6" si="0">D6+1</f>
        <v>3</v>
      </c>
      <c r="F6" s="120">
        <f t="shared" si="0"/>
        <v>4</v>
      </c>
      <c r="G6" s="120">
        <f t="shared" si="0"/>
        <v>5</v>
      </c>
      <c r="H6" s="120">
        <f t="shared" si="0"/>
        <v>6</v>
      </c>
      <c r="I6" s="120">
        <f t="shared" si="0"/>
        <v>7</v>
      </c>
      <c r="J6" s="120">
        <f t="shared" si="0"/>
        <v>8</v>
      </c>
      <c r="K6" s="120">
        <f t="shared" si="0"/>
        <v>9</v>
      </c>
      <c r="L6" s="120">
        <f t="shared" si="0"/>
        <v>10</v>
      </c>
      <c r="M6" s="120">
        <f t="shared" si="0"/>
        <v>11</v>
      </c>
      <c r="N6" s="120">
        <f t="shared" si="0"/>
        <v>12</v>
      </c>
      <c r="O6" s="26"/>
    </row>
    <row r="7" spans="1:19" ht="13.5" customHeight="1" thickBot="1" x14ac:dyDescent="0.25">
      <c r="B7" s="97" t="s">
        <v>154</v>
      </c>
      <c r="C7" s="28" t="s">
        <v>138</v>
      </c>
      <c r="D7" s="28" t="s">
        <v>139</v>
      </c>
      <c r="E7" s="28" t="s">
        <v>140</v>
      </c>
      <c r="F7" s="28" t="s">
        <v>141</v>
      </c>
      <c r="G7" s="28" t="s">
        <v>142</v>
      </c>
      <c r="H7" s="28" t="s">
        <v>143</v>
      </c>
      <c r="I7" s="28" t="s">
        <v>144</v>
      </c>
      <c r="J7" s="28" t="s">
        <v>145</v>
      </c>
      <c r="K7" s="28" t="s">
        <v>146</v>
      </c>
      <c r="L7" s="28" t="s">
        <v>147</v>
      </c>
      <c r="M7" s="28" t="s">
        <v>148</v>
      </c>
      <c r="N7" s="28" t="s">
        <v>149</v>
      </c>
      <c r="O7" s="32" t="s">
        <v>157</v>
      </c>
      <c r="P7" s="32" t="s">
        <v>157</v>
      </c>
    </row>
    <row r="8" spans="1:19" ht="13.5" customHeight="1" thickBot="1" x14ac:dyDescent="0.3">
      <c r="A8" s="1">
        <v>3</v>
      </c>
      <c r="B8" s="27" t="s">
        <v>152</v>
      </c>
      <c r="C8" s="47">
        <v>7185</v>
      </c>
      <c r="D8" s="47">
        <v>6740</v>
      </c>
      <c r="E8" s="47">
        <v>7431.5</v>
      </c>
      <c r="F8" s="47">
        <v>5672</v>
      </c>
      <c r="G8" s="47">
        <v>7741.5</v>
      </c>
      <c r="H8" s="47">
        <v>7315</v>
      </c>
      <c r="I8" s="47">
        <v>6045</v>
      </c>
      <c r="J8" s="47">
        <v>6659</v>
      </c>
      <c r="K8" s="47">
        <v>6610</v>
      </c>
      <c r="L8" s="47">
        <v>1475</v>
      </c>
      <c r="M8" s="47">
        <v>0</v>
      </c>
      <c r="N8" s="47">
        <v>0</v>
      </c>
      <c r="O8" s="35">
        <f t="shared" ref="O8:O15" si="1">SUM(C8:N8)</f>
        <v>62874</v>
      </c>
      <c r="P8" s="33">
        <f t="shared" ref="P8:P13" si="2">O8/$O$15</f>
        <v>0.89937561240764718</v>
      </c>
      <c r="R8" s="631" t="s">
        <v>868</v>
      </c>
      <c r="S8" s="632"/>
    </row>
    <row r="9" spans="1:19" ht="13.5" customHeight="1" x14ac:dyDescent="0.2">
      <c r="A9" s="1">
        <v>1</v>
      </c>
      <c r="B9" s="27" t="s">
        <v>75</v>
      </c>
      <c r="C9" s="47">
        <v>310.5</v>
      </c>
      <c r="D9" s="47">
        <v>430</v>
      </c>
      <c r="E9" s="47">
        <v>715.5</v>
      </c>
      <c r="F9" s="47">
        <v>585</v>
      </c>
      <c r="G9" s="47">
        <v>128</v>
      </c>
      <c r="H9" s="47">
        <v>136</v>
      </c>
      <c r="I9" s="98">
        <v>247</v>
      </c>
      <c r="J9" s="98">
        <v>181</v>
      </c>
      <c r="K9" s="98">
        <v>57</v>
      </c>
      <c r="L9" s="98">
        <v>0</v>
      </c>
      <c r="M9" s="47">
        <v>0</v>
      </c>
      <c r="N9" s="47">
        <v>0</v>
      </c>
      <c r="O9" s="35">
        <f t="shared" si="1"/>
        <v>2790</v>
      </c>
      <c r="P9" s="33">
        <f t="shared" si="2"/>
        <v>3.9909310026677726E-2</v>
      </c>
    </row>
    <row r="10" spans="1:19" ht="13.5" customHeight="1" x14ac:dyDescent="0.2">
      <c r="A10" s="1">
        <v>2</v>
      </c>
      <c r="B10" s="27" t="s">
        <v>46</v>
      </c>
      <c r="C10" s="71">
        <v>50.5</v>
      </c>
      <c r="D10" s="71">
        <v>28</v>
      </c>
      <c r="E10" s="71">
        <v>29</v>
      </c>
      <c r="F10" s="71">
        <v>63</v>
      </c>
      <c r="G10" s="71">
        <v>239</v>
      </c>
      <c r="H10" s="71">
        <v>209</v>
      </c>
      <c r="I10" s="71">
        <v>100</v>
      </c>
      <c r="J10" s="71">
        <v>140</v>
      </c>
      <c r="K10" s="71">
        <v>180</v>
      </c>
      <c r="L10" s="71">
        <v>24</v>
      </c>
      <c r="M10" s="47">
        <v>0</v>
      </c>
      <c r="N10" s="47">
        <v>0</v>
      </c>
      <c r="O10" s="35">
        <f t="shared" si="1"/>
        <v>1062.5</v>
      </c>
      <c r="P10" s="33">
        <f t="shared" si="2"/>
        <v>1.5198437958188203E-2</v>
      </c>
    </row>
    <row r="11" spans="1:19" ht="13.5" customHeight="1" x14ac:dyDescent="0.2">
      <c r="A11" s="1">
        <v>4</v>
      </c>
      <c r="B11" s="27" t="s">
        <v>207</v>
      </c>
      <c r="C11" s="71">
        <v>560</v>
      </c>
      <c r="D11" s="71">
        <v>242</v>
      </c>
      <c r="E11" s="71">
        <v>144</v>
      </c>
      <c r="F11" s="71">
        <v>128</v>
      </c>
      <c r="G11" s="71">
        <v>112</v>
      </c>
      <c r="H11" s="71">
        <v>44</v>
      </c>
      <c r="I11" s="99">
        <v>72</v>
      </c>
      <c r="J11" s="99">
        <v>320</v>
      </c>
      <c r="K11" s="99">
        <v>264</v>
      </c>
      <c r="L11" s="99">
        <v>88</v>
      </c>
      <c r="M11" s="47">
        <v>0</v>
      </c>
      <c r="N11" s="47">
        <v>0</v>
      </c>
      <c r="O11" s="35">
        <f t="shared" si="1"/>
        <v>1974</v>
      </c>
      <c r="P11" s="33">
        <f t="shared" si="2"/>
        <v>2.8236909674789187E-2</v>
      </c>
    </row>
    <row r="12" spans="1:19" ht="13.5" customHeight="1" x14ac:dyDescent="0.2">
      <c r="A12" s="1">
        <v>5</v>
      </c>
      <c r="B12" s="27" t="s">
        <v>208</v>
      </c>
      <c r="C12" s="71">
        <v>72</v>
      </c>
      <c r="D12" s="71">
        <v>8</v>
      </c>
      <c r="E12" s="71">
        <v>40</v>
      </c>
      <c r="F12" s="71">
        <v>72</v>
      </c>
      <c r="G12" s="71">
        <v>78</v>
      </c>
      <c r="H12" s="71">
        <v>112</v>
      </c>
      <c r="I12" s="71">
        <v>64</v>
      </c>
      <c r="J12" s="71">
        <v>52</v>
      </c>
      <c r="K12" s="71">
        <v>40</v>
      </c>
      <c r="L12" s="71">
        <v>80</v>
      </c>
      <c r="M12" s="47">
        <v>0</v>
      </c>
      <c r="N12" s="47">
        <v>0</v>
      </c>
      <c r="O12" s="35">
        <f t="shared" si="1"/>
        <v>618</v>
      </c>
      <c r="P12" s="33">
        <f t="shared" si="2"/>
        <v>8.840126737092056E-3</v>
      </c>
    </row>
    <row r="13" spans="1:19" ht="13.5" customHeight="1" x14ac:dyDescent="0.2">
      <c r="A13" s="1">
        <v>6</v>
      </c>
      <c r="B13" s="27" t="s">
        <v>855</v>
      </c>
      <c r="C13" s="71">
        <v>0</v>
      </c>
      <c r="D13" s="71">
        <v>0</v>
      </c>
      <c r="E13" s="71">
        <v>0</v>
      </c>
      <c r="F13" s="71">
        <v>0</v>
      </c>
      <c r="G13" s="71">
        <v>0</v>
      </c>
      <c r="H13" s="71">
        <v>0</v>
      </c>
      <c r="I13" s="71">
        <v>0</v>
      </c>
      <c r="J13" s="71">
        <v>96</v>
      </c>
      <c r="K13" s="71">
        <v>16</v>
      </c>
      <c r="L13" s="71">
        <v>0</v>
      </c>
      <c r="M13" s="47">
        <v>0</v>
      </c>
      <c r="N13" s="47">
        <v>0</v>
      </c>
      <c r="O13" s="35">
        <f t="shared" si="1"/>
        <v>112</v>
      </c>
      <c r="P13" s="33">
        <f t="shared" si="2"/>
        <v>1.602094165945486E-3</v>
      </c>
    </row>
    <row r="14" spans="1:19" ht="13.5" customHeight="1" x14ac:dyDescent="0.2">
      <c r="A14" s="1">
        <v>7</v>
      </c>
      <c r="B14" s="27" t="s">
        <v>967</v>
      </c>
      <c r="C14" s="71">
        <v>0</v>
      </c>
      <c r="D14" s="71">
        <v>0</v>
      </c>
      <c r="E14" s="71">
        <v>0</v>
      </c>
      <c r="F14" s="71">
        <v>0</v>
      </c>
      <c r="G14" s="71">
        <v>0</v>
      </c>
      <c r="H14" s="71">
        <v>0</v>
      </c>
      <c r="I14" s="71">
        <v>160</v>
      </c>
      <c r="J14" s="71">
        <v>216</v>
      </c>
      <c r="K14" s="71">
        <v>209</v>
      </c>
      <c r="L14" s="71">
        <v>53</v>
      </c>
      <c r="M14" s="47">
        <v>0</v>
      </c>
      <c r="N14" s="47">
        <v>0</v>
      </c>
      <c r="O14" s="35"/>
      <c r="P14" s="33"/>
    </row>
    <row r="15" spans="1:19" ht="13.5" customHeight="1" x14ac:dyDescent="0.2">
      <c r="B15" s="70" t="s">
        <v>155</v>
      </c>
      <c r="C15" s="48">
        <f>SUM(C8:C13)</f>
        <v>8178</v>
      </c>
      <c r="D15" s="48">
        <f t="shared" ref="D15:N15" si="3">SUM(D8:D13)</f>
        <v>7448</v>
      </c>
      <c r="E15" s="48">
        <f t="shared" si="3"/>
        <v>8360</v>
      </c>
      <c r="F15" s="48">
        <f t="shared" si="3"/>
        <v>6520</v>
      </c>
      <c r="G15" s="48">
        <f t="shared" si="3"/>
        <v>8298.5</v>
      </c>
      <c r="H15" s="48">
        <f t="shared" si="3"/>
        <v>7816</v>
      </c>
      <c r="I15" s="48">
        <f t="shared" si="3"/>
        <v>6528</v>
      </c>
      <c r="J15" s="48">
        <f>SUM(J8:J14)</f>
        <v>7664</v>
      </c>
      <c r="K15" s="48">
        <f>SUM(K8:K14)</f>
        <v>7376</v>
      </c>
      <c r="L15" s="48">
        <f>SUM(L8:L14)</f>
        <v>1720</v>
      </c>
      <c r="M15" s="348">
        <f t="shared" si="3"/>
        <v>0</v>
      </c>
      <c r="N15" s="348">
        <f t="shared" si="3"/>
        <v>0</v>
      </c>
      <c r="O15" s="36">
        <f t="shared" si="1"/>
        <v>69908.5</v>
      </c>
      <c r="P15" s="34">
        <f>SUM(P8:P10)</f>
        <v>0.95448336039251314</v>
      </c>
    </row>
  </sheetData>
  <mergeCells count="1">
    <mergeCell ref="R8:S8"/>
  </mergeCells>
  <conditionalFormatting sqref="I8:I9 I11 M8:N14">
    <cfRule type="cellIs" dxfId="1652" priority="4" operator="equal">
      <formula>0</formula>
    </cfRule>
  </conditionalFormatting>
  <hyperlinks>
    <hyperlink ref="P4" location="'Por Proyecto'!A1" display="Ver detalle por proyecto"/>
    <hyperlink ref="P2" location="'Por Recurso'!A1" display="Ver detalle por recurso"/>
    <hyperlink ref="R8:S8" location="'Rentabilidad x Proy'!A1" display="Ver Rentabilidad x Proyecto"/>
  </hyperlinks>
  <pageMargins left="0.7" right="0.7" top="0.75" bottom="0.75" header="0.3" footer="0.3"/>
  <pageSetup paperSize="9" orientation="portrait" r:id="rId1"/>
  <ignoredErrors>
    <ignoredError sqref="C15:I15 M15:N15" formulaRange="1"/>
    <ignoredError sqref="J15" 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4:J84"/>
  <sheetViews>
    <sheetView topLeftCell="A10" workbookViewId="0">
      <selection activeCell="I23" sqref="I23"/>
    </sheetView>
  </sheetViews>
  <sheetFormatPr baseColWidth="10" defaultRowHeight="15" x14ac:dyDescent="0.25"/>
  <cols>
    <col min="2" max="2" width="39.42578125" bestFit="1" customWidth="1"/>
    <col min="3" max="3" width="13.7109375" customWidth="1"/>
    <col min="4" max="4" width="15.7109375" customWidth="1"/>
    <col min="5" max="5" width="15.28515625" customWidth="1"/>
    <col min="6" max="6" width="14.42578125" customWidth="1"/>
    <col min="7" max="7" width="15.140625" customWidth="1"/>
    <col min="8" max="8" width="14.85546875" customWidth="1"/>
    <col min="9" max="9" width="15.28515625" customWidth="1"/>
    <col min="10" max="10" width="15.7109375" bestFit="1" customWidth="1"/>
  </cols>
  <sheetData>
    <row r="4" spans="2:10" x14ac:dyDescent="0.25">
      <c r="B4" s="116" t="s">
        <v>72</v>
      </c>
      <c r="C4" s="105" t="s">
        <v>73</v>
      </c>
      <c r="D4" s="105" t="s">
        <v>74</v>
      </c>
      <c r="E4" s="105" t="s">
        <v>240</v>
      </c>
      <c r="F4" s="105" t="s">
        <v>241</v>
      </c>
      <c r="G4" s="105" t="s">
        <v>236</v>
      </c>
      <c r="H4" s="105" t="s">
        <v>237</v>
      </c>
      <c r="I4" s="105" t="s">
        <v>238</v>
      </c>
      <c r="J4" s="106" t="s">
        <v>239</v>
      </c>
    </row>
    <row r="5" spans="2:10" x14ac:dyDescent="0.25">
      <c r="B5" s="103" t="str">
        <f>tareo!C122</f>
        <v>Alejos Yamamoto Arturo Ricardo</v>
      </c>
      <c r="C5" s="100" t="s">
        <v>91</v>
      </c>
      <c r="D5" s="100" t="s">
        <v>92</v>
      </c>
      <c r="E5" s="109">
        <v>0</v>
      </c>
      <c r="F5" s="109">
        <v>0</v>
      </c>
      <c r="G5" s="109">
        <v>0</v>
      </c>
      <c r="H5" s="110">
        <v>0</v>
      </c>
      <c r="I5" s="110">
        <v>0</v>
      </c>
      <c r="J5" s="111">
        <f t="shared" ref="J5:J36" si="0">SUM(E5:I5)</f>
        <v>0</v>
      </c>
    </row>
    <row r="6" spans="2:10" x14ac:dyDescent="0.25">
      <c r="B6" s="103" t="str">
        <f>tareo!C123</f>
        <v>Alejos Yamamoto Arturo Ricardo</v>
      </c>
      <c r="C6" s="100" t="s">
        <v>78</v>
      </c>
      <c r="D6" s="100" t="s">
        <v>79</v>
      </c>
      <c r="E6" s="109">
        <v>0</v>
      </c>
      <c r="F6" s="109">
        <v>0</v>
      </c>
      <c r="G6" s="109">
        <v>0</v>
      </c>
      <c r="H6" s="110">
        <v>0</v>
      </c>
      <c r="I6" s="110">
        <v>0</v>
      </c>
      <c r="J6" s="111">
        <f t="shared" si="0"/>
        <v>0</v>
      </c>
    </row>
    <row r="7" spans="2:10" x14ac:dyDescent="0.25">
      <c r="B7" s="103" t="str">
        <f>tareo!C124</f>
        <v>Alejos Yamamoto Arturo Ricardo</v>
      </c>
      <c r="C7" s="100" t="s">
        <v>93</v>
      </c>
      <c r="D7" s="100" t="s">
        <v>94</v>
      </c>
      <c r="E7" s="109">
        <v>0</v>
      </c>
      <c r="F7" s="109">
        <v>0</v>
      </c>
      <c r="G7" s="109">
        <v>0</v>
      </c>
      <c r="H7" s="110">
        <v>0</v>
      </c>
      <c r="I7" s="110">
        <v>0</v>
      </c>
      <c r="J7" s="111">
        <f t="shared" si="0"/>
        <v>0</v>
      </c>
    </row>
    <row r="8" spans="2:10" x14ac:dyDescent="0.25">
      <c r="B8" s="103" t="str">
        <f>tareo!C125</f>
        <v>Alejos Yamamoto Arturo Ricardo</v>
      </c>
      <c r="C8" s="100" t="s">
        <v>89</v>
      </c>
      <c r="D8" s="100" t="s">
        <v>90</v>
      </c>
      <c r="E8" s="109">
        <v>0</v>
      </c>
      <c r="F8" s="109">
        <v>0</v>
      </c>
      <c r="G8" s="109">
        <v>0</v>
      </c>
      <c r="H8" s="110">
        <v>0</v>
      </c>
      <c r="I8" s="110">
        <v>0</v>
      </c>
      <c r="J8" s="111">
        <f t="shared" si="0"/>
        <v>0</v>
      </c>
    </row>
    <row r="9" spans="2:10" x14ac:dyDescent="0.25">
      <c r="B9" s="103" t="str">
        <f>tareo!C126</f>
        <v>Alejos Yamamoto Arturo Ricardo</v>
      </c>
      <c r="C9" s="100" t="s">
        <v>89</v>
      </c>
      <c r="D9" s="100" t="s">
        <v>95</v>
      </c>
      <c r="E9" s="109">
        <v>0</v>
      </c>
      <c r="F9" s="109">
        <v>0</v>
      </c>
      <c r="G9" s="109">
        <v>0</v>
      </c>
      <c r="H9" s="110">
        <v>0</v>
      </c>
      <c r="I9" s="110">
        <v>0</v>
      </c>
      <c r="J9" s="111">
        <f t="shared" si="0"/>
        <v>0</v>
      </c>
    </row>
    <row r="10" spans="2:10" x14ac:dyDescent="0.25">
      <c r="B10" s="103" t="str">
        <f>tareo!C127</f>
        <v>Alejos Yamamoto Arturo Ricardo</v>
      </c>
      <c r="C10" s="100" t="s">
        <v>78</v>
      </c>
      <c r="D10" s="100" t="s">
        <v>221</v>
      </c>
      <c r="E10" s="109">
        <v>0</v>
      </c>
      <c r="F10" s="109">
        <v>0</v>
      </c>
      <c r="G10" s="109">
        <v>0</v>
      </c>
      <c r="H10" s="110">
        <v>0</v>
      </c>
      <c r="I10" s="110">
        <v>24</v>
      </c>
      <c r="J10" s="111">
        <f t="shared" si="0"/>
        <v>24</v>
      </c>
    </row>
    <row r="11" spans="2:10" x14ac:dyDescent="0.25">
      <c r="B11" s="103" t="e">
        <f>tareo!#REF!</f>
        <v>#REF!</v>
      </c>
      <c r="C11" s="100" t="s">
        <v>50</v>
      </c>
      <c r="D11" s="100" t="s">
        <v>196</v>
      </c>
      <c r="E11" s="109">
        <v>0</v>
      </c>
      <c r="F11" s="109">
        <v>0</v>
      </c>
      <c r="G11" s="109">
        <v>0</v>
      </c>
      <c r="H11" s="110">
        <v>0</v>
      </c>
      <c r="I11" s="110">
        <v>0</v>
      </c>
      <c r="J11" s="111">
        <f t="shared" si="0"/>
        <v>0</v>
      </c>
    </row>
    <row r="12" spans="2:10" x14ac:dyDescent="0.25">
      <c r="B12" s="103" t="e">
        <f>tareo!#REF!</f>
        <v>#REF!</v>
      </c>
      <c r="C12" s="100" t="s">
        <v>227</v>
      </c>
      <c r="D12" s="100" t="s">
        <v>228</v>
      </c>
      <c r="E12" s="109">
        <v>0</v>
      </c>
      <c r="F12" s="109">
        <v>0</v>
      </c>
      <c r="G12" s="109">
        <v>0</v>
      </c>
      <c r="H12" s="110">
        <v>0</v>
      </c>
      <c r="I12" s="110">
        <v>0</v>
      </c>
      <c r="J12" s="111">
        <f t="shared" si="0"/>
        <v>0</v>
      </c>
    </row>
    <row r="13" spans="2:10" x14ac:dyDescent="0.25">
      <c r="B13" s="104" t="str">
        <f>tareo!C130</f>
        <v>Alejos Yamamoto Arturo Ricardo</v>
      </c>
      <c r="C13" s="101" t="s">
        <v>46</v>
      </c>
      <c r="D13" s="101" t="s">
        <v>46</v>
      </c>
      <c r="E13" s="109">
        <v>16</v>
      </c>
      <c r="F13" s="109">
        <v>40</v>
      </c>
      <c r="G13" s="109">
        <v>0</v>
      </c>
      <c r="H13" s="110">
        <v>40</v>
      </c>
      <c r="I13" s="110">
        <v>32</v>
      </c>
      <c r="J13" s="111">
        <f t="shared" si="0"/>
        <v>128</v>
      </c>
    </row>
    <row r="14" spans="2:10" x14ac:dyDescent="0.25">
      <c r="B14" s="104" t="str">
        <f>tareo!C133</f>
        <v>Alejos Yamamoto Arturo Ricardo</v>
      </c>
      <c r="C14" s="101" t="s">
        <v>75</v>
      </c>
      <c r="D14" s="101" t="s">
        <v>75</v>
      </c>
      <c r="E14" s="109">
        <v>0</v>
      </c>
      <c r="F14" s="109">
        <v>0</v>
      </c>
      <c r="G14" s="109">
        <v>0</v>
      </c>
      <c r="H14" s="110">
        <v>0</v>
      </c>
      <c r="I14" s="110">
        <v>0</v>
      </c>
      <c r="J14" s="111">
        <f t="shared" si="0"/>
        <v>0</v>
      </c>
    </row>
    <row r="15" spans="2:10" x14ac:dyDescent="0.25">
      <c r="B15" s="103" t="str">
        <f>tareo!C139</f>
        <v>Alejos Yamamoto Arturo Ricardo</v>
      </c>
      <c r="C15" s="100" t="s">
        <v>50</v>
      </c>
      <c r="D15" s="100" t="s">
        <v>204</v>
      </c>
      <c r="E15" s="109">
        <v>0</v>
      </c>
      <c r="F15" s="109">
        <v>0</v>
      </c>
      <c r="G15" s="109">
        <v>0</v>
      </c>
      <c r="H15" s="110">
        <v>0</v>
      </c>
      <c r="I15" s="110">
        <v>0</v>
      </c>
      <c r="J15" s="111">
        <f t="shared" si="0"/>
        <v>0</v>
      </c>
    </row>
    <row r="16" spans="2:10" x14ac:dyDescent="0.25">
      <c r="B16" s="104" t="str">
        <f>tareo!C184</f>
        <v>Barbaran Broncales Emanuel</v>
      </c>
      <c r="C16" s="101" t="s">
        <v>45</v>
      </c>
      <c r="D16" s="101" t="s">
        <v>51</v>
      </c>
      <c r="E16" s="109">
        <v>16</v>
      </c>
      <c r="F16" s="109">
        <v>40</v>
      </c>
      <c r="G16" s="109">
        <v>40</v>
      </c>
      <c r="H16" s="110">
        <v>40</v>
      </c>
      <c r="I16" s="110">
        <v>0</v>
      </c>
      <c r="J16" s="111">
        <f t="shared" si="0"/>
        <v>136</v>
      </c>
    </row>
    <row r="17" spans="2:10" x14ac:dyDescent="0.25">
      <c r="B17" s="104" t="str">
        <f>tareo!C186</f>
        <v>Barbaran Broncales Emanuel</v>
      </c>
      <c r="C17" s="101" t="s">
        <v>75</v>
      </c>
      <c r="D17" s="101" t="s">
        <v>75</v>
      </c>
      <c r="E17" s="109">
        <v>0</v>
      </c>
      <c r="F17" s="109">
        <v>0</v>
      </c>
      <c r="G17" s="109">
        <v>0</v>
      </c>
      <c r="H17" s="110">
        <v>0</v>
      </c>
      <c r="I17" s="110">
        <v>0</v>
      </c>
      <c r="J17" s="111">
        <f t="shared" si="0"/>
        <v>0</v>
      </c>
    </row>
    <row r="18" spans="2:10" x14ac:dyDescent="0.25">
      <c r="B18" s="103" t="str">
        <f>tareo!C15</f>
        <v>Benito Bendezú Marco Antonio</v>
      </c>
      <c r="C18" s="100" t="s">
        <v>76</v>
      </c>
      <c r="D18" s="100" t="s">
        <v>77</v>
      </c>
      <c r="E18" s="109">
        <v>0</v>
      </c>
      <c r="F18" s="109">
        <v>0</v>
      </c>
      <c r="G18" s="109">
        <v>0</v>
      </c>
      <c r="H18" s="110">
        <v>0</v>
      </c>
      <c r="I18" s="110">
        <v>0</v>
      </c>
      <c r="J18" s="111">
        <f t="shared" si="0"/>
        <v>0</v>
      </c>
    </row>
    <row r="19" spans="2:10" x14ac:dyDescent="0.25">
      <c r="B19" s="103" t="str">
        <f>tareo!C17</f>
        <v>Benito Bendezú Marco Antonio</v>
      </c>
      <c r="C19" s="100" t="s">
        <v>78</v>
      </c>
      <c r="D19" s="100" t="s">
        <v>79</v>
      </c>
      <c r="E19" s="109">
        <v>0</v>
      </c>
      <c r="F19" s="109">
        <v>0</v>
      </c>
      <c r="G19" s="109">
        <v>0</v>
      </c>
      <c r="H19" s="110">
        <v>0</v>
      </c>
      <c r="I19" s="110">
        <v>0</v>
      </c>
      <c r="J19" s="111">
        <f t="shared" si="0"/>
        <v>0</v>
      </c>
    </row>
    <row r="20" spans="2:10" x14ac:dyDescent="0.25">
      <c r="B20" s="103" t="e">
        <f>tareo!#REF!</f>
        <v>#REF!</v>
      </c>
      <c r="C20" s="100" t="s">
        <v>50</v>
      </c>
      <c r="D20" s="100" t="s">
        <v>196</v>
      </c>
      <c r="E20" s="109">
        <v>0</v>
      </c>
      <c r="F20" s="109">
        <v>0</v>
      </c>
      <c r="G20" s="109">
        <v>0</v>
      </c>
      <c r="H20" s="110">
        <v>0</v>
      </c>
      <c r="I20" s="110">
        <v>0</v>
      </c>
      <c r="J20" s="111">
        <f t="shared" si="0"/>
        <v>0</v>
      </c>
    </row>
    <row r="21" spans="2:10" x14ac:dyDescent="0.25">
      <c r="B21" s="103" t="str">
        <f>tareo!C18</f>
        <v>Benito Bendezú Marco Antonio</v>
      </c>
      <c r="C21" s="100" t="s">
        <v>80</v>
      </c>
      <c r="D21" s="100" t="s">
        <v>81</v>
      </c>
      <c r="E21" s="109">
        <v>0</v>
      </c>
      <c r="F21" s="109">
        <v>0</v>
      </c>
      <c r="G21" s="109">
        <v>0</v>
      </c>
      <c r="H21" s="110">
        <v>0</v>
      </c>
      <c r="I21" s="110">
        <v>0</v>
      </c>
      <c r="J21" s="111">
        <f t="shared" si="0"/>
        <v>0</v>
      </c>
    </row>
    <row r="22" spans="2:10" x14ac:dyDescent="0.25">
      <c r="B22" s="103" t="str">
        <f>tareo!C19</f>
        <v>Benito Bendezú Marco Antonio</v>
      </c>
      <c r="C22" s="100" t="s">
        <v>82</v>
      </c>
      <c r="D22" s="100" t="s">
        <v>83</v>
      </c>
      <c r="E22" s="109">
        <v>0</v>
      </c>
      <c r="F22" s="109">
        <v>0</v>
      </c>
      <c r="G22" s="109">
        <v>0</v>
      </c>
      <c r="H22" s="110">
        <v>0</v>
      </c>
      <c r="I22" s="110">
        <v>0</v>
      </c>
      <c r="J22" s="111">
        <f t="shared" si="0"/>
        <v>0</v>
      </c>
    </row>
    <row r="23" spans="2:10" x14ac:dyDescent="0.25">
      <c r="B23" s="103" t="str">
        <f>tareo!C21</f>
        <v>Benito Bendezú Marco Antonio</v>
      </c>
      <c r="C23" s="100" t="s">
        <v>84</v>
      </c>
      <c r="D23" s="100" t="s">
        <v>85</v>
      </c>
      <c r="E23" s="109">
        <v>0</v>
      </c>
      <c r="F23" s="109">
        <v>0</v>
      </c>
      <c r="G23" s="109">
        <v>0</v>
      </c>
      <c r="H23" s="110">
        <v>0</v>
      </c>
      <c r="I23" s="110">
        <v>0</v>
      </c>
      <c r="J23" s="111">
        <f t="shared" si="0"/>
        <v>0</v>
      </c>
    </row>
    <row r="24" spans="2:10" x14ac:dyDescent="0.25">
      <c r="B24" s="103" t="str">
        <f>tareo!C91</f>
        <v>Benito Bendezú Marco Antonio</v>
      </c>
      <c r="C24" s="100" t="s">
        <v>86</v>
      </c>
      <c r="D24" s="100" t="s">
        <v>87</v>
      </c>
      <c r="E24" s="109">
        <v>0</v>
      </c>
      <c r="F24" s="109">
        <v>0</v>
      </c>
      <c r="G24" s="109">
        <v>0</v>
      </c>
      <c r="H24" s="110">
        <v>0</v>
      </c>
      <c r="I24" s="110">
        <v>0</v>
      </c>
      <c r="J24" s="111">
        <f t="shared" si="0"/>
        <v>0</v>
      </c>
    </row>
    <row r="25" spans="2:10" x14ac:dyDescent="0.25">
      <c r="B25" s="104" t="str">
        <f>tareo!C93</f>
        <v>Benito Bendezú Marco Antonio</v>
      </c>
      <c r="C25" s="101" t="s">
        <v>75</v>
      </c>
      <c r="D25" s="101" t="s">
        <v>75</v>
      </c>
      <c r="E25" s="109">
        <v>0</v>
      </c>
      <c r="F25" s="109">
        <v>0</v>
      </c>
      <c r="G25" s="109">
        <v>0</v>
      </c>
      <c r="H25" s="110">
        <v>0</v>
      </c>
      <c r="I25" s="110">
        <v>0</v>
      </c>
      <c r="J25" s="111">
        <f t="shared" si="0"/>
        <v>0</v>
      </c>
    </row>
    <row r="26" spans="2:10" x14ac:dyDescent="0.25">
      <c r="B26" s="104" t="str">
        <f>tareo!C94</f>
        <v>Benito Bendezú Marco Antonio</v>
      </c>
      <c r="C26" s="101" t="s">
        <v>46</v>
      </c>
      <c r="D26" s="101" t="s">
        <v>46</v>
      </c>
      <c r="E26" s="109">
        <v>16</v>
      </c>
      <c r="F26" s="109">
        <v>40</v>
      </c>
      <c r="G26" s="109">
        <v>40</v>
      </c>
      <c r="H26" s="110">
        <v>40</v>
      </c>
      <c r="I26" s="110">
        <v>32</v>
      </c>
      <c r="J26" s="111">
        <f t="shared" si="0"/>
        <v>168</v>
      </c>
    </row>
    <row r="27" spans="2:10" x14ac:dyDescent="0.25">
      <c r="B27" s="103" t="str">
        <f>tareo!C179</f>
        <v>Capactinta Bonifacio Luis Reynaldo</v>
      </c>
      <c r="C27" s="100" t="s">
        <v>84</v>
      </c>
      <c r="D27" s="100" t="s">
        <v>85</v>
      </c>
      <c r="E27" s="109">
        <v>16</v>
      </c>
      <c r="F27" s="109">
        <v>8</v>
      </c>
      <c r="G27" s="109">
        <v>0</v>
      </c>
      <c r="H27" s="110">
        <v>0</v>
      </c>
      <c r="I27" s="110">
        <v>0</v>
      </c>
      <c r="J27" s="111">
        <f t="shared" si="0"/>
        <v>24</v>
      </c>
    </row>
    <row r="28" spans="2:10" x14ac:dyDescent="0.25">
      <c r="B28" s="104" t="str">
        <f>tareo!C183</f>
        <v>Capactinta Bonifacio Luis Reynaldo</v>
      </c>
      <c r="C28" s="101" t="s">
        <v>75</v>
      </c>
      <c r="D28" s="101" t="s">
        <v>75</v>
      </c>
      <c r="E28" s="109">
        <v>0</v>
      </c>
      <c r="F28" s="109">
        <v>24</v>
      </c>
      <c r="G28" s="109">
        <v>40</v>
      </c>
      <c r="H28" s="110">
        <v>40</v>
      </c>
      <c r="I28" s="110">
        <v>0</v>
      </c>
      <c r="J28" s="111">
        <f t="shared" si="0"/>
        <v>104</v>
      </c>
    </row>
    <row r="29" spans="2:10" x14ac:dyDescent="0.25">
      <c r="B29" s="103" t="str">
        <f>tareo!C241</f>
        <v>Cespedes Levano Edwin Israel</v>
      </c>
      <c r="C29" s="100" t="s">
        <v>50</v>
      </c>
      <c r="D29" s="100" t="s">
        <v>196</v>
      </c>
      <c r="E29" s="109">
        <v>16</v>
      </c>
      <c r="F29" s="109">
        <v>40</v>
      </c>
      <c r="G29" s="109">
        <v>40</v>
      </c>
      <c r="H29" s="110">
        <v>40</v>
      </c>
      <c r="I29" s="110">
        <v>32</v>
      </c>
      <c r="J29" s="111">
        <f t="shared" si="0"/>
        <v>168</v>
      </c>
    </row>
    <row r="30" spans="2:10" x14ac:dyDescent="0.25">
      <c r="B30" s="103" t="str">
        <f>tareo!C204</f>
        <v>Chamorro Rojas Pierre Nestor</v>
      </c>
      <c r="C30" s="100" t="s">
        <v>78</v>
      </c>
      <c r="D30" s="100" t="s">
        <v>98</v>
      </c>
      <c r="E30" s="109">
        <v>16</v>
      </c>
      <c r="F30" s="109">
        <v>40</v>
      </c>
      <c r="G30" s="109">
        <v>40</v>
      </c>
      <c r="H30" s="110">
        <v>0</v>
      </c>
      <c r="I30" s="110">
        <v>0</v>
      </c>
      <c r="J30" s="111">
        <f t="shared" si="0"/>
        <v>96</v>
      </c>
    </row>
    <row r="31" spans="2:10" x14ac:dyDescent="0.25">
      <c r="B31" s="104" t="str">
        <f>tareo!C206</f>
        <v>Chamorro Rojas Pierre Nestor</v>
      </c>
      <c r="C31" s="101" t="s">
        <v>234</v>
      </c>
      <c r="D31" s="101" t="s">
        <v>206</v>
      </c>
      <c r="E31" s="109">
        <v>0</v>
      </c>
      <c r="F31" s="109">
        <v>0</v>
      </c>
      <c r="G31" s="109">
        <v>0</v>
      </c>
      <c r="H31" s="110">
        <v>24</v>
      </c>
      <c r="I31" s="110">
        <v>32</v>
      </c>
      <c r="J31" s="111">
        <f t="shared" si="0"/>
        <v>56</v>
      </c>
    </row>
    <row r="32" spans="2:10" x14ac:dyDescent="0.25">
      <c r="B32" s="104" t="str">
        <f>tareo!C208</f>
        <v>Chamorro Rojas Pierre Nestor</v>
      </c>
      <c r="C32" s="101" t="s">
        <v>208</v>
      </c>
      <c r="D32" s="101" t="s">
        <v>208</v>
      </c>
      <c r="E32" s="109">
        <v>0</v>
      </c>
      <c r="F32" s="109">
        <v>0</v>
      </c>
      <c r="G32" s="109">
        <v>0</v>
      </c>
      <c r="H32" s="110">
        <v>16</v>
      </c>
      <c r="I32" s="110">
        <v>0</v>
      </c>
      <c r="J32" s="111">
        <f t="shared" si="0"/>
        <v>16</v>
      </c>
    </row>
    <row r="33" spans="2:10" x14ac:dyDescent="0.25">
      <c r="B33" s="103" t="str">
        <f>tareo!C129</f>
        <v>Empresa tercerizada</v>
      </c>
      <c r="C33" s="100" t="s">
        <v>227</v>
      </c>
      <c r="D33" s="100" t="s">
        <v>228</v>
      </c>
      <c r="E33" s="109">
        <v>0</v>
      </c>
      <c r="F33" s="109">
        <v>40</v>
      </c>
      <c r="G33" s="109">
        <v>40</v>
      </c>
      <c r="H33" s="110">
        <v>40</v>
      </c>
      <c r="I33" s="110">
        <v>32</v>
      </c>
      <c r="J33" s="111">
        <f t="shared" si="0"/>
        <v>152</v>
      </c>
    </row>
    <row r="34" spans="2:10" x14ac:dyDescent="0.25">
      <c r="B34" s="103" t="str">
        <f>tareo!C178</f>
        <v>Fernandez Sanchez Walter Jose</v>
      </c>
      <c r="C34" s="100" t="s">
        <v>86</v>
      </c>
      <c r="D34" s="100" t="s">
        <v>87</v>
      </c>
      <c r="E34" s="109">
        <v>0</v>
      </c>
      <c r="F34" s="109">
        <v>0</v>
      </c>
      <c r="G34" s="109">
        <v>0</v>
      </c>
      <c r="H34" s="110">
        <v>0</v>
      </c>
      <c r="I34" s="110">
        <v>0</v>
      </c>
      <c r="J34" s="111">
        <f t="shared" si="0"/>
        <v>0</v>
      </c>
    </row>
    <row r="35" spans="2:10" x14ac:dyDescent="0.25">
      <c r="B35" s="103" t="str">
        <f>tareo!C202</f>
        <v>Galvez Aguilar Arturo Jesus</v>
      </c>
      <c r="C35" s="100" t="s">
        <v>86</v>
      </c>
      <c r="D35" s="100" t="s">
        <v>87</v>
      </c>
      <c r="E35" s="109">
        <v>16</v>
      </c>
      <c r="F35" s="109">
        <v>24</v>
      </c>
      <c r="G35" s="109">
        <v>40</v>
      </c>
      <c r="H35" s="110">
        <v>40</v>
      </c>
      <c r="I35" s="110">
        <v>0</v>
      </c>
      <c r="J35" s="111">
        <f t="shared" si="0"/>
        <v>120</v>
      </c>
    </row>
    <row r="36" spans="2:10" x14ac:dyDescent="0.25">
      <c r="B36" s="103" t="str">
        <f>tareo!C203</f>
        <v>Galvez Aguilar Arturo Jesus</v>
      </c>
      <c r="C36" s="100" t="s">
        <v>45</v>
      </c>
      <c r="D36" s="100" t="s">
        <v>51</v>
      </c>
      <c r="E36" s="109">
        <v>0</v>
      </c>
      <c r="F36" s="109">
        <v>16</v>
      </c>
      <c r="G36" s="109">
        <v>0</v>
      </c>
      <c r="H36" s="110">
        <v>0</v>
      </c>
      <c r="I36" s="110">
        <v>0</v>
      </c>
      <c r="J36" s="111">
        <f t="shared" si="0"/>
        <v>16</v>
      </c>
    </row>
    <row r="37" spans="2:10" x14ac:dyDescent="0.25">
      <c r="B37" s="103" t="str">
        <f>tareo!C173</f>
        <v>Garcia Gutierrez Alan David</v>
      </c>
      <c r="C37" s="100" t="s">
        <v>82</v>
      </c>
      <c r="D37" s="100" t="s">
        <v>83</v>
      </c>
      <c r="E37" s="109">
        <v>16</v>
      </c>
      <c r="F37" s="109">
        <v>40</v>
      </c>
      <c r="G37" s="109">
        <v>40</v>
      </c>
      <c r="H37" s="110">
        <v>40</v>
      </c>
      <c r="I37" s="110">
        <v>0</v>
      </c>
      <c r="J37" s="111">
        <f t="shared" ref="J37:J68" si="1">SUM(E37:I37)</f>
        <v>136</v>
      </c>
    </row>
    <row r="38" spans="2:10" x14ac:dyDescent="0.25">
      <c r="B38" s="103" t="str">
        <f>tareo!C209</f>
        <v>Gonzales Chunga Scarlen Odalis</v>
      </c>
      <c r="C38" s="100" t="s">
        <v>103</v>
      </c>
      <c r="D38" s="100" t="s">
        <v>104</v>
      </c>
      <c r="E38" s="109">
        <v>16</v>
      </c>
      <c r="F38" s="109">
        <v>40</v>
      </c>
      <c r="G38" s="109">
        <v>16</v>
      </c>
      <c r="H38" s="110">
        <v>0</v>
      </c>
      <c r="I38" s="110">
        <v>0</v>
      </c>
      <c r="J38" s="111">
        <f t="shared" si="1"/>
        <v>72</v>
      </c>
    </row>
    <row r="39" spans="2:10" x14ac:dyDescent="0.25">
      <c r="B39" s="103" t="str">
        <f>tareo!C212</f>
        <v>Gonzales Chunga Scarlen Odalis</v>
      </c>
      <c r="C39" s="100" t="s">
        <v>45</v>
      </c>
      <c r="D39" s="100" t="s">
        <v>51</v>
      </c>
      <c r="E39" s="109">
        <v>0</v>
      </c>
      <c r="F39" s="109">
        <v>0</v>
      </c>
      <c r="G39" s="109">
        <v>24</v>
      </c>
      <c r="H39" s="110">
        <v>0</v>
      </c>
      <c r="I39" s="110">
        <v>0</v>
      </c>
      <c r="J39" s="111">
        <f t="shared" si="1"/>
        <v>24</v>
      </c>
    </row>
    <row r="40" spans="2:10" x14ac:dyDescent="0.25">
      <c r="B40" s="103" t="str">
        <f>tareo!C8</f>
        <v>Hernani Lau Patricia Rosa</v>
      </c>
      <c r="C40" s="100" t="s">
        <v>48</v>
      </c>
      <c r="D40" s="100" t="s">
        <v>43</v>
      </c>
      <c r="E40" s="109">
        <v>3</v>
      </c>
      <c r="F40" s="109">
        <v>0</v>
      </c>
      <c r="G40" s="109">
        <v>0</v>
      </c>
      <c r="H40" s="110">
        <v>32</v>
      </c>
      <c r="I40" s="110">
        <v>29</v>
      </c>
      <c r="J40" s="111">
        <f t="shared" si="1"/>
        <v>64</v>
      </c>
    </row>
    <row r="41" spans="2:10" x14ac:dyDescent="0.25">
      <c r="B41" s="104" t="str">
        <f>tareo!C9</f>
        <v>Hernani Lau Patricia Rosa</v>
      </c>
      <c r="C41" s="101" t="s">
        <v>45</v>
      </c>
      <c r="D41" s="101" t="s">
        <v>51</v>
      </c>
      <c r="E41" s="109">
        <v>15</v>
      </c>
      <c r="F41" s="109">
        <v>48</v>
      </c>
      <c r="G41" s="109">
        <v>40</v>
      </c>
      <c r="H41" s="110"/>
      <c r="I41" s="110">
        <v>3</v>
      </c>
      <c r="J41" s="111">
        <f t="shared" si="1"/>
        <v>106</v>
      </c>
    </row>
    <row r="42" spans="2:10" x14ac:dyDescent="0.25">
      <c r="B42" s="104" t="e">
        <f>tareo!#REF!</f>
        <v>#REF!</v>
      </c>
      <c r="C42" s="101" t="s">
        <v>50</v>
      </c>
      <c r="D42" s="101" t="s">
        <v>196</v>
      </c>
      <c r="E42" s="109">
        <v>0</v>
      </c>
      <c r="F42" s="109">
        <v>0</v>
      </c>
      <c r="G42" s="109">
        <v>0</v>
      </c>
      <c r="H42" s="110">
        <v>0</v>
      </c>
      <c r="I42" s="110">
        <v>0</v>
      </c>
      <c r="J42" s="111">
        <f t="shared" si="1"/>
        <v>0</v>
      </c>
    </row>
    <row r="43" spans="2:10" x14ac:dyDescent="0.25">
      <c r="B43" s="104" t="str">
        <f>tareo!C11</f>
        <v>Hernani Lau Patricia Rosa</v>
      </c>
      <c r="C43" s="101" t="s">
        <v>75</v>
      </c>
      <c r="D43" s="101" t="s">
        <v>75</v>
      </c>
      <c r="E43" s="109">
        <v>0</v>
      </c>
      <c r="F43" s="109">
        <v>0</v>
      </c>
      <c r="G43" s="109">
        <v>0</v>
      </c>
      <c r="H43" s="110">
        <v>0</v>
      </c>
      <c r="I43" s="110">
        <v>0</v>
      </c>
      <c r="J43" s="111">
        <f t="shared" si="1"/>
        <v>0</v>
      </c>
    </row>
    <row r="44" spans="2:10" x14ac:dyDescent="0.25">
      <c r="B44" s="104" t="str">
        <f>tareo!C13</f>
        <v>Hernani Lau Patricia Rosa</v>
      </c>
      <c r="C44" s="101" t="s">
        <v>46</v>
      </c>
      <c r="D44" s="101" t="s">
        <v>46</v>
      </c>
      <c r="E44" s="109">
        <v>0</v>
      </c>
      <c r="F44" s="109">
        <v>0</v>
      </c>
      <c r="G44" s="109">
        <v>0</v>
      </c>
      <c r="H44" s="110">
        <v>0</v>
      </c>
      <c r="I44" s="110">
        <v>0</v>
      </c>
      <c r="J44" s="111">
        <f t="shared" si="1"/>
        <v>0</v>
      </c>
    </row>
    <row r="45" spans="2:10" x14ac:dyDescent="0.25">
      <c r="B45" s="104" t="str">
        <f>tareo!C14</f>
        <v>Hernani Lau Patricia Rosa</v>
      </c>
      <c r="C45" s="101" t="s">
        <v>208</v>
      </c>
      <c r="D45" s="101" t="s">
        <v>208</v>
      </c>
      <c r="E45" s="109">
        <v>0</v>
      </c>
      <c r="F45" s="109">
        <v>0</v>
      </c>
      <c r="G45" s="109">
        <v>0</v>
      </c>
      <c r="H45" s="110">
        <v>8</v>
      </c>
      <c r="I45" s="110">
        <v>0</v>
      </c>
      <c r="J45" s="111">
        <f t="shared" si="1"/>
        <v>8</v>
      </c>
    </row>
    <row r="46" spans="2:10" x14ac:dyDescent="0.25">
      <c r="B46" s="104" t="str">
        <f>tareo!C190</f>
        <v>Huanes Bautista Cesar Alfredo</v>
      </c>
      <c r="C46" s="101" t="s">
        <v>45</v>
      </c>
      <c r="D46" s="101" t="s">
        <v>51</v>
      </c>
      <c r="E46" s="109">
        <v>16</v>
      </c>
      <c r="F46" s="109">
        <v>40</v>
      </c>
      <c r="G46" s="109">
        <v>40</v>
      </c>
      <c r="H46" s="110">
        <v>40</v>
      </c>
      <c r="I46" s="110">
        <v>0</v>
      </c>
      <c r="J46" s="111">
        <f t="shared" si="1"/>
        <v>136</v>
      </c>
    </row>
    <row r="47" spans="2:10" x14ac:dyDescent="0.25">
      <c r="B47" s="103" t="str">
        <f>tareo!C134</f>
        <v>Pérez Montemayor Jose Javier</v>
      </c>
      <c r="C47" s="100" t="s">
        <v>91</v>
      </c>
      <c r="D47" s="100" t="s">
        <v>92</v>
      </c>
      <c r="E47" s="109">
        <v>0</v>
      </c>
      <c r="F47" s="109">
        <v>24</v>
      </c>
      <c r="G47" s="109">
        <v>0</v>
      </c>
      <c r="H47" s="110">
        <v>0</v>
      </c>
      <c r="I47" s="110">
        <v>0</v>
      </c>
      <c r="J47" s="111">
        <f t="shared" si="1"/>
        <v>24</v>
      </c>
    </row>
    <row r="48" spans="2:10" x14ac:dyDescent="0.25">
      <c r="B48" s="103" t="str">
        <f>tareo!C136</f>
        <v>Pérez Montemayor Jose Javier</v>
      </c>
      <c r="C48" s="100" t="s">
        <v>78</v>
      </c>
      <c r="D48" s="100" t="s">
        <v>79</v>
      </c>
      <c r="E48" s="109">
        <v>0</v>
      </c>
      <c r="F48" s="109">
        <v>0</v>
      </c>
      <c r="G48" s="109">
        <v>0</v>
      </c>
      <c r="H48" s="110">
        <v>0</v>
      </c>
      <c r="I48" s="110">
        <v>0</v>
      </c>
      <c r="J48" s="111">
        <f t="shared" si="1"/>
        <v>0</v>
      </c>
    </row>
    <row r="49" spans="2:10" x14ac:dyDescent="0.25">
      <c r="B49" s="103" t="str">
        <f>tareo!C138</f>
        <v>Pérez Montemayor Jose Javier</v>
      </c>
      <c r="C49" s="100" t="s">
        <v>93</v>
      </c>
      <c r="D49" s="100" t="s">
        <v>94</v>
      </c>
      <c r="E49" s="109">
        <v>0</v>
      </c>
      <c r="F49" s="109">
        <v>0</v>
      </c>
      <c r="G49" s="109">
        <v>0</v>
      </c>
      <c r="H49" s="110">
        <v>0</v>
      </c>
      <c r="I49" s="110">
        <v>0</v>
      </c>
      <c r="J49" s="111">
        <f t="shared" si="1"/>
        <v>0</v>
      </c>
    </row>
    <row r="50" spans="2:10" x14ac:dyDescent="0.25">
      <c r="B50" s="103" t="e">
        <f>tareo!#REF!</f>
        <v>#REF!</v>
      </c>
      <c r="C50" s="100" t="s">
        <v>50</v>
      </c>
      <c r="D50" s="100" t="s">
        <v>204</v>
      </c>
      <c r="E50" s="109">
        <v>0</v>
      </c>
      <c r="F50" s="109">
        <v>16</v>
      </c>
      <c r="G50" s="109">
        <v>0</v>
      </c>
      <c r="H50" s="110">
        <v>40</v>
      </c>
      <c r="I50" s="110">
        <v>0</v>
      </c>
      <c r="J50" s="111">
        <f t="shared" si="1"/>
        <v>56</v>
      </c>
    </row>
    <row r="51" spans="2:10" x14ac:dyDescent="0.25">
      <c r="B51" s="103" t="str">
        <f>tareo!C141</f>
        <v>Pérez Montemayor Jose Javier</v>
      </c>
      <c r="C51" s="100" t="s">
        <v>50</v>
      </c>
      <c r="D51" s="100" t="s">
        <v>196</v>
      </c>
      <c r="E51" s="109">
        <v>0</v>
      </c>
      <c r="F51" s="109">
        <v>16</v>
      </c>
      <c r="G51" s="109">
        <v>40</v>
      </c>
      <c r="H51" s="110">
        <v>0</v>
      </c>
      <c r="I51" s="110">
        <v>0</v>
      </c>
      <c r="J51" s="111">
        <f t="shared" si="1"/>
        <v>56</v>
      </c>
    </row>
    <row r="52" spans="2:10" x14ac:dyDescent="0.25">
      <c r="B52" s="103" t="str">
        <f>tareo!C143</f>
        <v>Pérez Montemayor Jose Javier</v>
      </c>
      <c r="C52" s="100" t="s">
        <v>78</v>
      </c>
      <c r="D52" s="100" t="s">
        <v>221</v>
      </c>
      <c r="E52" s="109">
        <v>0</v>
      </c>
      <c r="F52" s="109">
        <v>0</v>
      </c>
      <c r="G52" s="109">
        <v>0</v>
      </c>
      <c r="H52" s="110">
        <v>0</v>
      </c>
      <c r="I52" s="110">
        <v>56</v>
      </c>
      <c r="J52" s="111">
        <f t="shared" si="1"/>
        <v>56</v>
      </c>
    </row>
    <row r="53" spans="2:10" x14ac:dyDescent="0.25">
      <c r="B53" s="103" t="str">
        <f>tareo!C144</f>
        <v>Pizarro Saldaña Jorge Gabriel</v>
      </c>
      <c r="C53" s="100" t="s">
        <v>89</v>
      </c>
      <c r="D53" s="100" t="s">
        <v>90</v>
      </c>
      <c r="E53" s="109">
        <v>0</v>
      </c>
      <c r="F53" s="109">
        <v>0</v>
      </c>
      <c r="G53" s="109">
        <v>0</v>
      </c>
      <c r="H53" s="110">
        <v>0</v>
      </c>
      <c r="I53" s="110">
        <v>0</v>
      </c>
      <c r="J53" s="111">
        <f t="shared" si="1"/>
        <v>0</v>
      </c>
    </row>
    <row r="54" spans="2:10" x14ac:dyDescent="0.25">
      <c r="B54" s="103" t="str">
        <f>tareo!C145</f>
        <v>Pizarro Saldaña Jorge Gabriel</v>
      </c>
      <c r="C54" s="100" t="s">
        <v>89</v>
      </c>
      <c r="D54" s="100" t="s">
        <v>95</v>
      </c>
      <c r="E54" s="109">
        <v>0</v>
      </c>
      <c r="F54" s="109">
        <v>0</v>
      </c>
      <c r="G54" s="109">
        <v>0</v>
      </c>
      <c r="H54" s="110">
        <v>0</v>
      </c>
      <c r="I54" s="110">
        <v>0</v>
      </c>
      <c r="J54" s="111">
        <f t="shared" si="1"/>
        <v>0</v>
      </c>
    </row>
    <row r="55" spans="2:10" x14ac:dyDescent="0.25">
      <c r="B55" s="103" t="str">
        <f>tareo!C146</f>
        <v>Pizarro Saldaña Jorge Gabriel</v>
      </c>
      <c r="C55" s="100" t="s">
        <v>96</v>
      </c>
      <c r="D55" s="100" t="s">
        <v>203</v>
      </c>
      <c r="E55" s="109">
        <v>16</v>
      </c>
      <c r="F55" s="109">
        <v>40</v>
      </c>
      <c r="G55" s="109">
        <v>24</v>
      </c>
      <c r="H55" s="110">
        <v>24</v>
      </c>
      <c r="I55" s="110">
        <v>0</v>
      </c>
      <c r="J55" s="111">
        <f t="shared" si="1"/>
        <v>104</v>
      </c>
    </row>
    <row r="56" spans="2:10" x14ac:dyDescent="0.25">
      <c r="B56" s="103" t="str">
        <f>tareo!C147</f>
        <v>Pizarro Saldaña Jorge Gabriel</v>
      </c>
      <c r="C56" s="100" t="s">
        <v>78</v>
      </c>
      <c r="D56" s="100" t="s">
        <v>98</v>
      </c>
      <c r="E56" s="109">
        <v>0</v>
      </c>
      <c r="F56" s="109">
        <v>0</v>
      </c>
      <c r="G56" s="109">
        <v>0</v>
      </c>
      <c r="H56" s="110">
        <v>0</v>
      </c>
      <c r="I56" s="110">
        <v>0</v>
      </c>
      <c r="J56" s="111">
        <f t="shared" si="1"/>
        <v>0</v>
      </c>
    </row>
    <row r="57" spans="2:10" x14ac:dyDescent="0.25">
      <c r="B57" s="104" t="str">
        <f>tareo!C148</f>
        <v>Pizarro Saldaña Jorge Gabriel</v>
      </c>
      <c r="C57" s="101" t="s">
        <v>45</v>
      </c>
      <c r="D57" s="101" t="s">
        <v>51</v>
      </c>
      <c r="E57" s="109">
        <v>0</v>
      </c>
      <c r="F57" s="109">
        <v>0</v>
      </c>
      <c r="G57" s="109">
        <v>16</v>
      </c>
      <c r="H57" s="110">
        <v>0</v>
      </c>
      <c r="I57" s="110">
        <v>0</v>
      </c>
      <c r="J57" s="111">
        <f t="shared" si="1"/>
        <v>16</v>
      </c>
    </row>
    <row r="58" spans="2:10" x14ac:dyDescent="0.25">
      <c r="B58" s="104" t="str">
        <f>tareo!C149</f>
        <v>Pizarro Saldaña Jorge Gabriel</v>
      </c>
      <c r="C58" s="101" t="s">
        <v>234</v>
      </c>
      <c r="D58" s="101" t="s">
        <v>206</v>
      </c>
      <c r="E58" s="109">
        <v>0</v>
      </c>
      <c r="F58" s="109">
        <v>0</v>
      </c>
      <c r="G58" s="109">
        <v>0</v>
      </c>
      <c r="H58" s="110">
        <v>8</v>
      </c>
      <c r="I58" s="110">
        <v>32</v>
      </c>
      <c r="J58" s="111">
        <f t="shared" si="1"/>
        <v>40</v>
      </c>
    </row>
    <row r="59" spans="2:10" x14ac:dyDescent="0.25">
      <c r="B59" s="104" t="str">
        <f>tareo!C154</f>
        <v>Pizarro Saldaña Jorge Gabriel</v>
      </c>
      <c r="C59" s="101" t="s">
        <v>75</v>
      </c>
      <c r="D59" s="101" t="s">
        <v>75</v>
      </c>
      <c r="E59" s="109">
        <v>0</v>
      </c>
      <c r="F59" s="109">
        <v>0</v>
      </c>
      <c r="G59" s="109">
        <v>0</v>
      </c>
      <c r="H59" s="110">
        <v>0</v>
      </c>
      <c r="I59" s="110">
        <v>0</v>
      </c>
      <c r="J59" s="111">
        <f t="shared" si="1"/>
        <v>0</v>
      </c>
    </row>
    <row r="60" spans="2:10" x14ac:dyDescent="0.25">
      <c r="B60" s="104" t="str">
        <f>tareo!C159</f>
        <v>Pizarro Saldaña Jorge Gabriel</v>
      </c>
      <c r="C60" s="101" t="s">
        <v>46</v>
      </c>
      <c r="D60" s="101" t="s">
        <v>46</v>
      </c>
      <c r="E60" s="109">
        <v>0</v>
      </c>
      <c r="F60" s="109">
        <v>0</v>
      </c>
      <c r="G60" s="109">
        <v>0</v>
      </c>
      <c r="H60" s="110">
        <v>0</v>
      </c>
      <c r="I60" s="110">
        <v>0</v>
      </c>
      <c r="J60" s="111">
        <f t="shared" si="1"/>
        <v>0</v>
      </c>
    </row>
    <row r="61" spans="2:10" x14ac:dyDescent="0.25">
      <c r="B61" s="104" t="str">
        <f>tareo!C161</f>
        <v>Pizarro Saldaña Jorge Gabriel</v>
      </c>
      <c r="C61" s="101" t="s">
        <v>208</v>
      </c>
      <c r="D61" s="101" t="s">
        <v>208</v>
      </c>
      <c r="E61" s="109">
        <v>0</v>
      </c>
      <c r="F61" s="109">
        <v>0</v>
      </c>
      <c r="G61" s="109">
        <v>0</v>
      </c>
      <c r="H61" s="110">
        <v>8</v>
      </c>
      <c r="I61" s="110">
        <v>0</v>
      </c>
      <c r="J61" s="111">
        <f t="shared" si="1"/>
        <v>8</v>
      </c>
    </row>
    <row r="62" spans="2:10" x14ac:dyDescent="0.25">
      <c r="B62" s="104" t="str">
        <f>tareo!C150</f>
        <v>Revilla Casalino Pablo</v>
      </c>
      <c r="C62" s="101" t="s">
        <v>75</v>
      </c>
      <c r="D62" s="101" t="s">
        <v>75</v>
      </c>
      <c r="E62" s="109">
        <v>0</v>
      </c>
      <c r="F62" s="109">
        <v>0</v>
      </c>
      <c r="G62" s="109">
        <v>0</v>
      </c>
      <c r="H62" s="110">
        <v>0</v>
      </c>
      <c r="I62" s="110">
        <v>0</v>
      </c>
      <c r="J62" s="111">
        <f t="shared" si="1"/>
        <v>0</v>
      </c>
    </row>
    <row r="63" spans="2:10" x14ac:dyDescent="0.25">
      <c r="B63" s="103" t="str">
        <f>tareo!C162</f>
        <v>Revilla Casalino Pablo</v>
      </c>
      <c r="C63" s="100" t="s">
        <v>89</v>
      </c>
      <c r="D63" s="100" t="s">
        <v>90</v>
      </c>
      <c r="E63" s="109">
        <v>0</v>
      </c>
      <c r="F63" s="109">
        <v>0</v>
      </c>
      <c r="G63" s="109">
        <v>0</v>
      </c>
      <c r="H63" s="110">
        <v>0</v>
      </c>
      <c r="I63" s="110">
        <v>0</v>
      </c>
      <c r="J63" s="111">
        <f t="shared" si="1"/>
        <v>0</v>
      </c>
    </row>
    <row r="64" spans="2:10" x14ac:dyDescent="0.25">
      <c r="B64" s="103" t="str">
        <f>tareo!C163</f>
        <v>Revilla Casalino Pablo</v>
      </c>
      <c r="C64" s="100" t="s">
        <v>89</v>
      </c>
      <c r="D64" s="100" t="s">
        <v>95</v>
      </c>
      <c r="E64" s="109">
        <v>0</v>
      </c>
      <c r="F64" s="109">
        <v>0</v>
      </c>
      <c r="G64" s="109">
        <v>0</v>
      </c>
      <c r="H64" s="110">
        <v>0</v>
      </c>
      <c r="I64" s="110">
        <v>0</v>
      </c>
      <c r="J64" s="111">
        <f t="shared" si="1"/>
        <v>0</v>
      </c>
    </row>
    <row r="65" spans="2:10" x14ac:dyDescent="0.25">
      <c r="B65" s="103" t="str">
        <f>tareo!C164</f>
        <v>Revilla Casalino Pablo</v>
      </c>
      <c r="C65" s="100" t="s">
        <v>78</v>
      </c>
      <c r="D65" s="100" t="s">
        <v>98</v>
      </c>
      <c r="E65" s="109">
        <v>8</v>
      </c>
      <c r="F65" s="109">
        <v>20</v>
      </c>
      <c r="G65" s="109">
        <v>12</v>
      </c>
      <c r="H65" s="110">
        <v>10</v>
      </c>
      <c r="I65" s="110">
        <v>0</v>
      </c>
      <c r="J65" s="111">
        <f t="shared" si="1"/>
        <v>50</v>
      </c>
    </row>
    <row r="66" spans="2:10" x14ac:dyDescent="0.25">
      <c r="B66" s="103" t="str">
        <f>tareo!C166</f>
        <v>Revilla Casalino Pablo</v>
      </c>
      <c r="C66" s="100" t="s">
        <v>96</v>
      </c>
      <c r="D66" s="100" t="s">
        <v>203</v>
      </c>
      <c r="E66" s="109">
        <v>8</v>
      </c>
      <c r="F66" s="109">
        <v>20</v>
      </c>
      <c r="G66" s="109">
        <v>8</v>
      </c>
      <c r="H66" s="110">
        <v>12</v>
      </c>
      <c r="I66" s="110">
        <v>0</v>
      </c>
      <c r="J66" s="111">
        <f t="shared" si="1"/>
        <v>48</v>
      </c>
    </row>
    <row r="67" spans="2:10" x14ac:dyDescent="0.25">
      <c r="B67" s="104" t="str">
        <f>tareo!C167</f>
        <v>Revilla Casalino Pablo</v>
      </c>
      <c r="C67" s="101" t="s">
        <v>45</v>
      </c>
      <c r="D67" s="101" t="s">
        <v>51</v>
      </c>
      <c r="E67" s="109">
        <v>0</v>
      </c>
      <c r="F67" s="109">
        <v>0</v>
      </c>
      <c r="G67" s="109">
        <v>16</v>
      </c>
      <c r="H67" s="110">
        <v>0</v>
      </c>
      <c r="I67" s="110">
        <v>0</v>
      </c>
      <c r="J67" s="111">
        <f t="shared" si="1"/>
        <v>16</v>
      </c>
    </row>
    <row r="68" spans="2:10" x14ac:dyDescent="0.25">
      <c r="B68" s="104" t="str">
        <f>tareo!C168</f>
        <v>Revilla Casalino Pablo</v>
      </c>
      <c r="C68" s="101" t="s">
        <v>234</v>
      </c>
      <c r="D68" s="101" t="s">
        <v>206</v>
      </c>
      <c r="E68" s="109">
        <v>0</v>
      </c>
      <c r="F68" s="109">
        <v>0</v>
      </c>
      <c r="G68" s="109">
        <v>0</v>
      </c>
      <c r="H68" s="110">
        <v>14</v>
      </c>
      <c r="I68" s="110">
        <v>32</v>
      </c>
      <c r="J68" s="111">
        <f t="shared" si="1"/>
        <v>46</v>
      </c>
    </row>
    <row r="69" spans="2:10" x14ac:dyDescent="0.25">
      <c r="B69" s="104" t="str">
        <f>tareo!C171</f>
        <v>Revilla Casalino Pablo</v>
      </c>
      <c r="C69" s="101" t="s">
        <v>46</v>
      </c>
      <c r="D69" s="101" t="s">
        <v>46</v>
      </c>
      <c r="E69" s="109">
        <v>0</v>
      </c>
      <c r="F69" s="109">
        <v>0</v>
      </c>
      <c r="G69" s="109">
        <v>4</v>
      </c>
      <c r="H69" s="110">
        <v>4</v>
      </c>
      <c r="I69" s="110">
        <v>0</v>
      </c>
      <c r="J69" s="111">
        <f t="shared" ref="J69:J83" si="2">SUM(E69:I69)</f>
        <v>8</v>
      </c>
    </row>
    <row r="70" spans="2:10" x14ac:dyDescent="0.25">
      <c r="B70" s="103" t="str">
        <f>tareo!C113</f>
        <v>Salazar Rojas Javier Fernando</v>
      </c>
      <c r="C70" s="100" t="s">
        <v>76</v>
      </c>
      <c r="D70" s="100" t="s">
        <v>77</v>
      </c>
      <c r="E70" s="109">
        <v>0</v>
      </c>
      <c r="F70" s="109">
        <v>0</v>
      </c>
      <c r="G70" s="109">
        <v>0</v>
      </c>
      <c r="H70" s="110">
        <v>0</v>
      </c>
      <c r="I70" s="110">
        <v>0</v>
      </c>
      <c r="J70" s="111">
        <f t="shared" si="2"/>
        <v>0</v>
      </c>
    </row>
    <row r="71" spans="2:10" x14ac:dyDescent="0.25">
      <c r="B71" s="103" t="e">
        <f>tareo!#REF!</f>
        <v>#REF!</v>
      </c>
      <c r="C71" s="100" t="s">
        <v>50</v>
      </c>
      <c r="D71" s="100" t="s">
        <v>196</v>
      </c>
      <c r="E71" s="109">
        <v>0</v>
      </c>
      <c r="F71" s="109">
        <v>0</v>
      </c>
      <c r="G71" s="109">
        <v>0</v>
      </c>
      <c r="H71" s="110">
        <v>0</v>
      </c>
      <c r="I71" s="110">
        <v>0</v>
      </c>
      <c r="J71" s="111">
        <f t="shared" si="2"/>
        <v>0</v>
      </c>
    </row>
    <row r="72" spans="2:10" x14ac:dyDescent="0.25">
      <c r="B72" s="104" t="str">
        <f>tareo!C115</f>
        <v>Salazar Rojas Javier Fernando</v>
      </c>
      <c r="C72" s="101" t="s">
        <v>75</v>
      </c>
      <c r="D72" s="101" t="s">
        <v>75</v>
      </c>
      <c r="E72" s="109">
        <v>0</v>
      </c>
      <c r="F72" s="109">
        <v>0</v>
      </c>
      <c r="G72" s="109">
        <v>0</v>
      </c>
      <c r="H72" s="110">
        <v>0</v>
      </c>
      <c r="I72" s="110">
        <v>0</v>
      </c>
      <c r="J72" s="111">
        <f t="shared" si="2"/>
        <v>0</v>
      </c>
    </row>
    <row r="73" spans="2:10" x14ac:dyDescent="0.25">
      <c r="B73" s="103" t="str">
        <f>tareo!C214</f>
        <v>Salinas Vasquez Juan Rafael</v>
      </c>
      <c r="C73" s="100" t="s">
        <v>103</v>
      </c>
      <c r="D73" s="100" t="s">
        <v>198</v>
      </c>
      <c r="E73" s="109">
        <v>0</v>
      </c>
      <c r="F73" s="109">
        <v>0</v>
      </c>
      <c r="G73" s="109">
        <v>40</v>
      </c>
      <c r="H73" s="110">
        <v>40</v>
      </c>
      <c r="I73" s="110">
        <v>0</v>
      </c>
      <c r="J73" s="111">
        <f t="shared" si="2"/>
        <v>80</v>
      </c>
    </row>
    <row r="74" spans="2:10" x14ac:dyDescent="0.25">
      <c r="B74" s="103" t="e">
        <f>tareo!#REF!</f>
        <v>#REF!</v>
      </c>
      <c r="C74" s="100" t="s">
        <v>45</v>
      </c>
      <c r="D74" s="100" t="s">
        <v>88</v>
      </c>
      <c r="E74" s="109">
        <v>0</v>
      </c>
      <c r="F74" s="109">
        <v>0</v>
      </c>
      <c r="G74" s="109">
        <v>0</v>
      </c>
      <c r="H74" s="110">
        <v>0</v>
      </c>
      <c r="I74" s="110">
        <v>0</v>
      </c>
      <c r="J74" s="111">
        <f t="shared" si="2"/>
        <v>0</v>
      </c>
    </row>
    <row r="75" spans="2:10" x14ac:dyDescent="0.25">
      <c r="B75" s="103" t="str">
        <f>tareo!C242</f>
        <v>Somoza Francisco Javier</v>
      </c>
      <c r="C75" s="100" t="s">
        <v>45</v>
      </c>
      <c r="D75" s="100" t="s">
        <v>51</v>
      </c>
      <c r="E75" s="109">
        <v>0</v>
      </c>
      <c r="F75" s="109">
        <v>8</v>
      </c>
      <c r="G75" s="109">
        <v>40</v>
      </c>
      <c r="H75" s="110">
        <v>40</v>
      </c>
      <c r="I75" s="110">
        <v>0</v>
      </c>
      <c r="J75" s="111">
        <f t="shared" si="2"/>
        <v>88</v>
      </c>
    </row>
    <row r="76" spans="2:10" x14ac:dyDescent="0.25">
      <c r="B76" s="103" t="str">
        <f>tareo!C95</f>
        <v>Torres Brousset Pacheco, Gutenberg Alexis</v>
      </c>
      <c r="C76" s="100" t="s">
        <v>76</v>
      </c>
      <c r="D76" s="100" t="s">
        <v>77</v>
      </c>
      <c r="E76" s="109">
        <v>0</v>
      </c>
      <c r="F76" s="109">
        <v>0</v>
      </c>
      <c r="G76" s="109">
        <v>0</v>
      </c>
      <c r="H76" s="110">
        <v>0</v>
      </c>
      <c r="I76" s="110">
        <v>0</v>
      </c>
      <c r="J76" s="111">
        <f t="shared" si="2"/>
        <v>0</v>
      </c>
    </row>
    <row r="77" spans="2:10" x14ac:dyDescent="0.25">
      <c r="B77" s="103" t="str">
        <f>tareo!C96</f>
        <v>Torres Brousset Pacheco, Gutenberg Alexis</v>
      </c>
      <c r="C77" s="100" t="s">
        <v>45</v>
      </c>
      <c r="D77" s="100" t="s">
        <v>47</v>
      </c>
      <c r="E77" s="109">
        <v>0</v>
      </c>
      <c r="F77" s="109">
        <v>0</v>
      </c>
      <c r="G77" s="109">
        <v>0</v>
      </c>
      <c r="H77" s="110">
        <v>0</v>
      </c>
      <c r="I77" s="110">
        <v>0</v>
      </c>
      <c r="J77" s="111">
        <f t="shared" si="2"/>
        <v>0</v>
      </c>
    </row>
    <row r="78" spans="2:10" x14ac:dyDescent="0.25">
      <c r="B78" s="104" t="str">
        <f>tareo!C101</f>
        <v>Torres Brousset Pacheco, Gutenberg Alexis</v>
      </c>
      <c r="C78" s="101" t="s">
        <v>45</v>
      </c>
      <c r="D78" s="101" t="s">
        <v>51</v>
      </c>
      <c r="E78" s="109">
        <v>0</v>
      </c>
      <c r="F78" s="109">
        <v>8</v>
      </c>
      <c r="G78" s="109">
        <v>0</v>
      </c>
      <c r="H78" s="110">
        <v>0</v>
      </c>
      <c r="I78" s="110">
        <v>0</v>
      </c>
      <c r="J78" s="111">
        <f t="shared" si="2"/>
        <v>8</v>
      </c>
    </row>
    <row r="79" spans="2:10" x14ac:dyDescent="0.25">
      <c r="B79" s="103" t="str">
        <f>tareo!C102</f>
        <v>Torres Brousset Pacheco, Gutenberg Alexis</v>
      </c>
      <c r="C79" s="100" t="s">
        <v>45</v>
      </c>
      <c r="D79" s="100" t="s">
        <v>88</v>
      </c>
      <c r="E79" s="109">
        <v>16</v>
      </c>
      <c r="F79" s="109">
        <v>32</v>
      </c>
      <c r="G79" s="109">
        <v>40</v>
      </c>
      <c r="H79" s="110">
        <v>24</v>
      </c>
      <c r="I79" s="110">
        <v>0</v>
      </c>
      <c r="J79" s="111">
        <f t="shared" si="2"/>
        <v>112</v>
      </c>
    </row>
    <row r="80" spans="2:10" x14ac:dyDescent="0.25">
      <c r="B80" s="103" t="str">
        <f>tareo!C107</f>
        <v>Torres Brousset Pacheco, Gutenberg Alexis</v>
      </c>
      <c r="C80" s="100" t="s">
        <v>89</v>
      </c>
      <c r="D80" s="100" t="s">
        <v>90</v>
      </c>
      <c r="E80" s="109">
        <v>0</v>
      </c>
      <c r="F80" s="109">
        <v>0</v>
      </c>
      <c r="G80" s="109">
        <v>0</v>
      </c>
      <c r="H80" s="110">
        <v>0</v>
      </c>
      <c r="I80" s="110">
        <v>0</v>
      </c>
      <c r="J80" s="111">
        <f t="shared" si="2"/>
        <v>0</v>
      </c>
    </row>
    <row r="81" spans="2:10" x14ac:dyDescent="0.25">
      <c r="B81" s="104" t="str">
        <f>tareo!C111</f>
        <v>Torres Brousset Pacheco, Gutenberg Alexis</v>
      </c>
      <c r="C81" s="101" t="s">
        <v>75</v>
      </c>
      <c r="D81" s="101" t="s">
        <v>75</v>
      </c>
      <c r="E81" s="109">
        <v>0</v>
      </c>
      <c r="F81" s="109">
        <v>0</v>
      </c>
      <c r="G81" s="109">
        <v>0</v>
      </c>
      <c r="H81" s="110">
        <v>16</v>
      </c>
      <c r="I81" s="110">
        <v>0</v>
      </c>
      <c r="J81" s="111">
        <f t="shared" si="2"/>
        <v>16</v>
      </c>
    </row>
    <row r="82" spans="2:10" x14ac:dyDescent="0.25">
      <c r="B82" s="103" t="str">
        <f>tareo!C213</f>
        <v>Uceda Rentería Cristhian Daniel</v>
      </c>
      <c r="C82" s="100" t="s">
        <v>45</v>
      </c>
      <c r="D82" s="100" t="s">
        <v>51</v>
      </c>
      <c r="E82" s="109">
        <v>16</v>
      </c>
      <c r="F82" s="109">
        <v>40</v>
      </c>
      <c r="G82" s="109">
        <v>40</v>
      </c>
      <c r="H82" s="110">
        <v>40</v>
      </c>
      <c r="I82" s="110">
        <v>0</v>
      </c>
      <c r="J82" s="111">
        <f t="shared" si="2"/>
        <v>136</v>
      </c>
    </row>
    <row r="83" spans="2:10" x14ac:dyDescent="0.25">
      <c r="B83" s="107" t="str">
        <f>tareo!C176</f>
        <v xml:space="preserve">Villanueva Melgarejo Andres Angel </v>
      </c>
      <c r="C83" s="108" t="s">
        <v>80</v>
      </c>
      <c r="D83" s="108" t="s">
        <v>81</v>
      </c>
      <c r="E83" s="112">
        <v>16</v>
      </c>
      <c r="F83" s="112">
        <v>40</v>
      </c>
      <c r="G83" s="112">
        <v>40</v>
      </c>
      <c r="H83" s="113">
        <v>40</v>
      </c>
      <c r="I83" s="113">
        <v>0</v>
      </c>
      <c r="J83" s="114">
        <f t="shared" si="2"/>
        <v>136</v>
      </c>
    </row>
    <row r="84" spans="2:10" ht="18.75" x14ac:dyDescent="0.25">
      <c r="I84" s="102" t="s">
        <v>242</v>
      </c>
      <c r="J84" s="115">
        <f>SUM(J5:J83)</f>
        <v>2858</v>
      </c>
    </row>
  </sheetData>
  <sortState ref="B6:J83">
    <sortCondition ref="B5"/>
  </sortState>
  <pageMargins left="0.7" right="0.7" top="0.75" bottom="0.75" header="0.3" footer="0.3"/>
  <drawing r:id="rId1"/>
  <tableParts count="1">
    <tablePart r:id="rId2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5" tint="-0.249977111117893"/>
  </sheetPr>
  <dimension ref="A1:BK107"/>
  <sheetViews>
    <sheetView showGridLines="0" zoomScale="90" zoomScaleNormal="90" workbookViewId="0">
      <pane xSplit="2" ySplit="17" topLeftCell="C18" activePane="bottomRight" state="frozen"/>
      <selection pane="topRight" activeCell="C1" sqref="C1"/>
      <selection pane="bottomLeft" activeCell="A18" sqref="A18"/>
      <selection pane="bottomRight" activeCell="G25" sqref="G25"/>
    </sheetView>
  </sheetViews>
  <sheetFormatPr baseColWidth="10" defaultRowHeight="12" x14ac:dyDescent="0.2"/>
  <cols>
    <col min="1" max="1" width="15.28515625" style="29" bestFit="1" customWidth="1"/>
    <col min="2" max="2" width="20.140625" style="29" customWidth="1"/>
    <col min="3" max="3" width="38.42578125" style="29" customWidth="1"/>
    <col min="4" max="4" width="14.28515625" style="29" customWidth="1"/>
    <col min="5" max="5" width="14" style="29" customWidth="1"/>
    <col min="6" max="6" width="14.5703125" style="29" customWidth="1"/>
    <col min="7" max="7" width="14.28515625" style="29" customWidth="1"/>
    <col min="8" max="8" width="14.140625" style="29" bestFit="1" customWidth="1"/>
    <col min="9" max="9" width="12.28515625" style="29" customWidth="1"/>
    <col min="10" max="12" width="16" style="29" customWidth="1"/>
    <col min="13" max="13" width="17" style="29" customWidth="1"/>
    <col min="14" max="14" width="16.140625" style="29" bestFit="1" customWidth="1"/>
    <col min="15" max="15" width="12.42578125" style="29" customWidth="1"/>
    <col min="16" max="16" width="13.42578125" style="29" customWidth="1"/>
    <col min="17" max="17" width="14.140625" style="29" customWidth="1"/>
    <col min="18" max="18" width="15.140625" style="29" customWidth="1"/>
    <col min="19" max="19" width="13.85546875" style="29" customWidth="1"/>
    <col min="20" max="20" width="14.140625" style="29" customWidth="1"/>
    <col min="21" max="21" width="13.28515625" style="29" customWidth="1"/>
    <col min="22" max="22" width="14" style="29" customWidth="1"/>
    <col min="23" max="23" width="16.85546875" style="29" customWidth="1"/>
    <col min="24" max="24" width="14.140625" style="29" customWidth="1"/>
    <col min="25" max="25" width="13.7109375" style="29" customWidth="1"/>
    <col min="26" max="26" width="13.85546875" style="29" customWidth="1"/>
    <col min="27" max="27" width="13.7109375" style="29" customWidth="1"/>
    <col min="28" max="28" width="13.28515625" style="29" customWidth="1"/>
    <col min="29" max="29" width="14.85546875" style="29" customWidth="1"/>
    <col min="30" max="30" width="13.5703125" style="29" bestFit="1" customWidth="1"/>
    <col min="31" max="31" width="13.140625" style="29" customWidth="1"/>
    <col min="32" max="32" width="13.28515625" style="29" customWidth="1"/>
    <col min="33" max="33" width="12.5703125" style="29" bestFit="1" customWidth="1"/>
    <col min="34" max="35" width="11.42578125" style="29"/>
    <col min="36" max="36" width="13.28515625" style="29" customWidth="1"/>
    <col min="37" max="37" width="11.42578125" style="29"/>
    <col min="38" max="38" width="12.42578125" style="29" bestFit="1" customWidth="1"/>
    <col min="39" max="44" width="11.42578125" style="29"/>
    <col min="45" max="45" width="14.28515625" style="29" bestFit="1" customWidth="1"/>
    <col min="46" max="46" width="14" style="29" bestFit="1" customWidth="1"/>
    <col min="47" max="47" width="13.42578125" style="29" customWidth="1"/>
    <col min="48" max="49" width="14.28515625" style="29" bestFit="1" customWidth="1"/>
    <col min="50" max="50" width="13.28515625" style="29" customWidth="1"/>
    <col min="51" max="51" width="13.85546875" style="29" bestFit="1" customWidth="1"/>
    <col min="52" max="52" width="17.28515625" style="29" bestFit="1" customWidth="1"/>
    <col min="53" max="53" width="16.28515625" style="29" bestFit="1" customWidth="1"/>
    <col min="54" max="54" width="17" style="29" bestFit="1" customWidth="1"/>
    <col min="55" max="55" width="17.28515625" style="29" bestFit="1" customWidth="1"/>
    <col min="56" max="56" width="11.85546875" style="29" customWidth="1"/>
    <col min="57" max="57" width="15.5703125" style="29" bestFit="1" customWidth="1"/>
    <col min="58" max="59" width="15.28515625" style="29" bestFit="1" customWidth="1"/>
    <col min="60" max="60" width="15.5703125" style="29" bestFit="1" customWidth="1"/>
    <col min="61" max="61" width="15.28515625" style="29" bestFit="1" customWidth="1"/>
    <col min="62" max="62" width="12.140625" style="29" customWidth="1"/>
    <col min="63" max="63" width="12.85546875" style="29" customWidth="1"/>
    <col min="64" max="16384" width="11.42578125" style="29"/>
  </cols>
  <sheetData>
    <row r="1" spans="1:61" ht="15.75" thickBot="1" x14ac:dyDescent="0.3">
      <c r="G1" s="349" t="s">
        <v>178</v>
      </c>
      <c r="H1" s="350"/>
    </row>
    <row r="3" spans="1:61" ht="12.75" thickBot="1" x14ac:dyDescent="0.25"/>
    <row r="4" spans="1:61" ht="15.75" thickBot="1" x14ac:dyDescent="0.3">
      <c r="G4" s="633" t="s">
        <v>867</v>
      </c>
      <c r="H4" s="634"/>
    </row>
    <row r="9" spans="1:61" x14ac:dyDescent="0.2">
      <c r="G9" s="658"/>
    </row>
    <row r="16" spans="1:61" ht="13.5" thickBot="1" x14ac:dyDescent="0.3">
      <c r="A16" s="660"/>
      <c r="B16" s="660"/>
      <c r="C16" s="660"/>
      <c r="D16" s="657"/>
      <c r="E16" s="657"/>
      <c r="F16" s="657"/>
      <c r="G16" s="657"/>
      <c r="H16" s="657"/>
      <c r="I16" s="657"/>
      <c r="J16" s="657"/>
      <c r="K16" s="657"/>
      <c r="L16" s="657"/>
      <c r="M16" s="657"/>
      <c r="N16" s="657"/>
      <c r="O16" s="657"/>
      <c r="P16" s="657"/>
      <c r="Q16" s="657"/>
      <c r="R16" s="657"/>
      <c r="S16" s="657"/>
      <c r="T16" s="657"/>
      <c r="U16" s="657"/>
      <c r="V16" s="657"/>
      <c r="W16" s="657"/>
      <c r="X16" s="657"/>
      <c r="Y16" s="657"/>
      <c r="Z16" s="657"/>
      <c r="AA16" s="657"/>
      <c r="AB16" s="657"/>
      <c r="AC16" s="657"/>
      <c r="AD16" s="657"/>
      <c r="AE16" s="657"/>
      <c r="AF16" s="657"/>
      <c r="AG16" s="657"/>
      <c r="AH16" s="657"/>
      <c r="AI16" s="657"/>
      <c r="AJ16" s="657"/>
      <c r="AK16" s="657"/>
      <c r="AL16" s="657"/>
      <c r="AM16" s="657"/>
      <c r="AN16" s="657"/>
      <c r="AO16" s="657"/>
      <c r="AP16" s="657"/>
      <c r="AQ16" s="657"/>
      <c r="AR16" s="657"/>
      <c r="AS16" s="657"/>
      <c r="AT16" s="657"/>
      <c r="AU16" s="657"/>
      <c r="AV16" s="657"/>
      <c r="AW16" s="657"/>
      <c r="AX16" s="657"/>
      <c r="AY16" s="657"/>
      <c r="AZ16" s="657"/>
      <c r="BA16" s="657"/>
      <c r="BB16" s="657"/>
      <c r="BC16" s="657"/>
      <c r="BD16" s="657"/>
      <c r="BE16" s="657"/>
      <c r="BF16" s="657"/>
      <c r="BG16" s="657"/>
      <c r="BH16" s="657"/>
      <c r="BI16" s="657"/>
    </row>
    <row r="17" spans="1:63" s="43" customFormat="1" ht="26.25" thickBot="1" x14ac:dyDescent="0.3">
      <c r="A17" s="562" t="s">
        <v>74</v>
      </c>
      <c r="B17" s="574" t="s">
        <v>73</v>
      </c>
      <c r="C17" s="574" t="s">
        <v>133</v>
      </c>
      <c r="D17" s="656" t="s">
        <v>283</v>
      </c>
      <c r="E17" s="650" t="s">
        <v>284</v>
      </c>
      <c r="F17" s="650" t="s">
        <v>285</v>
      </c>
      <c r="G17" s="650" t="s">
        <v>286</v>
      </c>
      <c r="H17" s="654" t="s">
        <v>287</v>
      </c>
      <c r="I17" s="664" t="s">
        <v>400</v>
      </c>
      <c r="J17" s="649" t="s">
        <v>288</v>
      </c>
      <c r="K17" s="650" t="s">
        <v>289</v>
      </c>
      <c r="L17" s="650" t="s">
        <v>290</v>
      </c>
      <c r="M17" s="650" t="s">
        <v>291</v>
      </c>
      <c r="N17" s="652" t="s">
        <v>292</v>
      </c>
      <c r="O17" s="664" t="s">
        <v>401</v>
      </c>
      <c r="P17" s="655" t="s">
        <v>293</v>
      </c>
      <c r="Q17" s="650" t="s">
        <v>294</v>
      </c>
      <c r="R17" s="650" t="s">
        <v>295</v>
      </c>
      <c r="S17" s="651" t="s">
        <v>296</v>
      </c>
      <c r="T17" s="654" t="s">
        <v>297</v>
      </c>
      <c r="U17" s="664" t="s">
        <v>402</v>
      </c>
      <c r="V17" s="649" t="s">
        <v>167</v>
      </c>
      <c r="W17" s="650" t="s">
        <v>168</v>
      </c>
      <c r="X17" s="650" t="s">
        <v>169</v>
      </c>
      <c r="Y17" s="654" t="s">
        <v>170</v>
      </c>
      <c r="Z17" s="664" t="s">
        <v>403</v>
      </c>
      <c r="AA17" s="649" t="s">
        <v>171</v>
      </c>
      <c r="AB17" s="650" t="s">
        <v>172</v>
      </c>
      <c r="AC17" s="650" t="s">
        <v>173</v>
      </c>
      <c r="AD17" s="650" t="s">
        <v>174</v>
      </c>
      <c r="AE17" s="653" t="s">
        <v>175</v>
      </c>
      <c r="AF17" s="664" t="s">
        <v>404</v>
      </c>
      <c r="AG17" s="649" t="s">
        <v>185</v>
      </c>
      <c r="AH17" s="651" t="s">
        <v>194</v>
      </c>
      <c r="AI17" s="651" t="s">
        <v>201</v>
      </c>
      <c r="AJ17" s="651" t="s">
        <v>298</v>
      </c>
      <c r="AK17" s="653" t="s">
        <v>216</v>
      </c>
      <c r="AL17" s="664" t="s">
        <v>406</v>
      </c>
      <c r="AM17" s="649" t="s">
        <v>299</v>
      </c>
      <c r="AN17" s="650" t="s">
        <v>300</v>
      </c>
      <c r="AO17" s="651" t="s">
        <v>232</v>
      </c>
      <c r="AP17" s="651" t="s">
        <v>302</v>
      </c>
      <c r="AQ17" s="652" t="s">
        <v>368</v>
      </c>
      <c r="AR17" s="664" t="s">
        <v>405</v>
      </c>
      <c r="AS17" s="647" t="s">
        <v>511</v>
      </c>
      <c r="AT17" s="647" t="s">
        <v>512</v>
      </c>
      <c r="AU17" s="647" t="s">
        <v>513</v>
      </c>
      <c r="AV17" s="647" t="s">
        <v>514</v>
      </c>
      <c r="AW17" s="647" t="s">
        <v>515</v>
      </c>
      <c r="AX17" s="663" t="s">
        <v>561</v>
      </c>
      <c r="AY17" s="646" t="s">
        <v>938</v>
      </c>
      <c r="AZ17" s="646" t="s">
        <v>939</v>
      </c>
      <c r="BA17" s="646" t="s">
        <v>940</v>
      </c>
      <c r="BB17" s="646" t="s">
        <v>941</v>
      </c>
      <c r="BC17" s="646" t="s">
        <v>942</v>
      </c>
      <c r="BD17" s="663" t="s">
        <v>943</v>
      </c>
      <c r="BE17" s="646" t="s">
        <v>989</v>
      </c>
      <c r="BF17" s="646" t="s">
        <v>991</v>
      </c>
      <c r="BG17" s="646" t="s">
        <v>992</v>
      </c>
      <c r="BH17" s="646" t="s">
        <v>993</v>
      </c>
      <c r="BI17" s="646" t="s">
        <v>994</v>
      </c>
      <c r="BJ17" s="662" t="s">
        <v>995</v>
      </c>
      <c r="BK17" s="661" t="s">
        <v>414</v>
      </c>
    </row>
    <row r="18" spans="1:63" s="72" customFormat="1" ht="12.75" x14ac:dyDescent="0.25">
      <c r="A18" s="571" t="s">
        <v>87</v>
      </c>
      <c r="B18" s="563" t="s">
        <v>86</v>
      </c>
      <c r="C18" s="581" t="s">
        <v>125</v>
      </c>
      <c r="D18" s="582">
        <v>0</v>
      </c>
      <c r="E18" s="575">
        <v>40</v>
      </c>
      <c r="F18" s="575">
        <v>40</v>
      </c>
      <c r="G18" s="575">
        <v>40</v>
      </c>
      <c r="H18" s="576">
        <v>16</v>
      </c>
      <c r="I18" s="565">
        <v>136</v>
      </c>
      <c r="J18" s="575">
        <v>24</v>
      </c>
      <c r="K18" s="575">
        <v>40</v>
      </c>
      <c r="L18" s="575">
        <v>40</v>
      </c>
      <c r="M18" s="575">
        <v>40</v>
      </c>
      <c r="N18" s="576">
        <v>16</v>
      </c>
      <c r="O18" s="565">
        <v>160</v>
      </c>
      <c r="P18" s="575">
        <v>24</v>
      </c>
      <c r="Q18" s="575">
        <v>40</v>
      </c>
      <c r="R18" s="575">
        <v>40</v>
      </c>
      <c r="S18" s="575">
        <v>40</v>
      </c>
      <c r="T18" s="576">
        <v>40</v>
      </c>
      <c r="U18" s="565">
        <v>184</v>
      </c>
      <c r="V18" s="575">
        <v>40</v>
      </c>
      <c r="W18" s="575">
        <v>27</v>
      </c>
      <c r="X18" s="575">
        <v>45</v>
      </c>
      <c r="Y18" s="576">
        <v>45</v>
      </c>
      <c r="Z18" s="565">
        <v>157</v>
      </c>
      <c r="AA18" s="575">
        <v>57</v>
      </c>
      <c r="AB18" s="575">
        <v>40</v>
      </c>
      <c r="AC18" s="575">
        <v>40</v>
      </c>
      <c r="AD18" s="575">
        <v>40</v>
      </c>
      <c r="AE18" s="576">
        <v>24</v>
      </c>
      <c r="AF18" s="565">
        <v>201</v>
      </c>
      <c r="AG18" s="575">
        <v>16</v>
      </c>
      <c r="AH18" s="575">
        <v>24</v>
      </c>
      <c r="AI18" s="575">
        <v>40</v>
      </c>
      <c r="AJ18" s="575">
        <v>40</v>
      </c>
      <c r="AK18" s="576">
        <v>32</v>
      </c>
      <c r="AL18" s="565">
        <v>152</v>
      </c>
      <c r="AM18" s="575">
        <v>40</v>
      </c>
      <c r="AN18" s="575">
        <v>40</v>
      </c>
      <c r="AO18" s="575">
        <v>40</v>
      </c>
      <c r="AP18" s="575">
        <v>32</v>
      </c>
      <c r="AQ18" s="576">
        <v>16</v>
      </c>
      <c r="AR18" s="565">
        <v>168</v>
      </c>
      <c r="AS18" s="575">
        <v>64</v>
      </c>
      <c r="AT18" s="575">
        <v>80</v>
      </c>
      <c r="AU18" s="575">
        <v>120</v>
      </c>
      <c r="AV18" s="575">
        <v>76</v>
      </c>
      <c r="AW18" s="575">
        <v>48</v>
      </c>
      <c r="AX18" s="569">
        <v>388</v>
      </c>
      <c r="AY18" s="575">
        <v>16</v>
      </c>
      <c r="AZ18" s="575">
        <v>80</v>
      </c>
      <c r="BA18" s="575">
        <v>72</v>
      </c>
      <c r="BB18" s="575">
        <v>80</v>
      </c>
      <c r="BC18" s="575">
        <v>120</v>
      </c>
      <c r="BD18" s="569">
        <v>368</v>
      </c>
      <c r="BE18" s="575">
        <v>128</v>
      </c>
      <c r="BF18" s="575">
        <v>0</v>
      </c>
      <c r="BG18" s="575">
        <v>0</v>
      </c>
      <c r="BH18" s="575">
        <v>0</v>
      </c>
      <c r="BI18" s="575">
        <v>0</v>
      </c>
      <c r="BJ18" s="648">
        <v>128</v>
      </c>
      <c r="BK18" s="567">
        <v>2042</v>
      </c>
    </row>
    <row r="19" spans="1:63" s="72" customFormat="1" ht="12.75" x14ac:dyDescent="0.25">
      <c r="A19" s="572" t="s">
        <v>81</v>
      </c>
      <c r="B19" s="563" t="s">
        <v>80</v>
      </c>
      <c r="C19" s="581" t="s">
        <v>126</v>
      </c>
      <c r="D19" s="583">
        <v>40</v>
      </c>
      <c r="E19" s="577">
        <v>40</v>
      </c>
      <c r="F19" s="577">
        <v>40</v>
      </c>
      <c r="G19" s="577">
        <v>40</v>
      </c>
      <c r="H19" s="578">
        <v>16</v>
      </c>
      <c r="I19" s="566">
        <v>176</v>
      </c>
      <c r="J19" s="577">
        <v>24</v>
      </c>
      <c r="K19" s="577">
        <v>40</v>
      </c>
      <c r="L19" s="577">
        <v>40</v>
      </c>
      <c r="M19" s="577">
        <v>40</v>
      </c>
      <c r="N19" s="578">
        <v>16</v>
      </c>
      <c r="O19" s="566">
        <v>160</v>
      </c>
      <c r="P19" s="577">
        <v>24</v>
      </c>
      <c r="Q19" s="577">
        <v>40</v>
      </c>
      <c r="R19" s="577">
        <v>40</v>
      </c>
      <c r="S19" s="577">
        <v>40</v>
      </c>
      <c r="T19" s="578">
        <v>40</v>
      </c>
      <c r="U19" s="566">
        <v>184</v>
      </c>
      <c r="V19" s="577">
        <v>45</v>
      </c>
      <c r="W19" s="577">
        <v>27</v>
      </c>
      <c r="X19" s="577">
        <v>45</v>
      </c>
      <c r="Y19" s="578">
        <v>45</v>
      </c>
      <c r="Z19" s="566">
        <v>162</v>
      </c>
      <c r="AA19" s="577">
        <v>33</v>
      </c>
      <c r="AB19" s="577">
        <v>40</v>
      </c>
      <c r="AC19" s="577">
        <v>40</v>
      </c>
      <c r="AD19" s="577">
        <v>40</v>
      </c>
      <c r="AE19" s="578">
        <v>24</v>
      </c>
      <c r="AF19" s="566">
        <v>177</v>
      </c>
      <c r="AG19" s="577">
        <v>16</v>
      </c>
      <c r="AH19" s="577">
        <v>40</v>
      </c>
      <c r="AI19" s="577">
        <v>40</v>
      </c>
      <c r="AJ19" s="577">
        <v>40</v>
      </c>
      <c r="AK19" s="578">
        <v>32</v>
      </c>
      <c r="AL19" s="566">
        <v>168</v>
      </c>
      <c r="AM19" s="577">
        <v>40</v>
      </c>
      <c r="AN19" s="577">
        <v>40</v>
      </c>
      <c r="AO19" s="577">
        <v>40</v>
      </c>
      <c r="AP19" s="577">
        <v>32</v>
      </c>
      <c r="AQ19" s="578">
        <v>8</v>
      </c>
      <c r="AR19" s="566">
        <v>160</v>
      </c>
      <c r="AS19" s="577">
        <v>32</v>
      </c>
      <c r="AT19" s="577">
        <v>40</v>
      </c>
      <c r="AU19" s="577">
        <v>40</v>
      </c>
      <c r="AV19" s="577">
        <v>12</v>
      </c>
      <c r="AW19" s="577">
        <v>24</v>
      </c>
      <c r="AX19" s="570">
        <v>148</v>
      </c>
      <c r="AY19" s="577">
        <v>8</v>
      </c>
      <c r="AZ19" s="577">
        <v>40</v>
      </c>
      <c r="BA19" s="577">
        <v>40</v>
      </c>
      <c r="BB19" s="577">
        <v>40</v>
      </c>
      <c r="BC19" s="577">
        <v>40</v>
      </c>
      <c r="BD19" s="570">
        <v>168</v>
      </c>
      <c r="BE19" s="577">
        <v>40</v>
      </c>
      <c r="BF19" s="577">
        <v>0</v>
      </c>
      <c r="BG19" s="577">
        <v>0</v>
      </c>
      <c r="BH19" s="577">
        <v>0</v>
      </c>
      <c r="BI19" s="577">
        <v>0</v>
      </c>
      <c r="BJ19" s="669">
        <v>40</v>
      </c>
      <c r="BK19" s="568">
        <v>1543</v>
      </c>
    </row>
    <row r="20" spans="1:63" s="72" customFormat="1" ht="12.75" x14ac:dyDescent="0.25">
      <c r="A20" s="572" t="s">
        <v>83</v>
      </c>
      <c r="B20" s="563" t="s">
        <v>82</v>
      </c>
      <c r="C20" s="581" t="s">
        <v>126</v>
      </c>
      <c r="D20" s="583">
        <v>40</v>
      </c>
      <c r="E20" s="577">
        <v>40</v>
      </c>
      <c r="F20" s="577">
        <v>40</v>
      </c>
      <c r="G20" s="577">
        <v>40</v>
      </c>
      <c r="H20" s="578">
        <v>16</v>
      </c>
      <c r="I20" s="566">
        <v>176</v>
      </c>
      <c r="J20" s="577">
        <v>24</v>
      </c>
      <c r="K20" s="577">
        <v>40</v>
      </c>
      <c r="L20" s="577">
        <v>40</v>
      </c>
      <c r="M20" s="577">
        <v>40</v>
      </c>
      <c r="N20" s="578">
        <v>16</v>
      </c>
      <c r="O20" s="566">
        <v>160</v>
      </c>
      <c r="P20" s="577">
        <v>24</v>
      </c>
      <c r="Q20" s="577">
        <v>40</v>
      </c>
      <c r="R20" s="577">
        <v>40</v>
      </c>
      <c r="S20" s="577">
        <v>40</v>
      </c>
      <c r="T20" s="578">
        <v>40</v>
      </c>
      <c r="U20" s="566">
        <v>184</v>
      </c>
      <c r="V20" s="577">
        <v>42</v>
      </c>
      <c r="W20" s="577">
        <v>27</v>
      </c>
      <c r="X20" s="577">
        <v>42</v>
      </c>
      <c r="Y20" s="578">
        <v>1</v>
      </c>
      <c r="Z20" s="566">
        <v>112</v>
      </c>
      <c r="AA20" s="577">
        <v>33</v>
      </c>
      <c r="AB20" s="577">
        <v>40</v>
      </c>
      <c r="AC20" s="577">
        <v>40</v>
      </c>
      <c r="AD20" s="577">
        <v>40</v>
      </c>
      <c r="AE20" s="578">
        <v>24</v>
      </c>
      <c r="AF20" s="566">
        <v>177</v>
      </c>
      <c r="AG20" s="577">
        <v>16</v>
      </c>
      <c r="AH20" s="577">
        <v>40</v>
      </c>
      <c r="AI20" s="577">
        <v>40</v>
      </c>
      <c r="AJ20" s="577">
        <v>40</v>
      </c>
      <c r="AK20" s="578">
        <v>32</v>
      </c>
      <c r="AL20" s="566">
        <v>168</v>
      </c>
      <c r="AM20" s="577">
        <v>40</v>
      </c>
      <c r="AN20" s="577">
        <v>40</v>
      </c>
      <c r="AO20" s="577">
        <v>40</v>
      </c>
      <c r="AP20" s="577">
        <v>32</v>
      </c>
      <c r="AQ20" s="578">
        <v>8</v>
      </c>
      <c r="AR20" s="566">
        <v>160</v>
      </c>
      <c r="AS20" s="577">
        <v>32</v>
      </c>
      <c r="AT20" s="577">
        <v>64</v>
      </c>
      <c r="AU20" s="577">
        <v>8</v>
      </c>
      <c r="AV20" s="577">
        <v>32</v>
      </c>
      <c r="AW20" s="577">
        <v>24</v>
      </c>
      <c r="AX20" s="570">
        <v>160</v>
      </c>
      <c r="AY20" s="577">
        <v>8</v>
      </c>
      <c r="AZ20" s="577">
        <v>40</v>
      </c>
      <c r="BA20" s="577">
        <v>40</v>
      </c>
      <c r="BB20" s="577">
        <v>40</v>
      </c>
      <c r="BC20" s="577">
        <v>40</v>
      </c>
      <c r="BD20" s="570">
        <v>168</v>
      </c>
      <c r="BE20" s="577">
        <v>40</v>
      </c>
      <c r="BF20" s="577">
        <v>0</v>
      </c>
      <c r="BG20" s="577">
        <v>0</v>
      </c>
      <c r="BH20" s="577">
        <v>0</v>
      </c>
      <c r="BI20" s="577">
        <v>0</v>
      </c>
      <c r="BJ20" s="669">
        <v>40</v>
      </c>
      <c r="BK20" s="568">
        <v>1505</v>
      </c>
    </row>
    <row r="21" spans="1:63" s="72" customFormat="1" ht="12.75" x14ac:dyDescent="0.25">
      <c r="A21" s="572" t="s">
        <v>43</v>
      </c>
      <c r="B21" s="563" t="s">
        <v>48</v>
      </c>
      <c r="C21" s="581" t="s">
        <v>128</v>
      </c>
      <c r="D21" s="583">
        <v>22</v>
      </c>
      <c r="E21" s="577">
        <v>20</v>
      </c>
      <c r="F21" s="577">
        <v>70</v>
      </c>
      <c r="G21" s="577">
        <v>42</v>
      </c>
      <c r="H21" s="578">
        <v>20</v>
      </c>
      <c r="I21" s="566">
        <v>174</v>
      </c>
      <c r="J21" s="577">
        <v>36</v>
      </c>
      <c r="K21" s="577">
        <v>60</v>
      </c>
      <c r="L21" s="577">
        <v>60</v>
      </c>
      <c r="M21" s="577">
        <v>50</v>
      </c>
      <c r="N21" s="578">
        <v>8</v>
      </c>
      <c r="O21" s="566">
        <v>214</v>
      </c>
      <c r="P21" s="577">
        <v>0</v>
      </c>
      <c r="Q21" s="577">
        <v>0</v>
      </c>
      <c r="R21" s="577">
        <v>0</v>
      </c>
      <c r="S21" s="577">
        <v>0</v>
      </c>
      <c r="T21" s="578">
        <v>0</v>
      </c>
      <c r="U21" s="566">
        <v>0</v>
      </c>
      <c r="V21" s="577">
        <v>0</v>
      </c>
      <c r="W21" s="577">
        <v>0</v>
      </c>
      <c r="X21" s="577">
        <v>0</v>
      </c>
      <c r="Y21" s="578">
        <v>0</v>
      </c>
      <c r="Z21" s="566">
        <v>0</v>
      </c>
      <c r="AA21" s="577">
        <v>0</v>
      </c>
      <c r="AB21" s="577">
        <v>0</v>
      </c>
      <c r="AC21" s="577">
        <v>0</v>
      </c>
      <c r="AD21" s="577">
        <v>0</v>
      </c>
      <c r="AE21" s="578">
        <v>0</v>
      </c>
      <c r="AF21" s="566">
        <v>0</v>
      </c>
      <c r="AG21" s="577">
        <v>0</v>
      </c>
      <c r="AH21" s="577">
        <v>0</v>
      </c>
      <c r="AI21" s="577">
        <v>0</v>
      </c>
      <c r="AJ21" s="577">
        <v>0</v>
      </c>
      <c r="AK21" s="578">
        <v>0</v>
      </c>
      <c r="AL21" s="566">
        <v>0</v>
      </c>
      <c r="AM21" s="577">
        <v>0</v>
      </c>
      <c r="AN21" s="577">
        <v>0</v>
      </c>
      <c r="AO21" s="577">
        <v>0</v>
      </c>
      <c r="AP21" s="577">
        <v>0</v>
      </c>
      <c r="AQ21" s="578">
        <v>0</v>
      </c>
      <c r="AR21" s="566">
        <v>0</v>
      </c>
      <c r="AS21" s="577">
        <v>0</v>
      </c>
      <c r="AT21" s="577">
        <v>0</v>
      </c>
      <c r="AU21" s="577">
        <v>0</v>
      </c>
      <c r="AV21" s="577">
        <v>0</v>
      </c>
      <c r="AW21" s="577">
        <v>0</v>
      </c>
      <c r="AX21" s="570">
        <v>0</v>
      </c>
      <c r="AY21" s="577">
        <v>0</v>
      </c>
      <c r="AZ21" s="577">
        <v>0</v>
      </c>
      <c r="BA21" s="577">
        <v>0</v>
      </c>
      <c r="BB21" s="577">
        <v>0</v>
      </c>
      <c r="BC21" s="577">
        <v>0</v>
      </c>
      <c r="BD21" s="570">
        <v>0</v>
      </c>
      <c r="BE21" s="577">
        <v>0</v>
      </c>
      <c r="BF21" s="577">
        <v>0</v>
      </c>
      <c r="BG21" s="577">
        <v>0</v>
      </c>
      <c r="BH21" s="577">
        <v>0</v>
      </c>
      <c r="BI21" s="577">
        <v>0</v>
      </c>
      <c r="BJ21" s="669">
        <v>0</v>
      </c>
      <c r="BK21" s="568">
        <v>388</v>
      </c>
    </row>
    <row r="22" spans="1:63" s="72" customFormat="1" ht="12.75" x14ac:dyDescent="0.25">
      <c r="A22" s="572" t="s">
        <v>90</v>
      </c>
      <c r="B22" s="563" t="s">
        <v>89</v>
      </c>
      <c r="C22" s="581" t="s">
        <v>113</v>
      </c>
      <c r="D22" s="583">
        <v>90</v>
      </c>
      <c r="E22" s="577">
        <v>90</v>
      </c>
      <c r="F22" s="577">
        <v>130</v>
      </c>
      <c r="G22" s="577">
        <v>85</v>
      </c>
      <c r="H22" s="578">
        <v>8</v>
      </c>
      <c r="I22" s="566">
        <v>403</v>
      </c>
      <c r="J22" s="577">
        <v>0</v>
      </c>
      <c r="K22" s="577">
        <v>0</v>
      </c>
      <c r="L22" s="577">
        <v>0</v>
      </c>
      <c r="M22" s="577">
        <v>0</v>
      </c>
      <c r="N22" s="578">
        <v>0</v>
      </c>
      <c r="O22" s="566">
        <v>0</v>
      </c>
      <c r="P22" s="577">
        <v>0</v>
      </c>
      <c r="Q22" s="577">
        <v>0</v>
      </c>
      <c r="R22" s="577">
        <v>0</v>
      </c>
      <c r="S22" s="577">
        <v>0</v>
      </c>
      <c r="T22" s="578">
        <v>0</v>
      </c>
      <c r="U22" s="566">
        <v>0</v>
      </c>
      <c r="V22" s="577">
        <v>0</v>
      </c>
      <c r="W22" s="577">
        <v>0</v>
      </c>
      <c r="X22" s="577">
        <v>0</v>
      </c>
      <c r="Y22" s="578">
        <v>0</v>
      </c>
      <c r="Z22" s="566">
        <v>0</v>
      </c>
      <c r="AA22" s="577">
        <v>0</v>
      </c>
      <c r="AB22" s="577">
        <v>0</v>
      </c>
      <c r="AC22" s="577">
        <v>0</v>
      </c>
      <c r="AD22" s="577">
        <v>0</v>
      </c>
      <c r="AE22" s="578">
        <v>0</v>
      </c>
      <c r="AF22" s="566">
        <v>0</v>
      </c>
      <c r="AG22" s="577">
        <v>0</v>
      </c>
      <c r="AH22" s="577">
        <v>0</v>
      </c>
      <c r="AI22" s="577">
        <v>0</v>
      </c>
      <c r="AJ22" s="577">
        <v>0</v>
      </c>
      <c r="AK22" s="578">
        <v>0</v>
      </c>
      <c r="AL22" s="566">
        <v>0</v>
      </c>
      <c r="AM22" s="577">
        <v>0</v>
      </c>
      <c r="AN22" s="577">
        <v>0</v>
      </c>
      <c r="AO22" s="577">
        <v>0</v>
      </c>
      <c r="AP22" s="577">
        <v>0</v>
      </c>
      <c r="AQ22" s="578">
        <v>0</v>
      </c>
      <c r="AR22" s="566">
        <v>0</v>
      </c>
      <c r="AS22" s="577">
        <v>0</v>
      </c>
      <c r="AT22" s="577">
        <v>0</v>
      </c>
      <c r="AU22" s="577">
        <v>0</v>
      </c>
      <c r="AV22" s="577">
        <v>0</v>
      </c>
      <c r="AW22" s="577">
        <v>0</v>
      </c>
      <c r="AX22" s="570">
        <v>0</v>
      </c>
      <c r="AY22" s="577">
        <v>0</v>
      </c>
      <c r="AZ22" s="577">
        <v>0</v>
      </c>
      <c r="BA22" s="577">
        <v>0</v>
      </c>
      <c r="BB22" s="577">
        <v>0</v>
      </c>
      <c r="BC22" s="577">
        <v>0</v>
      </c>
      <c r="BD22" s="570">
        <v>0</v>
      </c>
      <c r="BE22" s="577">
        <v>0</v>
      </c>
      <c r="BF22" s="577">
        <v>0</v>
      </c>
      <c r="BG22" s="577">
        <v>0</v>
      </c>
      <c r="BH22" s="577">
        <v>0</v>
      </c>
      <c r="BI22" s="577">
        <v>0</v>
      </c>
      <c r="BJ22" s="669">
        <v>0</v>
      </c>
      <c r="BK22" s="568">
        <v>403</v>
      </c>
    </row>
    <row r="23" spans="1:63" s="72" customFormat="1" ht="12.75" x14ac:dyDescent="0.25">
      <c r="A23" s="572" t="s">
        <v>95</v>
      </c>
      <c r="B23" s="43" t="s">
        <v>89</v>
      </c>
      <c r="C23" s="581" t="s">
        <v>165</v>
      </c>
      <c r="D23" s="583">
        <v>0</v>
      </c>
      <c r="E23" s="577">
        <v>0</v>
      </c>
      <c r="F23" s="577">
        <v>0</v>
      </c>
      <c r="G23" s="577">
        <v>45</v>
      </c>
      <c r="H23" s="578">
        <v>36</v>
      </c>
      <c r="I23" s="566">
        <v>81</v>
      </c>
      <c r="J23" s="577">
        <v>54</v>
      </c>
      <c r="K23" s="577">
        <v>100</v>
      </c>
      <c r="L23" s="577">
        <v>110</v>
      </c>
      <c r="M23" s="577">
        <v>90</v>
      </c>
      <c r="N23" s="578">
        <v>36</v>
      </c>
      <c r="O23" s="566">
        <v>390</v>
      </c>
      <c r="P23" s="577">
        <v>0</v>
      </c>
      <c r="Q23" s="577">
        <v>0</v>
      </c>
      <c r="R23" s="577">
        <v>0</v>
      </c>
      <c r="S23" s="577">
        <v>0</v>
      </c>
      <c r="T23" s="578">
        <v>0</v>
      </c>
      <c r="U23" s="566">
        <v>0</v>
      </c>
      <c r="V23" s="577">
        <v>0</v>
      </c>
      <c r="W23" s="577">
        <v>0</v>
      </c>
      <c r="X23" s="577">
        <v>0</v>
      </c>
      <c r="Y23" s="578">
        <v>0</v>
      </c>
      <c r="Z23" s="566">
        <v>0</v>
      </c>
      <c r="AA23" s="577">
        <v>0</v>
      </c>
      <c r="AB23" s="577">
        <v>0</v>
      </c>
      <c r="AC23" s="577">
        <v>0</v>
      </c>
      <c r="AD23" s="577">
        <v>0</v>
      </c>
      <c r="AE23" s="578">
        <v>0</v>
      </c>
      <c r="AF23" s="566">
        <v>0</v>
      </c>
      <c r="AG23" s="577">
        <v>0</v>
      </c>
      <c r="AH23" s="577">
        <v>0</v>
      </c>
      <c r="AI23" s="577">
        <v>0</v>
      </c>
      <c r="AJ23" s="577">
        <v>0</v>
      </c>
      <c r="AK23" s="578">
        <v>0</v>
      </c>
      <c r="AL23" s="566">
        <v>0</v>
      </c>
      <c r="AM23" s="577">
        <v>0</v>
      </c>
      <c r="AN23" s="577">
        <v>0</v>
      </c>
      <c r="AO23" s="577">
        <v>0</v>
      </c>
      <c r="AP23" s="577">
        <v>0</v>
      </c>
      <c r="AQ23" s="578">
        <v>0</v>
      </c>
      <c r="AR23" s="566">
        <v>0</v>
      </c>
      <c r="AS23" s="577">
        <v>0</v>
      </c>
      <c r="AT23" s="577">
        <v>0</v>
      </c>
      <c r="AU23" s="577">
        <v>0</v>
      </c>
      <c r="AV23" s="577">
        <v>0</v>
      </c>
      <c r="AW23" s="577">
        <v>0</v>
      </c>
      <c r="AX23" s="570">
        <v>0</v>
      </c>
      <c r="AY23" s="577">
        <v>0</v>
      </c>
      <c r="AZ23" s="577">
        <v>0</v>
      </c>
      <c r="BA23" s="577">
        <v>0</v>
      </c>
      <c r="BB23" s="577">
        <v>0</v>
      </c>
      <c r="BC23" s="577">
        <v>0</v>
      </c>
      <c r="BD23" s="570">
        <v>0</v>
      </c>
      <c r="BE23" s="577">
        <v>0</v>
      </c>
      <c r="BF23" s="577">
        <v>0</v>
      </c>
      <c r="BG23" s="577">
        <v>0</v>
      </c>
      <c r="BH23" s="577">
        <v>0</v>
      </c>
      <c r="BI23" s="577">
        <v>0</v>
      </c>
      <c r="BJ23" s="669">
        <v>0</v>
      </c>
      <c r="BK23" s="568">
        <v>471</v>
      </c>
    </row>
    <row r="24" spans="1:63" s="72" customFormat="1" ht="12.75" x14ac:dyDescent="0.25">
      <c r="A24" s="572" t="s">
        <v>77</v>
      </c>
      <c r="B24" s="563" t="s">
        <v>76</v>
      </c>
      <c r="C24" s="581" t="s">
        <v>115</v>
      </c>
      <c r="D24" s="583">
        <v>0</v>
      </c>
      <c r="E24" s="577">
        <v>0</v>
      </c>
      <c r="F24" s="577">
        <v>0</v>
      </c>
      <c r="G24" s="577">
        <v>0</v>
      </c>
      <c r="H24" s="578">
        <v>0</v>
      </c>
      <c r="I24" s="566">
        <v>0</v>
      </c>
      <c r="J24" s="577">
        <v>24</v>
      </c>
      <c r="K24" s="577">
        <v>40</v>
      </c>
      <c r="L24" s="577">
        <v>40</v>
      </c>
      <c r="M24" s="577">
        <v>40</v>
      </c>
      <c r="N24" s="578">
        <v>16</v>
      </c>
      <c r="O24" s="566">
        <v>160</v>
      </c>
      <c r="P24" s="577">
        <v>46</v>
      </c>
      <c r="Q24" s="577">
        <v>90</v>
      </c>
      <c r="R24" s="577">
        <v>90</v>
      </c>
      <c r="S24" s="577">
        <v>90</v>
      </c>
      <c r="T24" s="578">
        <v>90</v>
      </c>
      <c r="U24" s="566">
        <v>406</v>
      </c>
      <c r="V24" s="577">
        <v>53</v>
      </c>
      <c r="W24" s="577">
        <v>30</v>
      </c>
      <c r="X24" s="577">
        <v>20</v>
      </c>
      <c r="Y24" s="578">
        <v>42</v>
      </c>
      <c r="Z24" s="566">
        <v>145</v>
      </c>
      <c r="AA24" s="577">
        <v>52</v>
      </c>
      <c r="AB24" s="577">
        <v>56</v>
      </c>
      <c r="AC24" s="577">
        <v>24</v>
      </c>
      <c r="AD24" s="577">
        <v>0</v>
      </c>
      <c r="AE24" s="578">
        <v>0</v>
      </c>
      <c r="AF24" s="566">
        <v>132</v>
      </c>
      <c r="AG24" s="577">
        <v>0</v>
      </c>
      <c r="AH24" s="577">
        <v>0</v>
      </c>
      <c r="AI24" s="577">
        <v>3</v>
      </c>
      <c r="AJ24" s="577">
        <v>32</v>
      </c>
      <c r="AK24" s="578">
        <v>28</v>
      </c>
      <c r="AL24" s="566">
        <v>63</v>
      </c>
      <c r="AM24" s="577">
        <v>75</v>
      </c>
      <c r="AN24" s="577">
        <v>52</v>
      </c>
      <c r="AO24" s="577">
        <v>35</v>
      </c>
      <c r="AP24" s="577">
        <v>0</v>
      </c>
      <c r="AQ24" s="578">
        <v>0</v>
      </c>
      <c r="AR24" s="566">
        <v>162</v>
      </c>
      <c r="AS24" s="577">
        <v>0</v>
      </c>
      <c r="AT24" s="577">
        <v>0</v>
      </c>
      <c r="AU24" s="577">
        <v>0</v>
      </c>
      <c r="AV24" s="577">
        <v>0</v>
      </c>
      <c r="AW24" s="577">
        <v>0</v>
      </c>
      <c r="AX24" s="570">
        <v>0</v>
      </c>
      <c r="AY24" s="577">
        <v>0</v>
      </c>
      <c r="AZ24" s="577">
        <v>52</v>
      </c>
      <c r="BA24" s="577">
        <v>0</v>
      </c>
      <c r="BB24" s="577">
        <v>6</v>
      </c>
      <c r="BC24" s="577">
        <v>6</v>
      </c>
      <c r="BD24" s="570">
        <v>64</v>
      </c>
      <c r="BE24" s="577">
        <v>0</v>
      </c>
      <c r="BF24" s="577">
        <v>0</v>
      </c>
      <c r="BG24" s="577">
        <v>0</v>
      </c>
      <c r="BH24" s="577">
        <v>0</v>
      </c>
      <c r="BI24" s="577">
        <v>0</v>
      </c>
      <c r="BJ24" s="669">
        <v>0</v>
      </c>
      <c r="BK24" s="568">
        <v>1132</v>
      </c>
    </row>
    <row r="25" spans="1:63" s="76" customFormat="1" ht="14.25" x14ac:dyDescent="0.25">
      <c r="A25" s="572" t="s">
        <v>94</v>
      </c>
      <c r="B25" s="563" t="s">
        <v>93</v>
      </c>
      <c r="C25" s="581" t="s">
        <v>116</v>
      </c>
      <c r="D25" s="583">
        <v>50</v>
      </c>
      <c r="E25" s="577">
        <v>50</v>
      </c>
      <c r="F25" s="577">
        <v>80</v>
      </c>
      <c r="G25" s="577">
        <v>85</v>
      </c>
      <c r="H25" s="578">
        <v>34</v>
      </c>
      <c r="I25" s="566">
        <v>299</v>
      </c>
      <c r="J25" s="577">
        <v>0</v>
      </c>
      <c r="K25" s="577">
        <v>0</v>
      </c>
      <c r="L25" s="577">
        <v>4</v>
      </c>
      <c r="M25" s="577">
        <v>0</v>
      </c>
      <c r="N25" s="578">
        <v>0</v>
      </c>
      <c r="O25" s="566">
        <v>4</v>
      </c>
      <c r="P25" s="577">
        <v>0</v>
      </c>
      <c r="Q25" s="577">
        <v>0</v>
      </c>
      <c r="R25" s="577">
        <v>0</v>
      </c>
      <c r="S25" s="577">
        <v>0</v>
      </c>
      <c r="T25" s="578">
        <v>0</v>
      </c>
      <c r="U25" s="566">
        <v>0</v>
      </c>
      <c r="V25" s="577">
        <v>0</v>
      </c>
      <c r="W25" s="577">
        <v>0</v>
      </c>
      <c r="X25" s="577">
        <v>0</v>
      </c>
      <c r="Y25" s="578">
        <v>0</v>
      </c>
      <c r="Z25" s="566">
        <v>0</v>
      </c>
      <c r="AA25" s="577">
        <v>0</v>
      </c>
      <c r="AB25" s="577">
        <v>0</v>
      </c>
      <c r="AC25" s="577">
        <v>0</v>
      </c>
      <c r="AD25" s="577">
        <v>0</v>
      </c>
      <c r="AE25" s="578">
        <v>0</v>
      </c>
      <c r="AF25" s="566">
        <v>0</v>
      </c>
      <c r="AG25" s="577">
        <v>0</v>
      </c>
      <c r="AH25" s="577">
        <v>0</v>
      </c>
      <c r="AI25" s="577">
        <v>0</v>
      </c>
      <c r="AJ25" s="577">
        <v>0</v>
      </c>
      <c r="AK25" s="578">
        <v>0</v>
      </c>
      <c r="AL25" s="566">
        <v>0</v>
      </c>
      <c r="AM25" s="577">
        <v>0</v>
      </c>
      <c r="AN25" s="577">
        <v>0</v>
      </c>
      <c r="AO25" s="577">
        <v>2</v>
      </c>
      <c r="AP25" s="577">
        <v>0</v>
      </c>
      <c r="AQ25" s="578">
        <v>0</v>
      </c>
      <c r="AR25" s="566">
        <v>2</v>
      </c>
      <c r="AS25" s="577">
        <v>0</v>
      </c>
      <c r="AT25" s="577">
        <v>0</v>
      </c>
      <c r="AU25" s="577">
        <v>0</v>
      </c>
      <c r="AV25" s="577">
        <v>0</v>
      </c>
      <c r="AW25" s="577">
        <v>0</v>
      </c>
      <c r="AX25" s="570">
        <v>0</v>
      </c>
      <c r="AY25" s="577">
        <v>0</v>
      </c>
      <c r="AZ25" s="577">
        <v>0</v>
      </c>
      <c r="BA25" s="577">
        <v>0</v>
      </c>
      <c r="BB25" s="577">
        <v>0</v>
      </c>
      <c r="BC25" s="577">
        <v>0</v>
      </c>
      <c r="BD25" s="570">
        <v>0</v>
      </c>
      <c r="BE25" s="577">
        <v>0</v>
      </c>
      <c r="BF25" s="577">
        <v>0</v>
      </c>
      <c r="BG25" s="577">
        <v>0</v>
      </c>
      <c r="BH25" s="577">
        <v>0</v>
      </c>
      <c r="BI25" s="577">
        <v>0</v>
      </c>
      <c r="BJ25" s="669">
        <v>0</v>
      </c>
      <c r="BK25" s="568">
        <v>305</v>
      </c>
    </row>
    <row r="26" spans="1:63" s="76" customFormat="1" ht="14.25" x14ac:dyDescent="0.25">
      <c r="A26" s="572" t="s">
        <v>92</v>
      </c>
      <c r="B26" s="563" t="s">
        <v>91</v>
      </c>
      <c r="C26" s="581" t="s">
        <v>117</v>
      </c>
      <c r="D26" s="583">
        <v>40</v>
      </c>
      <c r="E26" s="577">
        <v>45</v>
      </c>
      <c r="F26" s="577">
        <v>12</v>
      </c>
      <c r="G26" s="577">
        <v>0</v>
      </c>
      <c r="H26" s="578">
        <v>0</v>
      </c>
      <c r="I26" s="566">
        <v>97</v>
      </c>
      <c r="J26" s="577">
        <v>0</v>
      </c>
      <c r="K26" s="577">
        <v>0</v>
      </c>
      <c r="L26" s="577">
        <v>0</v>
      </c>
      <c r="M26" s="577">
        <v>0</v>
      </c>
      <c r="N26" s="578">
        <v>0</v>
      </c>
      <c r="O26" s="566">
        <v>0</v>
      </c>
      <c r="P26" s="577">
        <v>16</v>
      </c>
      <c r="Q26" s="577">
        <v>0</v>
      </c>
      <c r="R26" s="577">
        <v>0</v>
      </c>
      <c r="S26" s="577">
        <v>0</v>
      </c>
      <c r="T26" s="578">
        <v>0</v>
      </c>
      <c r="U26" s="566">
        <v>16</v>
      </c>
      <c r="V26" s="577">
        <v>8</v>
      </c>
      <c r="W26" s="577">
        <v>24</v>
      </c>
      <c r="X26" s="577">
        <v>40</v>
      </c>
      <c r="Y26" s="578">
        <v>0</v>
      </c>
      <c r="Z26" s="566">
        <v>72</v>
      </c>
      <c r="AA26" s="577">
        <v>0</v>
      </c>
      <c r="AB26" s="577">
        <v>0</v>
      </c>
      <c r="AC26" s="577">
        <v>0</v>
      </c>
      <c r="AD26" s="577">
        <v>0</v>
      </c>
      <c r="AE26" s="578">
        <v>0</v>
      </c>
      <c r="AF26" s="566">
        <v>0</v>
      </c>
      <c r="AG26" s="577">
        <v>0</v>
      </c>
      <c r="AH26" s="577">
        <v>24</v>
      </c>
      <c r="AI26" s="577">
        <v>0</v>
      </c>
      <c r="AJ26" s="577">
        <v>0</v>
      </c>
      <c r="AK26" s="578">
        <v>0</v>
      </c>
      <c r="AL26" s="566">
        <v>24</v>
      </c>
      <c r="AM26" s="577">
        <v>0</v>
      </c>
      <c r="AN26" s="577">
        <v>0</v>
      </c>
      <c r="AO26" s="577">
        <v>0</v>
      </c>
      <c r="AP26" s="577">
        <v>0</v>
      </c>
      <c r="AQ26" s="578">
        <v>0</v>
      </c>
      <c r="AR26" s="566">
        <v>0</v>
      </c>
      <c r="AS26" s="577">
        <v>0</v>
      </c>
      <c r="AT26" s="577">
        <v>0</v>
      </c>
      <c r="AU26" s="577">
        <v>0</v>
      </c>
      <c r="AV26" s="577">
        <v>0</v>
      </c>
      <c r="AW26" s="577">
        <v>0</v>
      </c>
      <c r="AX26" s="570">
        <v>0</v>
      </c>
      <c r="AY26" s="577">
        <v>0</v>
      </c>
      <c r="AZ26" s="577">
        <v>0</v>
      </c>
      <c r="BA26" s="577">
        <v>0</v>
      </c>
      <c r="BB26" s="577">
        <v>0</v>
      </c>
      <c r="BC26" s="577">
        <v>0</v>
      </c>
      <c r="BD26" s="570">
        <v>0</v>
      </c>
      <c r="BE26" s="577">
        <v>0</v>
      </c>
      <c r="BF26" s="577">
        <v>0</v>
      </c>
      <c r="BG26" s="577">
        <v>0</v>
      </c>
      <c r="BH26" s="577">
        <v>0</v>
      </c>
      <c r="BI26" s="577">
        <v>0</v>
      </c>
      <c r="BJ26" s="669">
        <v>0</v>
      </c>
      <c r="BK26" s="568">
        <v>209</v>
      </c>
    </row>
    <row r="27" spans="1:63" s="76" customFormat="1" ht="14.25" x14ac:dyDescent="0.25">
      <c r="A27" s="572" t="s">
        <v>79</v>
      </c>
      <c r="B27" s="563" t="s">
        <v>78</v>
      </c>
      <c r="C27" s="581" t="s">
        <v>164</v>
      </c>
      <c r="D27" s="583">
        <v>0</v>
      </c>
      <c r="E27" s="577">
        <v>0</v>
      </c>
      <c r="F27" s="577">
        <v>0</v>
      </c>
      <c r="G27" s="577">
        <v>0</v>
      </c>
      <c r="H27" s="578">
        <v>0</v>
      </c>
      <c r="I27" s="566">
        <v>0</v>
      </c>
      <c r="J27" s="577">
        <v>48</v>
      </c>
      <c r="K27" s="577">
        <v>88</v>
      </c>
      <c r="L27" s="577">
        <v>62</v>
      </c>
      <c r="M27" s="577">
        <v>50</v>
      </c>
      <c r="N27" s="578">
        <v>20</v>
      </c>
      <c r="O27" s="566">
        <v>268</v>
      </c>
      <c r="P27" s="577">
        <v>22</v>
      </c>
      <c r="Q27" s="577">
        <v>50</v>
      </c>
      <c r="R27" s="577">
        <v>52</v>
      </c>
      <c r="S27" s="577">
        <v>56</v>
      </c>
      <c r="T27" s="578">
        <v>54</v>
      </c>
      <c r="U27" s="566">
        <v>234</v>
      </c>
      <c r="V27" s="577">
        <v>32</v>
      </c>
      <c r="W27" s="577">
        <v>0</v>
      </c>
      <c r="X27" s="577">
        <v>0</v>
      </c>
      <c r="Y27" s="578">
        <v>0</v>
      </c>
      <c r="Z27" s="566">
        <v>32</v>
      </c>
      <c r="AA27" s="577">
        <v>8</v>
      </c>
      <c r="AB27" s="577">
        <v>0</v>
      </c>
      <c r="AC27" s="577">
        <v>0</v>
      </c>
      <c r="AD27" s="577">
        <v>0</v>
      </c>
      <c r="AE27" s="578">
        <v>0</v>
      </c>
      <c r="AF27" s="566">
        <v>8</v>
      </c>
      <c r="AG27" s="577">
        <v>0</v>
      </c>
      <c r="AH27" s="577">
        <v>0</v>
      </c>
      <c r="AI27" s="577">
        <v>0</v>
      </c>
      <c r="AJ27" s="577">
        <v>0</v>
      </c>
      <c r="AK27" s="578">
        <v>0</v>
      </c>
      <c r="AL27" s="566">
        <v>0</v>
      </c>
      <c r="AM27" s="577">
        <v>0</v>
      </c>
      <c r="AN27" s="577">
        <v>0</v>
      </c>
      <c r="AO27" s="577">
        <v>0</v>
      </c>
      <c r="AP27" s="577">
        <v>0</v>
      </c>
      <c r="AQ27" s="578">
        <v>0</v>
      </c>
      <c r="AR27" s="566">
        <v>0</v>
      </c>
      <c r="AS27" s="577">
        <v>0</v>
      </c>
      <c r="AT27" s="577">
        <v>0</v>
      </c>
      <c r="AU27" s="577">
        <v>0</v>
      </c>
      <c r="AV27" s="577">
        <v>0</v>
      </c>
      <c r="AW27" s="577">
        <v>0</v>
      </c>
      <c r="AX27" s="570">
        <v>0</v>
      </c>
      <c r="AY27" s="577">
        <v>0</v>
      </c>
      <c r="AZ27" s="577">
        <v>0</v>
      </c>
      <c r="BA27" s="577">
        <v>0</v>
      </c>
      <c r="BB27" s="577">
        <v>0</v>
      </c>
      <c r="BC27" s="577">
        <v>0</v>
      </c>
      <c r="BD27" s="570">
        <v>0</v>
      </c>
      <c r="BE27" s="577">
        <v>0</v>
      </c>
      <c r="BF27" s="577">
        <v>0</v>
      </c>
      <c r="BG27" s="577">
        <v>0</v>
      </c>
      <c r="BH27" s="577">
        <v>0</v>
      </c>
      <c r="BI27" s="577">
        <v>0</v>
      </c>
      <c r="BJ27" s="669">
        <v>0</v>
      </c>
      <c r="BK27" s="568">
        <v>542</v>
      </c>
    </row>
    <row r="28" spans="1:63" s="76" customFormat="1" ht="14.25" x14ac:dyDescent="0.25">
      <c r="A28" s="572" t="s">
        <v>98</v>
      </c>
      <c r="B28" s="43" t="s">
        <v>78</v>
      </c>
      <c r="C28" s="581" t="s">
        <v>135</v>
      </c>
      <c r="D28" s="583">
        <v>0</v>
      </c>
      <c r="E28" s="577">
        <v>0</v>
      </c>
      <c r="F28" s="577">
        <v>0</v>
      </c>
      <c r="G28" s="577">
        <v>0</v>
      </c>
      <c r="H28" s="578">
        <v>0</v>
      </c>
      <c r="I28" s="566">
        <v>0</v>
      </c>
      <c r="J28" s="577">
        <v>0</v>
      </c>
      <c r="K28" s="577">
        <v>0</v>
      </c>
      <c r="L28" s="577">
        <v>0</v>
      </c>
      <c r="M28" s="577">
        <v>0</v>
      </c>
      <c r="N28" s="578">
        <v>0</v>
      </c>
      <c r="O28" s="566">
        <v>0</v>
      </c>
      <c r="P28" s="577">
        <v>0</v>
      </c>
      <c r="Q28" s="577">
        <v>0</v>
      </c>
      <c r="R28" s="577">
        <v>0</v>
      </c>
      <c r="S28" s="577">
        <v>0</v>
      </c>
      <c r="T28" s="578">
        <v>0</v>
      </c>
      <c r="U28" s="566">
        <v>0</v>
      </c>
      <c r="V28" s="577">
        <v>0</v>
      </c>
      <c r="W28" s="577">
        <v>0</v>
      </c>
      <c r="X28" s="577">
        <v>2</v>
      </c>
      <c r="Y28" s="578">
        <v>50</v>
      </c>
      <c r="Z28" s="566">
        <v>52</v>
      </c>
      <c r="AA28" s="577">
        <v>36</v>
      </c>
      <c r="AB28" s="577">
        <v>48</v>
      </c>
      <c r="AC28" s="577">
        <v>40</v>
      </c>
      <c r="AD28" s="577">
        <v>44</v>
      </c>
      <c r="AE28" s="578">
        <v>24</v>
      </c>
      <c r="AF28" s="566">
        <v>192</v>
      </c>
      <c r="AG28" s="577">
        <v>24</v>
      </c>
      <c r="AH28" s="577">
        <v>60</v>
      </c>
      <c r="AI28" s="577">
        <v>52</v>
      </c>
      <c r="AJ28" s="577">
        <v>10</v>
      </c>
      <c r="AK28" s="578">
        <v>0</v>
      </c>
      <c r="AL28" s="566">
        <v>146</v>
      </c>
      <c r="AM28" s="577">
        <v>0</v>
      </c>
      <c r="AN28" s="577">
        <v>0</v>
      </c>
      <c r="AO28" s="577">
        <v>0</v>
      </c>
      <c r="AP28" s="577">
        <v>0</v>
      </c>
      <c r="AQ28" s="578">
        <v>0</v>
      </c>
      <c r="AR28" s="566">
        <v>0</v>
      </c>
      <c r="AS28" s="577">
        <v>0</v>
      </c>
      <c r="AT28" s="577">
        <v>0</v>
      </c>
      <c r="AU28" s="577">
        <v>0</v>
      </c>
      <c r="AV28" s="577">
        <v>0</v>
      </c>
      <c r="AW28" s="577">
        <v>0</v>
      </c>
      <c r="AX28" s="570">
        <v>0</v>
      </c>
      <c r="AY28" s="577">
        <v>0</v>
      </c>
      <c r="AZ28" s="577">
        <v>0</v>
      </c>
      <c r="BA28" s="577">
        <v>0</v>
      </c>
      <c r="BB28" s="577">
        <v>0</v>
      </c>
      <c r="BC28" s="577">
        <v>0</v>
      </c>
      <c r="BD28" s="570">
        <v>0</v>
      </c>
      <c r="BE28" s="577">
        <v>0</v>
      </c>
      <c r="BF28" s="577">
        <v>0</v>
      </c>
      <c r="BG28" s="577">
        <v>0</v>
      </c>
      <c r="BH28" s="577">
        <v>0</v>
      </c>
      <c r="BI28" s="577">
        <v>0</v>
      </c>
      <c r="BJ28" s="669">
        <v>0</v>
      </c>
      <c r="BK28" s="568">
        <v>390</v>
      </c>
    </row>
    <row r="29" spans="1:63" s="76" customFormat="1" ht="14.25" x14ac:dyDescent="0.25">
      <c r="A29" s="572" t="s">
        <v>85</v>
      </c>
      <c r="B29" s="563" t="s">
        <v>84</v>
      </c>
      <c r="C29" s="581" t="s">
        <v>123</v>
      </c>
      <c r="D29" s="583">
        <v>40</v>
      </c>
      <c r="E29" s="577">
        <v>40</v>
      </c>
      <c r="F29" s="577">
        <v>40</v>
      </c>
      <c r="G29" s="577">
        <v>40</v>
      </c>
      <c r="H29" s="578">
        <v>16</v>
      </c>
      <c r="I29" s="566">
        <v>176</v>
      </c>
      <c r="J29" s="577">
        <v>24</v>
      </c>
      <c r="K29" s="577">
        <v>40</v>
      </c>
      <c r="L29" s="577">
        <v>40</v>
      </c>
      <c r="M29" s="577">
        <v>40</v>
      </c>
      <c r="N29" s="578">
        <v>16</v>
      </c>
      <c r="O29" s="566">
        <v>160</v>
      </c>
      <c r="P29" s="577">
        <v>16</v>
      </c>
      <c r="Q29" s="577">
        <v>0</v>
      </c>
      <c r="R29" s="577">
        <v>0</v>
      </c>
      <c r="S29" s="577">
        <v>0</v>
      </c>
      <c r="T29" s="578">
        <v>0</v>
      </c>
      <c r="U29" s="566">
        <v>16</v>
      </c>
      <c r="V29" s="577">
        <v>42</v>
      </c>
      <c r="W29" s="577">
        <v>24</v>
      </c>
      <c r="X29" s="577">
        <v>41</v>
      </c>
      <c r="Y29" s="578">
        <v>42</v>
      </c>
      <c r="Z29" s="566">
        <v>149</v>
      </c>
      <c r="AA29" s="577">
        <v>33</v>
      </c>
      <c r="AB29" s="577">
        <v>32</v>
      </c>
      <c r="AC29" s="577">
        <v>32</v>
      </c>
      <c r="AD29" s="577">
        <v>40</v>
      </c>
      <c r="AE29" s="578">
        <v>24</v>
      </c>
      <c r="AF29" s="566">
        <v>161</v>
      </c>
      <c r="AG29" s="577">
        <v>16</v>
      </c>
      <c r="AH29" s="577">
        <v>8</v>
      </c>
      <c r="AI29" s="577">
        <v>0</v>
      </c>
      <c r="AJ29" s="577">
        <v>0</v>
      </c>
      <c r="AK29" s="578">
        <v>0</v>
      </c>
      <c r="AL29" s="566">
        <v>24</v>
      </c>
      <c r="AM29" s="577">
        <v>0</v>
      </c>
      <c r="AN29" s="577">
        <v>0</v>
      </c>
      <c r="AO29" s="577">
        <v>0</v>
      </c>
      <c r="AP29" s="577">
        <v>0</v>
      </c>
      <c r="AQ29" s="578">
        <v>0</v>
      </c>
      <c r="AR29" s="566">
        <v>0</v>
      </c>
      <c r="AS29" s="577">
        <v>0</v>
      </c>
      <c r="AT29" s="577">
        <v>0</v>
      </c>
      <c r="AU29" s="577">
        <v>0</v>
      </c>
      <c r="AV29" s="577">
        <v>0</v>
      </c>
      <c r="AW29" s="577">
        <v>0</v>
      </c>
      <c r="AX29" s="570">
        <v>0</v>
      </c>
      <c r="AY29" s="577">
        <v>0</v>
      </c>
      <c r="AZ29" s="577">
        <v>0</v>
      </c>
      <c r="BA29" s="577">
        <v>0</v>
      </c>
      <c r="BB29" s="577">
        <v>0</v>
      </c>
      <c r="BC29" s="577">
        <v>0</v>
      </c>
      <c r="BD29" s="570">
        <v>0</v>
      </c>
      <c r="BE29" s="577">
        <v>0</v>
      </c>
      <c r="BF29" s="577">
        <v>0</v>
      </c>
      <c r="BG29" s="577">
        <v>0</v>
      </c>
      <c r="BH29" s="577">
        <v>0</v>
      </c>
      <c r="BI29" s="577">
        <v>0</v>
      </c>
      <c r="BJ29" s="669">
        <v>0</v>
      </c>
      <c r="BK29" s="568">
        <v>686</v>
      </c>
    </row>
    <row r="30" spans="1:63" s="76" customFormat="1" ht="14.25" x14ac:dyDescent="0.25">
      <c r="A30" s="572" t="s">
        <v>47</v>
      </c>
      <c r="B30" s="563" t="s">
        <v>45</v>
      </c>
      <c r="C30" s="581" t="s">
        <v>120</v>
      </c>
      <c r="D30" s="583">
        <v>40</v>
      </c>
      <c r="E30" s="577">
        <v>40</v>
      </c>
      <c r="F30" s="577">
        <v>0</v>
      </c>
      <c r="G30" s="577">
        <v>0</v>
      </c>
      <c r="H30" s="578">
        <v>0</v>
      </c>
      <c r="I30" s="566">
        <v>80</v>
      </c>
      <c r="J30" s="577">
        <v>0</v>
      </c>
      <c r="K30" s="577">
        <v>0</v>
      </c>
      <c r="L30" s="577">
        <v>0</v>
      </c>
      <c r="M30" s="577">
        <v>0</v>
      </c>
      <c r="N30" s="578">
        <v>0</v>
      </c>
      <c r="O30" s="566">
        <v>0</v>
      </c>
      <c r="P30" s="577">
        <v>0</v>
      </c>
      <c r="Q30" s="577">
        <v>0</v>
      </c>
      <c r="R30" s="577">
        <v>0</v>
      </c>
      <c r="S30" s="577">
        <v>0</v>
      </c>
      <c r="T30" s="578">
        <v>0</v>
      </c>
      <c r="U30" s="566">
        <v>0</v>
      </c>
      <c r="V30" s="577">
        <v>0</v>
      </c>
      <c r="W30" s="577">
        <v>0</v>
      </c>
      <c r="X30" s="577">
        <v>0</v>
      </c>
      <c r="Y30" s="578">
        <v>0</v>
      </c>
      <c r="Z30" s="566">
        <v>0</v>
      </c>
      <c r="AA30" s="577">
        <v>0</v>
      </c>
      <c r="AB30" s="577">
        <v>0</v>
      </c>
      <c r="AC30" s="577">
        <v>0</v>
      </c>
      <c r="AD30" s="577">
        <v>0</v>
      </c>
      <c r="AE30" s="578">
        <v>0</v>
      </c>
      <c r="AF30" s="566">
        <v>0</v>
      </c>
      <c r="AG30" s="577">
        <v>0</v>
      </c>
      <c r="AH30" s="577">
        <v>0</v>
      </c>
      <c r="AI30" s="577">
        <v>0</v>
      </c>
      <c r="AJ30" s="577">
        <v>0</v>
      </c>
      <c r="AK30" s="578">
        <v>0</v>
      </c>
      <c r="AL30" s="566">
        <v>0</v>
      </c>
      <c r="AM30" s="577">
        <v>0</v>
      </c>
      <c r="AN30" s="577">
        <v>0</v>
      </c>
      <c r="AO30" s="577">
        <v>0</v>
      </c>
      <c r="AP30" s="577">
        <v>0</v>
      </c>
      <c r="AQ30" s="578">
        <v>0</v>
      </c>
      <c r="AR30" s="566">
        <v>0</v>
      </c>
      <c r="AS30" s="577">
        <v>0</v>
      </c>
      <c r="AT30" s="577">
        <v>0</v>
      </c>
      <c r="AU30" s="577">
        <v>0</v>
      </c>
      <c r="AV30" s="577">
        <v>0</v>
      </c>
      <c r="AW30" s="577">
        <v>0</v>
      </c>
      <c r="AX30" s="570">
        <v>0</v>
      </c>
      <c r="AY30" s="577">
        <v>0</v>
      </c>
      <c r="AZ30" s="577">
        <v>0</v>
      </c>
      <c r="BA30" s="577">
        <v>0</v>
      </c>
      <c r="BB30" s="577">
        <v>0</v>
      </c>
      <c r="BC30" s="577">
        <v>0</v>
      </c>
      <c r="BD30" s="570">
        <v>0</v>
      </c>
      <c r="BE30" s="577">
        <v>0</v>
      </c>
      <c r="BF30" s="577">
        <v>0</v>
      </c>
      <c r="BG30" s="577">
        <v>0</v>
      </c>
      <c r="BH30" s="577">
        <v>0</v>
      </c>
      <c r="BI30" s="577">
        <v>0</v>
      </c>
      <c r="BJ30" s="669">
        <v>0</v>
      </c>
      <c r="BK30" s="568">
        <v>80</v>
      </c>
    </row>
    <row r="31" spans="1:63" s="76" customFormat="1" ht="14.25" x14ac:dyDescent="0.25">
      <c r="A31" s="572" t="s">
        <v>88</v>
      </c>
      <c r="B31" s="43" t="s">
        <v>45</v>
      </c>
      <c r="C31" s="581" t="s">
        <v>121</v>
      </c>
      <c r="D31" s="583">
        <v>0</v>
      </c>
      <c r="E31" s="577">
        <v>0</v>
      </c>
      <c r="F31" s="577">
        <v>0</v>
      </c>
      <c r="G31" s="577">
        <v>0</v>
      </c>
      <c r="H31" s="578">
        <v>0</v>
      </c>
      <c r="I31" s="566">
        <v>0</v>
      </c>
      <c r="J31" s="577">
        <v>0</v>
      </c>
      <c r="K31" s="577">
        <v>0</v>
      </c>
      <c r="L31" s="577">
        <v>0</v>
      </c>
      <c r="M31" s="577">
        <v>0</v>
      </c>
      <c r="N31" s="578">
        <v>0</v>
      </c>
      <c r="O31" s="566">
        <v>0</v>
      </c>
      <c r="P31" s="577">
        <v>0</v>
      </c>
      <c r="Q31" s="577">
        <v>0</v>
      </c>
      <c r="R31" s="577">
        <v>0</v>
      </c>
      <c r="S31" s="577">
        <v>0</v>
      </c>
      <c r="T31" s="578">
        <v>0</v>
      </c>
      <c r="U31" s="566">
        <v>0</v>
      </c>
      <c r="V31" s="577">
        <v>40</v>
      </c>
      <c r="W31" s="577">
        <v>0</v>
      </c>
      <c r="X31" s="577">
        <v>40</v>
      </c>
      <c r="Y31" s="578">
        <v>40</v>
      </c>
      <c r="Z31" s="566">
        <v>120</v>
      </c>
      <c r="AA31" s="577">
        <v>32</v>
      </c>
      <c r="AB31" s="577">
        <v>40</v>
      </c>
      <c r="AC31" s="577">
        <v>8</v>
      </c>
      <c r="AD31" s="577">
        <v>36</v>
      </c>
      <c r="AE31" s="578">
        <v>16</v>
      </c>
      <c r="AF31" s="566">
        <v>132</v>
      </c>
      <c r="AG31" s="577">
        <v>16</v>
      </c>
      <c r="AH31" s="577">
        <v>32</v>
      </c>
      <c r="AI31" s="577">
        <v>40</v>
      </c>
      <c r="AJ31" s="577">
        <v>24</v>
      </c>
      <c r="AK31" s="578">
        <v>0</v>
      </c>
      <c r="AL31" s="566">
        <v>112</v>
      </c>
      <c r="AM31" s="577">
        <v>0</v>
      </c>
      <c r="AN31" s="577">
        <v>0</v>
      </c>
      <c r="AO31" s="577">
        <v>0</v>
      </c>
      <c r="AP31" s="577">
        <v>0</v>
      </c>
      <c r="AQ31" s="578">
        <v>0</v>
      </c>
      <c r="AR31" s="566">
        <v>0</v>
      </c>
      <c r="AS31" s="577">
        <v>0</v>
      </c>
      <c r="AT31" s="577">
        <v>0</v>
      </c>
      <c r="AU31" s="577">
        <v>0</v>
      </c>
      <c r="AV31" s="577">
        <v>0</v>
      </c>
      <c r="AW31" s="577">
        <v>0</v>
      </c>
      <c r="AX31" s="570">
        <v>0</v>
      </c>
      <c r="AY31" s="577">
        <v>0</v>
      </c>
      <c r="AZ31" s="577">
        <v>0</v>
      </c>
      <c r="BA31" s="577">
        <v>0</v>
      </c>
      <c r="BB31" s="577">
        <v>0</v>
      </c>
      <c r="BC31" s="577">
        <v>0</v>
      </c>
      <c r="BD31" s="570">
        <v>0</v>
      </c>
      <c r="BE31" s="577">
        <v>0</v>
      </c>
      <c r="BF31" s="577">
        <v>0</v>
      </c>
      <c r="BG31" s="577">
        <v>0</v>
      </c>
      <c r="BH31" s="577">
        <v>0</v>
      </c>
      <c r="BI31" s="577">
        <v>0</v>
      </c>
      <c r="BJ31" s="669">
        <v>0</v>
      </c>
      <c r="BK31" s="568">
        <v>364</v>
      </c>
    </row>
    <row r="32" spans="1:63" s="76" customFormat="1" ht="14.25" x14ac:dyDescent="0.25">
      <c r="A32" s="572" t="s">
        <v>51</v>
      </c>
      <c r="B32" s="43" t="s">
        <v>45</v>
      </c>
      <c r="C32" s="581" t="s">
        <v>122</v>
      </c>
      <c r="D32" s="583">
        <v>0</v>
      </c>
      <c r="E32" s="577">
        <v>0</v>
      </c>
      <c r="F32" s="577">
        <v>0</v>
      </c>
      <c r="G32" s="577">
        <v>0</v>
      </c>
      <c r="H32" s="578">
        <v>0</v>
      </c>
      <c r="I32" s="566">
        <v>0</v>
      </c>
      <c r="J32" s="577">
        <v>0</v>
      </c>
      <c r="K32" s="577">
        <v>0</v>
      </c>
      <c r="L32" s="577">
        <v>0</v>
      </c>
      <c r="M32" s="577">
        <v>0</v>
      </c>
      <c r="N32" s="578">
        <v>0</v>
      </c>
      <c r="O32" s="566">
        <v>0</v>
      </c>
      <c r="P32" s="577">
        <v>0</v>
      </c>
      <c r="Q32" s="577">
        <v>0</v>
      </c>
      <c r="R32" s="577">
        <v>0</v>
      </c>
      <c r="S32" s="577">
        <v>0</v>
      </c>
      <c r="T32" s="578">
        <v>0</v>
      </c>
      <c r="U32" s="566">
        <v>0</v>
      </c>
      <c r="V32" s="577">
        <v>0</v>
      </c>
      <c r="W32" s="577">
        <v>11</v>
      </c>
      <c r="X32" s="577">
        <v>0</v>
      </c>
      <c r="Y32" s="578">
        <v>32</v>
      </c>
      <c r="Z32" s="566">
        <v>43</v>
      </c>
      <c r="AA32" s="577">
        <v>120</v>
      </c>
      <c r="AB32" s="577">
        <v>160</v>
      </c>
      <c r="AC32" s="577">
        <v>172</v>
      </c>
      <c r="AD32" s="577">
        <v>160</v>
      </c>
      <c r="AE32" s="578">
        <v>96</v>
      </c>
      <c r="AF32" s="566">
        <v>708</v>
      </c>
      <c r="AG32" s="577">
        <v>61</v>
      </c>
      <c r="AH32" s="577">
        <v>192</v>
      </c>
      <c r="AI32" s="577">
        <v>256</v>
      </c>
      <c r="AJ32" s="577">
        <v>152</v>
      </c>
      <c r="AK32" s="578">
        <v>131</v>
      </c>
      <c r="AL32" s="566">
        <v>792</v>
      </c>
      <c r="AM32" s="577">
        <v>24</v>
      </c>
      <c r="AN32" s="577">
        <v>0</v>
      </c>
      <c r="AO32" s="577">
        <v>0</v>
      </c>
      <c r="AP32" s="577">
        <v>16</v>
      </c>
      <c r="AQ32" s="578">
        <v>8</v>
      </c>
      <c r="AR32" s="566">
        <v>48</v>
      </c>
      <c r="AS32" s="577">
        <v>32</v>
      </c>
      <c r="AT32" s="577">
        <v>40</v>
      </c>
      <c r="AU32" s="577">
        <v>0</v>
      </c>
      <c r="AV32" s="577">
        <v>16</v>
      </c>
      <c r="AW32" s="577">
        <v>8</v>
      </c>
      <c r="AX32" s="570">
        <v>96</v>
      </c>
      <c r="AY32" s="577">
        <v>8</v>
      </c>
      <c r="AZ32" s="577">
        <v>0</v>
      </c>
      <c r="BA32" s="577">
        <v>0</v>
      </c>
      <c r="BB32" s="577">
        <v>0</v>
      </c>
      <c r="BC32" s="577">
        <v>0</v>
      </c>
      <c r="BD32" s="570">
        <v>8</v>
      </c>
      <c r="BE32" s="577">
        <v>0</v>
      </c>
      <c r="BF32" s="577">
        <v>0</v>
      </c>
      <c r="BG32" s="577">
        <v>0</v>
      </c>
      <c r="BH32" s="577">
        <v>0</v>
      </c>
      <c r="BI32" s="577">
        <v>0</v>
      </c>
      <c r="BJ32" s="669">
        <v>0</v>
      </c>
      <c r="BK32" s="568">
        <v>1695</v>
      </c>
    </row>
    <row r="33" spans="1:63" s="76" customFormat="1" ht="14.25" x14ac:dyDescent="0.25">
      <c r="A33" s="572" t="s">
        <v>104</v>
      </c>
      <c r="B33" s="563" t="s">
        <v>103</v>
      </c>
      <c r="C33" s="581" t="s">
        <v>166</v>
      </c>
      <c r="D33" s="583">
        <v>0</v>
      </c>
      <c r="E33" s="577">
        <v>0</v>
      </c>
      <c r="F33" s="577">
        <v>0</v>
      </c>
      <c r="G33" s="577">
        <v>0</v>
      </c>
      <c r="H33" s="578">
        <v>0</v>
      </c>
      <c r="I33" s="566">
        <v>0</v>
      </c>
      <c r="J33" s="577">
        <v>0</v>
      </c>
      <c r="K33" s="577">
        <v>0</v>
      </c>
      <c r="L33" s="577">
        <v>0</v>
      </c>
      <c r="M33" s="577">
        <v>0</v>
      </c>
      <c r="N33" s="578">
        <v>0</v>
      </c>
      <c r="O33" s="566">
        <v>0</v>
      </c>
      <c r="P33" s="577">
        <v>0</v>
      </c>
      <c r="Q33" s="577">
        <v>0</v>
      </c>
      <c r="R33" s="577">
        <v>0</v>
      </c>
      <c r="S33" s="577">
        <v>0</v>
      </c>
      <c r="T33" s="578">
        <v>0</v>
      </c>
      <c r="U33" s="566">
        <v>0</v>
      </c>
      <c r="V33" s="577">
        <v>0</v>
      </c>
      <c r="W33" s="577">
        <v>0</v>
      </c>
      <c r="X33" s="577">
        <v>0</v>
      </c>
      <c r="Y33" s="578">
        <v>0</v>
      </c>
      <c r="Z33" s="566">
        <v>0</v>
      </c>
      <c r="AA33" s="577">
        <v>0</v>
      </c>
      <c r="AB33" s="577">
        <v>40</v>
      </c>
      <c r="AC33" s="577">
        <v>40</v>
      </c>
      <c r="AD33" s="577">
        <v>40</v>
      </c>
      <c r="AE33" s="578">
        <v>24</v>
      </c>
      <c r="AF33" s="566">
        <v>144</v>
      </c>
      <c r="AG33" s="577">
        <v>16</v>
      </c>
      <c r="AH33" s="577">
        <v>40</v>
      </c>
      <c r="AI33" s="577">
        <v>16</v>
      </c>
      <c r="AJ33" s="577">
        <v>0</v>
      </c>
      <c r="AK33" s="578">
        <v>0</v>
      </c>
      <c r="AL33" s="566">
        <v>72</v>
      </c>
      <c r="AM33" s="577">
        <v>0</v>
      </c>
      <c r="AN33" s="577">
        <v>0</v>
      </c>
      <c r="AO33" s="577">
        <v>0</v>
      </c>
      <c r="AP33" s="577">
        <v>0</v>
      </c>
      <c r="AQ33" s="578">
        <v>0</v>
      </c>
      <c r="AR33" s="566">
        <v>0</v>
      </c>
      <c r="AS33" s="577">
        <v>0</v>
      </c>
      <c r="AT33" s="577">
        <v>0</v>
      </c>
      <c r="AU33" s="577">
        <v>0</v>
      </c>
      <c r="AV33" s="577">
        <v>0</v>
      </c>
      <c r="AW33" s="577">
        <v>0</v>
      </c>
      <c r="AX33" s="570">
        <v>0</v>
      </c>
      <c r="AY33" s="577">
        <v>0</v>
      </c>
      <c r="AZ33" s="577">
        <v>0</v>
      </c>
      <c r="BA33" s="577">
        <v>0</v>
      </c>
      <c r="BB33" s="577">
        <v>0</v>
      </c>
      <c r="BC33" s="577">
        <v>0</v>
      </c>
      <c r="BD33" s="570">
        <v>0</v>
      </c>
      <c r="BE33" s="577">
        <v>0</v>
      </c>
      <c r="BF33" s="577">
        <v>0</v>
      </c>
      <c r="BG33" s="577">
        <v>0</v>
      </c>
      <c r="BH33" s="577">
        <v>0</v>
      </c>
      <c r="BI33" s="577">
        <v>0</v>
      </c>
      <c r="BJ33" s="669">
        <v>0</v>
      </c>
      <c r="BK33" s="568">
        <v>216</v>
      </c>
    </row>
    <row r="34" spans="1:63" s="76" customFormat="1" ht="14.25" x14ac:dyDescent="0.25">
      <c r="A34" s="572" t="s">
        <v>75</v>
      </c>
      <c r="B34" s="563" t="s">
        <v>75</v>
      </c>
      <c r="C34" s="581" t="s">
        <v>131</v>
      </c>
      <c r="D34" s="583">
        <v>74</v>
      </c>
      <c r="E34" s="577">
        <v>82</v>
      </c>
      <c r="F34" s="577">
        <v>56</v>
      </c>
      <c r="G34" s="577">
        <v>64</v>
      </c>
      <c r="H34" s="578">
        <v>34.5</v>
      </c>
      <c r="I34" s="566">
        <v>310.5</v>
      </c>
      <c r="J34" s="577">
        <v>65</v>
      </c>
      <c r="K34" s="577">
        <v>105</v>
      </c>
      <c r="L34" s="577">
        <v>103</v>
      </c>
      <c r="M34" s="577">
        <v>112</v>
      </c>
      <c r="N34" s="578">
        <v>45</v>
      </c>
      <c r="O34" s="566">
        <v>430</v>
      </c>
      <c r="P34" s="577">
        <v>109.5</v>
      </c>
      <c r="Q34" s="577">
        <v>157</v>
      </c>
      <c r="R34" s="577">
        <v>141</v>
      </c>
      <c r="S34" s="577">
        <v>153</v>
      </c>
      <c r="T34" s="578">
        <v>155</v>
      </c>
      <c r="U34" s="566">
        <v>715.5</v>
      </c>
      <c r="V34" s="577">
        <v>136</v>
      </c>
      <c r="W34" s="577">
        <v>89</v>
      </c>
      <c r="X34" s="577">
        <v>207</v>
      </c>
      <c r="Y34" s="578">
        <v>153</v>
      </c>
      <c r="Z34" s="566">
        <v>585</v>
      </c>
      <c r="AA34" s="577">
        <v>16</v>
      </c>
      <c r="AB34" s="577">
        <v>0</v>
      </c>
      <c r="AC34" s="577">
        <v>48</v>
      </c>
      <c r="AD34" s="577">
        <v>44</v>
      </c>
      <c r="AE34" s="578">
        <v>20</v>
      </c>
      <c r="AF34" s="566">
        <v>128</v>
      </c>
      <c r="AG34" s="577">
        <v>8</v>
      </c>
      <c r="AH34" s="577">
        <v>24</v>
      </c>
      <c r="AI34" s="577">
        <v>48</v>
      </c>
      <c r="AJ34" s="577">
        <v>56</v>
      </c>
      <c r="AK34" s="578">
        <v>0</v>
      </c>
      <c r="AL34" s="566">
        <v>136</v>
      </c>
      <c r="AM34" s="577">
        <v>45</v>
      </c>
      <c r="AN34" s="577">
        <v>46</v>
      </c>
      <c r="AO34" s="577">
        <v>119</v>
      </c>
      <c r="AP34" s="577">
        <v>28</v>
      </c>
      <c r="AQ34" s="578">
        <v>9</v>
      </c>
      <c r="AR34" s="566">
        <v>247</v>
      </c>
      <c r="AS34" s="577">
        <v>19</v>
      </c>
      <c r="AT34" s="577">
        <v>2</v>
      </c>
      <c r="AU34" s="577">
        <v>64</v>
      </c>
      <c r="AV34" s="577">
        <v>48</v>
      </c>
      <c r="AW34" s="577">
        <v>48</v>
      </c>
      <c r="AX34" s="570">
        <v>181</v>
      </c>
      <c r="AY34" s="577">
        <v>4</v>
      </c>
      <c r="AZ34" s="577">
        <v>49</v>
      </c>
      <c r="BA34" s="577">
        <v>2</v>
      </c>
      <c r="BB34" s="577">
        <v>0</v>
      </c>
      <c r="BC34" s="577">
        <v>2</v>
      </c>
      <c r="BD34" s="570">
        <v>57</v>
      </c>
      <c r="BE34" s="577">
        <v>0</v>
      </c>
      <c r="BF34" s="577">
        <v>0</v>
      </c>
      <c r="BG34" s="577">
        <v>0</v>
      </c>
      <c r="BH34" s="577">
        <v>0</v>
      </c>
      <c r="BI34" s="577">
        <v>0</v>
      </c>
      <c r="BJ34" s="669">
        <v>0</v>
      </c>
      <c r="BK34" s="568">
        <v>2790</v>
      </c>
    </row>
    <row r="35" spans="1:63" s="76" customFormat="1" ht="14.25" x14ac:dyDescent="0.25">
      <c r="A35" s="572" t="s">
        <v>46</v>
      </c>
      <c r="B35" s="563" t="s">
        <v>46</v>
      </c>
      <c r="C35" s="581" t="s">
        <v>132</v>
      </c>
      <c r="D35" s="583">
        <v>6</v>
      </c>
      <c r="E35" s="577">
        <v>6</v>
      </c>
      <c r="F35" s="577">
        <v>6</v>
      </c>
      <c r="G35" s="577">
        <v>26</v>
      </c>
      <c r="H35" s="578">
        <v>6.5</v>
      </c>
      <c r="I35" s="566">
        <v>50.5</v>
      </c>
      <c r="J35" s="577">
        <v>6</v>
      </c>
      <c r="K35" s="577">
        <v>4</v>
      </c>
      <c r="L35" s="577">
        <v>2</v>
      </c>
      <c r="M35" s="577">
        <v>3</v>
      </c>
      <c r="N35" s="578">
        <v>13</v>
      </c>
      <c r="O35" s="566">
        <v>28</v>
      </c>
      <c r="P35" s="577">
        <v>11</v>
      </c>
      <c r="Q35" s="577">
        <v>18</v>
      </c>
      <c r="R35" s="577">
        <v>0</v>
      </c>
      <c r="S35" s="577">
        <v>0</v>
      </c>
      <c r="T35" s="578">
        <v>0</v>
      </c>
      <c r="U35" s="566">
        <v>29</v>
      </c>
      <c r="V35" s="577">
        <v>16</v>
      </c>
      <c r="W35" s="577">
        <v>11</v>
      </c>
      <c r="X35" s="577">
        <v>10</v>
      </c>
      <c r="Y35" s="578">
        <v>26</v>
      </c>
      <c r="Z35" s="566">
        <v>63</v>
      </c>
      <c r="AA35" s="577">
        <v>61</v>
      </c>
      <c r="AB35" s="577">
        <v>66</v>
      </c>
      <c r="AC35" s="577">
        <v>40</v>
      </c>
      <c r="AD35" s="577">
        <v>44</v>
      </c>
      <c r="AE35" s="578">
        <v>28</v>
      </c>
      <c r="AF35" s="566">
        <v>239</v>
      </c>
      <c r="AG35" s="577">
        <v>32</v>
      </c>
      <c r="AH35" s="577">
        <v>80</v>
      </c>
      <c r="AI35" s="577">
        <v>33</v>
      </c>
      <c r="AJ35" s="577">
        <v>52</v>
      </c>
      <c r="AK35" s="578">
        <v>12</v>
      </c>
      <c r="AL35" s="566">
        <v>209</v>
      </c>
      <c r="AM35" s="577">
        <v>16</v>
      </c>
      <c r="AN35" s="577">
        <v>24</v>
      </c>
      <c r="AO35" s="577">
        <v>48</v>
      </c>
      <c r="AP35" s="577">
        <v>12</v>
      </c>
      <c r="AQ35" s="578">
        <v>0</v>
      </c>
      <c r="AR35" s="566">
        <v>100</v>
      </c>
      <c r="AS35" s="577">
        <v>15</v>
      </c>
      <c r="AT35" s="577">
        <v>25</v>
      </c>
      <c r="AU35" s="577">
        <v>48</v>
      </c>
      <c r="AV35" s="577">
        <v>32</v>
      </c>
      <c r="AW35" s="577">
        <v>20</v>
      </c>
      <c r="AX35" s="570">
        <v>140</v>
      </c>
      <c r="AY35" s="577">
        <v>2</v>
      </c>
      <c r="AZ35" s="577">
        <v>39</v>
      </c>
      <c r="BA35" s="577">
        <v>57</v>
      </c>
      <c r="BB35" s="577">
        <v>55</v>
      </c>
      <c r="BC35" s="577">
        <v>27</v>
      </c>
      <c r="BD35" s="570">
        <v>180</v>
      </c>
      <c r="BE35" s="577">
        <v>24</v>
      </c>
      <c r="BF35" s="577">
        <v>0</v>
      </c>
      <c r="BG35" s="577">
        <v>0</v>
      </c>
      <c r="BH35" s="577">
        <v>0</v>
      </c>
      <c r="BI35" s="577">
        <v>0</v>
      </c>
      <c r="BJ35" s="669">
        <v>24</v>
      </c>
      <c r="BK35" s="568">
        <v>1062.5</v>
      </c>
    </row>
    <row r="36" spans="1:63" s="76" customFormat="1" ht="14.25" x14ac:dyDescent="0.25">
      <c r="A36" s="572" t="s">
        <v>196</v>
      </c>
      <c r="B36" s="563" t="s">
        <v>50</v>
      </c>
      <c r="C36" s="581" t="s">
        <v>127</v>
      </c>
      <c r="D36" s="583">
        <v>68</v>
      </c>
      <c r="E36" s="577">
        <v>68</v>
      </c>
      <c r="F36" s="577">
        <v>108</v>
      </c>
      <c r="G36" s="577">
        <v>108</v>
      </c>
      <c r="H36" s="578">
        <v>43</v>
      </c>
      <c r="I36" s="566">
        <v>395</v>
      </c>
      <c r="J36" s="577">
        <v>61</v>
      </c>
      <c r="K36" s="577">
        <v>103</v>
      </c>
      <c r="L36" s="577">
        <v>105</v>
      </c>
      <c r="M36" s="577">
        <v>105</v>
      </c>
      <c r="N36" s="578">
        <v>42</v>
      </c>
      <c r="O36" s="566">
        <v>416</v>
      </c>
      <c r="P36" s="577">
        <v>8.5</v>
      </c>
      <c r="Q36" s="577">
        <v>25</v>
      </c>
      <c r="R36" s="577">
        <v>21</v>
      </c>
      <c r="S36" s="577">
        <v>21</v>
      </c>
      <c r="T36" s="578">
        <v>21</v>
      </c>
      <c r="U36" s="566">
        <v>96.5</v>
      </c>
      <c r="V36" s="577">
        <v>0</v>
      </c>
      <c r="W36" s="577">
        <v>0</v>
      </c>
      <c r="X36" s="577">
        <v>0</v>
      </c>
      <c r="Y36" s="578">
        <v>40</v>
      </c>
      <c r="Z36" s="566">
        <v>40</v>
      </c>
      <c r="AA36" s="577">
        <v>24</v>
      </c>
      <c r="AB36" s="577">
        <v>40</v>
      </c>
      <c r="AC36" s="577">
        <v>40</v>
      </c>
      <c r="AD36" s="577">
        <v>40</v>
      </c>
      <c r="AE36" s="578">
        <v>24</v>
      </c>
      <c r="AF36" s="566">
        <v>168</v>
      </c>
      <c r="AG36" s="577">
        <v>0</v>
      </c>
      <c r="AH36" s="577">
        <v>16</v>
      </c>
      <c r="AI36" s="577">
        <v>40</v>
      </c>
      <c r="AJ36" s="577">
        <v>40</v>
      </c>
      <c r="AK36" s="578">
        <v>0</v>
      </c>
      <c r="AL36" s="566">
        <v>96</v>
      </c>
      <c r="AM36" s="577">
        <v>56</v>
      </c>
      <c r="AN36" s="577">
        <v>56</v>
      </c>
      <c r="AO36" s="577">
        <v>16</v>
      </c>
      <c r="AP36" s="577">
        <v>52</v>
      </c>
      <c r="AQ36" s="578">
        <v>16</v>
      </c>
      <c r="AR36" s="566">
        <v>196</v>
      </c>
      <c r="AS36" s="577">
        <v>0</v>
      </c>
      <c r="AT36" s="577">
        <v>0</v>
      </c>
      <c r="AU36" s="577">
        <v>0</v>
      </c>
      <c r="AV36" s="577">
        <v>0</v>
      </c>
      <c r="AW36" s="577">
        <v>0</v>
      </c>
      <c r="AX36" s="570">
        <v>0</v>
      </c>
      <c r="AY36" s="577">
        <v>0</v>
      </c>
      <c r="AZ36" s="577">
        <v>0</v>
      </c>
      <c r="BA36" s="577">
        <v>0</v>
      </c>
      <c r="BB36" s="577">
        <v>0</v>
      </c>
      <c r="BC36" s="577">
        <v>0</v>
      </c>
      <c r="BD36" s="570">
        <v>0</v>
      </c>
      <c r="BE36" s="577">
        <v>0</v>
      </c>
      <c r="BF36" s="577">
        <v>0</v>
      </c>
      <c r="BG36" s="577">
        <v>0</v>
      </c>
      <c r="BH36" s="577">
        <v>0</v>
      </c>
      <c r="BI36" s="577">
        <v>0</v>
      </c>
      <c r="BJ36" s="669">
        <v>0</v>
      </c>
      <c r="BK36" s="568">
        <v>1407.5</v>
      </c>
    </row>
    <row r="37" spans="1:63" s="76" customFormat="1" ht="14.25" x14ac:dyDescent="0.25">
      <c r="A37" s="572" t="s">
        <v>198</v>
      </c>
      <c r="B37" s="563" t="s">
        <v>103</v>
      </c>
      <c r="C37" s="581" t="s">
        <v>199</v>
      </c>
      <c r="D37" s="583">
        <v>0</v>
      </c>
      <c r="E37" s="577">
        <v>0</v>
      </c>
      <c r="F37" s="577">
        <v>0</v>
      </c>
      <c r="G37" s="577">
        <v>0</v>
      </c>
      <c r="H37" s="578">
        <v>0</v>
      </c>
      <c r="I37" s="566">
        <v>0</v>
      </c>
      <c r="J37" s="577">
        <v>0</v>
      </c>
      <c r="K37" s="577">
        <v>0</v>
      </c>
      <c r="L37" s="577">
        <v>0</v>
      </c>
      <c r="M37" s="577">
        <v>0</v>
      </c>
      <c r="N37" s="578">
        <v>0</v>
      </c>
      <c r="O37" s="566">
        <v>0</v>
      </c>
      <c r="P37" s="577">
        <v>0</v>
      </c>
      <c r="Q37" s="577">
        <v>0</v>
      </c>
      <c r="R37" s="577">
        <v>0</v>
      </c>
      <c r="S37" s="577">
        <v>0</v>
      </c>
      <c r="T37" s="578">
        <v>0</v>
      </c>
      <c r="U37" s="566">
        <v>0</v>
      </c>
      <c r="V37" s="577">
        <v>0</v>
      </c>
      <c r="W37" s="577">
        <v>0</v>
      </c>
      <c r="X37" s="577">
        <v>0</v>
      </c>
      <c r="Y37" s="578">
        <v>0</v>
      </c>
      <c r="Z37" s="566">
        <v>0</v>
      </c>
      <c r="AA37" s="577">
        <v>0</v>
      </c>
      <c r="AB37" s="577">
        <v>0</v>
      </c>
      <c r="AC37" s="577">
        <v>0</v>
      </c>
      <c r="AD37" s="577">
        <v>0</v>
      </c>
      <c r="AE37" s="578">
        <v>0</v>
      </c>
      <c r="AF37" s="566">
        <v>0</v>
      </c>
      <c r="AG37" s="577">
        <v>0</v>
      </c>
      <c r="AH37" s="577">
        <v>0</v>
      </c>
      <c r="AI37" s="577">
        <v>40</v>
      </c>
      <c r="AJ37" s="577">
        <v>40</v>
      </c>
      <c r="AK37" s="578">
        <v>32</v>
      </c>
      <c r="AL37" s="566">
        <v>112</v>
      </c>
      <c r="AM37" s="577">
        <v>40</v>
      </c>
      <c r="AN37" s="577">
        <v>40</v>
      </c>
      <c r="AO37" s="577">
        <v>40</v>
      </c>
      <c r="AP37" s="577">
        <v>32</v>
      </c>
      <c r="AQ37" s="578">
        <v>8</v>
      </c>
      <c r="AR37" s="566">
        <v>160</v>
      </c>
      <c r="AS37" s="577">
        <v>38</v>
      </c>
      <c r="AT37" s="577">
        <v>29</v>
      </c>
      <c r="AU37" s="577">
        <v>41</v>
      </c>
      <c r="AV37" s="577">
        <v>5</v>
      </c>
      <c r="AW37" s="577">
        <v>0</v>
      </c>
      <c r="AX37" s="570">
        <v>113</v>
      </c>
      <c r="AY37" s="577">
        <v>0</v>
      </c>
      <c r="AZ37" s="577">
        <v>0</v>
      </c>
      <c r="BA37" s="577">
        <v>0</v>
      </c>
      <c r="BB37" s="577">
        <v>0</v>
      </c>
      <c r="BC37" s="577">
        <v>0</v>
      </c>
      <c r="BD37" s="570">
        <v>0</v>
      </c>
      <c r="BE37" s="577">
        <v>0</v>
      </c>
      <c r="BF37" s="577">
        <v>0</v>
      </c>
      <c r="BG37" s="577">
        <v>0</v>
      </c>
      <c r="BH37" s="577">
        <v>0</v>
      </c>
      <c r="BI37" s="577">
        <v>0</v>
      </c>
      <c r="BJ37" s="669">
        <v>0</v>
      </c>
      <c r="BK37" s="568">
        <v>385</v>
      </c>
    </row>
    <row r="38" spans="1:63" s="76" customFormat="1" ht="14.25" x14ac:dyDescent="0.25">
      <c r="A38" s="572" t="s">
        <v>203</v>
      </c>
      <c r="B38" s="563" t="s">
        <v>96</v>
      </c>
      <c r="C38" s="581" t="s">
        <v>156</v>
      </c>
      <c r="D38" s="583">
        <v>0</v>
      </c>
      <c r="E38" s="577">
        <v>0</v>
      </c>
      <c r="F38" s="577">
        <v>0</v>
      </c>
      <c r="G38" s="577">
        <v>0</v>
      </c>
      <c r="H38" s="578">
        <v>0</v>
      </c>
      <c r="I38" s="566">
        <v>0</v>
      </c>
      <c r="J38" s="577">
        <v>0</v>
      </c>
      <c r="K38" s="577">
        <v>0</v>
      </c>
      <c r="L38" s="577">
        <v>0</v>
      </c>
      <c r="M38" s="577">
        <v>0</v>
      </c>
      <c r="N38" s="578">
        <v>0</v>
      </c>
      <c r="O38" s="566">
        <v>0</v>
      </c>
      <c r="P38" s="577">
        <v>48</v>
      </c>
      <c r="Q38" s="577">
        <v>72</v>
      </c>
      <c r="R38" s="577">
        <v>72</v>
      </c>
      <c r="S38" s="577">
        <v>80</v>
      </c>
      <c r="T38" s="578">
        <v>80</v>
      </c>
      <c r="U38" s="566">
        <v>352</v>
      </c>
      <c r="V38" s="577">
        <v>72</v>
      </c>
      <c r="W38" s="577">
        <v>40</v>
      </c>
      <c r="X38" s="577">
        <v>60</v>
      </c>
      <c r="Y38" s="578">
        <v>44</v>
      </c>
      <c r="Z38" s="566">
        <v>216</v>
      </c>
      <c r="AA38" s="577">
        <v>7</v>
      </c>
      <c r="AB38" s="577">
        <v>62</v>
      </c>
      <c r="AC38" s="577">
        <v>80</v>
      </c>
      <c r="AD38" s="577">
        <v>68</v>
      </c>
      <c r="AE38" s="578">
        <v>48</v>
      </c>
      <c r="AF38" s="566">
        <v>265</v>
      </c>
      <c r="AG38" s="577">
        <v>24</v>
      </c>
      <c r="AH38" s="577">
        <v>60</v>
      </c>
      <c r="AI38" s="577">
        <v>32</v>
      </c>
      <c r="AJ38" s="577">
        <v>36</v>
      </c>
      <c r="AK38" s="578">
        <v>0</v>
      </c>
      <c r="AL38" s="566">
        <v>152</v>
      </c>
      <c r="AM38" s="577">
        <v>0</v>
      </c>
      <c r="AN38" s="577">
        <v>32</v>
      </c>
      <c r="AO38" s="577">
        <v>0</v>
      </c>
      <c r="AP38" s="577">
        <v>0</v>
      </c>
      <c r="AQ38" s="578">
        <v>0</v>
      </c>
      <c r="AR38" s="566">
        <v>32</v>
      </c>
      <c r="AS38" s="577">
        <v>0</v>
      </c>
      <c r="AT38" s="577">
        <v>0</v>
      </c>
      <c r="AU38" s="577">
        <v>0</v>
      </c>
      <c r="AV38" s="577">
        <v>0</v>
      </c>
      <c r="AW38" s="577">
        <v>0</v>
      </c>
      <c r="AX38" s="570">
        <v>0</v>
      </c>
      <c r="AY38" s="577">
        <v>0</v>
      </c>
      <c r="AZ38" s="577">
        <v>0</v>
      </c>
      <c r="BA38" s="577">
        <v>0</v>
      </c>
      <c r="BB38" s="577">
        <v>0</v>
      </c>
      <c r="BC38" s="577">
        <v>0</v>
      </c>
      <c r="BD38" s="570">
        <v>0</v>
      </c>
      <c r="BE38" s="577">
        <v>0</v>
      </c>
      <c r="BF38" s="577">
        <v>0</v>
      </c>
      <c r="BG38" s="577">
        <v>0</v>
      </c>
      <c r="BH38" s="577">
        <v>0</v>
      </c>
      <c r="BI38" s="577">
        <v>0</v>
      </c>
      <c r="BJ38" s="669">
        <v>0</v>
      </c>
      <c r="BK38" s="568">
        <v>1017</v>
      </c>
    </row>
    <row r="39" spans="1:63" s="76" customFormat="1" ht="14.25" x14ac:dyDescent="0.25">
      <c r="A39" s="572" t="s">
        <v>204</v>
      </c>
      <c r="B39" s="43" t="s">
        <v>48</v>
      </c>
      <c r="C39" s="43" t="s">
        <v>435</v>
      </c>
      <c r="D39" s="583">
        <v>0</v>
      </c>
      <c r="E39" s="577">
        <v>0</v>
      </c>
      <c r="F39" s="577">
        <v>0</v>
      </c>
      <c r="G39" s="577">
        <v>0</v>
      </c>
      <c r="H39" s="578">
        <v>0</v>
      </c>
      <c r="I39" s="566">
        <v>0</v>
      </c>
      <c r="J39" s="577">
        <v>0</v>
      </c>
      <c r="K39" s="577">
        <v>0</v>
      </c>
      <c r="L39" s="577">
        <v>0</v>
      </c>
      <c r="M39" s="577">
        <v>0</v>
      </c>
      <c r="N39" s="578">
        <v>0</v>
      </c>
      <c r="O39" s="566">
        <v>0</v>
      </c>
      <c r="P39" s="577">
        <v>0</v>
      </c>
      <c r="Q39" s="577">
        <v>0</v>
      </c>
      <c r="R39" s="577">
        <v>24</v>
      </c>
      <c r="S39" s="577">
        <v>0</v>
      </c>
      <c r="T39" s="578">
        <v>0</v>
      </c>
      <c r="U39" s="566">
        <v>24</v>
      </c>
      <c r="V39" s="577">
        <v>2</v>
      </c>
      <c r="W39" s="577">
        <v>0</v>
      </c>
      <c r="X39" s="577">
        <v>0</v>
      </c>
      <c r="Y39" s="578">
        <v>0</v>
      </c>
      <c r="Z39" s="566">
        <v>2</v>
      </c>
      <c r="AA39" s="577">
        <v>0</v>
      </c>
      <c r="AB39" s="577">
        <v>0</v>
      </c>
      <c r="AC39" s="577">
        <v>0</v>
      </c>
      <c r="AD39" s="577">
        <v>0</v>
      </c>
      <c r="AE39" s="578">
        <v>0</v>
      </c>
      <c r="AF39" s="566">
        <v>0</v>
      </c>
      <c r="AG39" s="577">
        <v>0</v>
      </c>
      <c r="AH39" s="577">
        <v>0</v>
      </c>
      <c r="AI39" s="577">
        <v>0</v>
      </c>
      <c r="AJ39" s="577">
        <v>0</v>
      </c>
      <c r="AK39" s="578">
        <v>0</v>
      </c>
      <c r="AL39" s="566">
        <v>0</v>
      </c>
      <c r="AM39" s="577">
        <v>0</v>
      </c>
      <c r="AN39" s="577">
        <v>0</v>
      </c>
      <c r="AO39" s="577">
        <v>0</v>
      </c>
      <c r="AP39" s="577">
        <v>0</v>
      </c>
      <c r="AQ39" s="578">
        <v>0</v>
      </c>
      <c r="AR39" s="566">
        <v>0</v>
      </c>
      <c r="AS39" s="577">
        <v>0</v>
      </c>
      <c r="AT39" s="577">
        <v>0</v>
      </c>
      <c r="AU39" s="577">
        <v>0</v>
      </c>
      <c r="AV39" s="577">
        <v>0</v>
      </c>
      <c r="AW39" s="577">
        <v>0</v>
      </c>
      <c r="AX39" s="570">
        <v>0</v>
      </c>
      <c r="AY39" s="577">
        <v>0</v>
      </c>
      <c r="AZ39" s="577">
        <v>0</v>
      </c>
      <c r="BA39" s="577">
        <v>0</v>
      </c>
      <c r="BB39" s="577">
        <v>0</v>
      </c>
      <c r="BC39" s="577">
        <v>0</v>
      </c>
      <c r="BD39" s="570">
        <v>0</v>
      </c>
      <c r="BE39" s="577">
        <v>0</v>
      </c>
      <c r="BF39" s="577">
        <v>0</v>
      </c>
      <c r="BG39" s="577">
        <v>0</v>
      </c>
      <c r="BH39" s="577">
        <v>0</v>
      </c>
      <c r="BI39" s="577">
        <v>0</v>
      </c>
      <c r="BJ39" s="669">
        <v>0</v>
      </c>
      <c r="BK39" s="568">
        <v>26</v>
      </c>
    </row>
    <row r="40" spans="1:63" s="77" customFormat="1" ht="12.75" x14ac:dyDescent="0.25">
      <c r="A40" s="572" t="s">
        <v>206</v>
      </c>
      <c r="B40" s="563" t="s">
        <v>234</v>
      </c>
      <c r="C40" s="581" t="s">
        <v>235</v>
      </c>
      <c r="D40" s="583">
        <v>0</v>
      </c>
      <c r="E40" s="577">
        <v>0</v>
      </c>
      <c r="F40" s="577">
        <v>0</v>
      </c>
      <c r="G40" s="577">
        <v>0</v>
      </c>
      <c r="H40" s="578">
        <v>0</v>
      </c>
      <c r="I40" s="566">
        <v>0</v>
      </c>
      <c r="J40" s="577">
        <v>0</v>
      </c>
      <c r="K40" s="577">
        <v>0</v>
      </c>
      <c r="L40" s="577">
        <v>0</v>
      </c>
      <c r="M40" s="577">
        <v>0</v>
      </c>
      <c r="N40" s="578">
        <v>0</v>
      </c>
      <c r="O40" s="566">
        <v>0</v>
      </c>
      <c r="P40" s="577">
        <v>0</v>
      </c>
      <c r="Q40" s="577">
        <v>0</v>
      </c>
      <c r="R40" s="577">
        <v>0</v>
      </c>
      <c r="S40" s="577">
        <v>0</v>
      </c>
      <c r="T40" s="578">
        <v>0</v>
      </c>
      <c r="U40" s="566">
        <v>0</v>
      </c>
      <c r="V40" s="577">
        <v>0</v>
      </c>
      <c r="W40" s="577">
        <v>0</v>
      </c>
      <c r="X40" s="577">
        <v>0</v>
      </c>
      <c r="Y40" s="578">
        <v>0</v>
      </c>
      <c r="Z40" s="566">
        <v>0</v>
      </c>
      <c r="AA40" s="577">
        <v>0</v>
      </c>
      <c r="AB40" s="577">
        <v>0</v>
      </c>
      <c r="AC40" s="577">
        <v>0</v>
      </c>
      <c r="AD40" s="577">
        <v>0</v>
      </c>
      <c r="AE40" s="578">
        <v>0</v>
      </c>
      <c r="AF40" s="566">
        <v>0</v>
      </c>
      <c r="AG40" s="577">
        <v>0</v>
      </c>
      <c r="AH40" s="577">
        <v>0</v>
      </c>
      <c r="AI40" s="577">
        <v>0</v>
      </c>
      <c r="AJ40" s="577">
        <v>46</v>
      </c>
      <c r="AK40" s="578">
        <v>96</v>
      </c>
      <c r="AL40" s="566">
        <v>142</v>
      </c>
      <c r="AM40" s="577">
        <v>104</v>
      </c>
      <c r="AN40" s="577">
        <v>72</v>
      </c>
      <c r="AO40" s="577">
        <v>86</v>
      </c>
      <c r="AP40" s="577">
        <v>96</v>
      </c>
      <c r="AQ40" s="578">
        <v>8</v>
      </c>
      <c r="AR40" s="566">
        <v>366</v>
      </c>
      <c r="AS40" s="577">
        <v>88</v>
      </c>
      <c r="AT40" s="577">
        <v>120</v>
      </c>
      <c r="AU40" s="577">
        <v>48</v>
      </c>
      <c r="AV40" s="577">
        <v>32</v>
      </c>
      <c r="AW40" s="577">
        <v>16</v>
      </c>
      <c r="AX40" s="570">
        <v>304</v>
      </c>
      <c r="AY40" s="577">
        <v>12</v>
      </c>
      <c r="AZ40" s="577">
        <v>55</v>
      </c>
      <c r="BA40" s="577">
        <v>102</v>
      </c>
      <c r="BB40" s="577">
        <v>92</v>
      </c>
      <c r="BC40" s="577">
        <v>120</v>
      </c>
      <c r="BD40" s="570">
        <v>381</v>
      </c>
      <c r="BE40" s="577">
        <v>72</v>
      </c>
      <c r="BF40" s="577">
        <v>0</v>
      </c>
      <c r="BG40" s="577">
        <v>0</v>
      </c>
      <c r="BH40" s="577">
        <v>0</v>
      </c>
      <c r="BI40" s="577">
        <v>0</v>
      </c>
      <c r="BJ40" s="669">
        <v>72</v>
      </c>
      <c r="BK40" s="568">
        <v>1265</v>
      </c>
    </row>
    <row r="41" spans="1:63" s="77" customFormat="1" ht="12.75" x14ac:dyDescent="0.25">
      <c r="A41" s="572" t="s">
        <v>208</v>
      </c>
      <c r="B41" s="563" t="s">
        <v>208</v>
      </c>
      <c r="C41" s="581" t="s">
        <v>210</v>
      </c>
      <c r="D41" s="583">
        <v>8</v>
      </c>
      <c r="E41" s="577">
        <v>10</v>
      </c>
      <c r="F41" s="577">
        <v>16</v>
      </c>
      <c r="G41" s="577">
        <v>24</v>
      </c>
      <c r="H41" s="578">
        <v>14</v>
      </c>
      <c r="I41" s="566">
        <v>72</v>
      </c>
      <c r="J41" s="577">
        <v>0</v>
      </c>
      <c r="K41" s="577">
        <v>0</v>
      </c>
      <c r="L41" s="577">
        <v>0</v>
      </c>
      <c r="M41" s="577">
        <v>8</v>
      </c>
      <c r="N41" s="578">
        <v>0</v>
      </c>
      <c r="O41" s="566">
        <v>8</v>
      </c>
      <c r="P41" s="577">
        <v>16</v>
      </c>
      <c r="Q41" s="577">
        <v>8</v>
      </c>
      <c r="R41" s="577">
        <v>0</v>
      </c>
      <c r="S41" s="577">
        <v>16</v>
      </c>
      <c r="T41" s="578">
        <v>0</v>
      </c>
      <c r="U41" s="566">
        <v>40</v>
      </c>
      <c r="V41" s="577">
        <v>24</v>
      </c>
      <c r="W41" s="577">
        <v>16</v>
      </c>
      <c r="X41" s="577">
        <v>32</v>
      </c>
      <c r="Y41" s="578">
        <v>0</v>
      </c>
      <c r="Z41" s="566">
        <v>72</v>
      </c>
      <c r="AA41" s="577">
        <v>8</v>
      </c>
      <c r="AB41" s="577">
        <v>8</v>
      </c>
      <c r="AC41" s="577">
        <v>30</v>
      </c>
      <c r="AD41" s="577">
        <v>24</v>
      </c>
      <c r="AE41" s="578">
        <v>8</v>
      </c>
      <c r="AF41" s="566">
        <v>78</v>
      </c>
      <c r="AG41" s="577">
        <v>16</v>
      </c>
      <c r="AH41" s="577">
        <v>0</v>
      </c>
      <c r="AI41" s="577">
        <v>40</v>
      </c>
      <c r="AJ41" s="577">
        <v>56</v>
      </c>
      <c r="AK41" s="578">
        <v>0</v>
      </c>
      <c r="AL41" s="566">
        <v>112</v>
      </c>
      <c r="AM41" s="577">
        <v>8</v>
      </c>
      <c r="AN41" s="577">
        <v>0</v>
      </c>
      <c r="AO41" s="577">
        <v>32</v>
      </c>
      <c r="AP41" s="577">
        <v>16</v>
      </c>
      <c r="AQ41" s="578">
        <v>8</v>
      </c>
      <c r="AR41" s="566">
        <v>64</v>
      </c>
      <c r="AS41" s="577">
        <v>16</v>
      </c>
      <c r="AT41" s="577">
        <v>8</v>
      </c>
      <c r="AU41" s="577">
        <v>8</v>
      </c>
      <c r="AV41" s="577">
        <v>12</v>
      </c>
      <c r="AW41" s="577">
        <v>8</v>
      </c>
      <c r="AX41" s="570">
        <v>52</v>
      </c>
      <c r="AY41" s="577">
        <v>8</v>
      </c>
      <c r="AZ41" s="577">
        <v>0</v>
      </c>
      <c r="BA41" s="577">
        <v>8</v>
      </c>
      <c r="BB41" s="577">
        <v>16</v>
      </c>
      <c r="BC41" s="577">
        <v>8</v>
      </c>
      <c r="BD41" s="570">
        <v>40</v>
      </c>
      <c r="BE41" s="577">
        <v>80</v>
      </c>
      <c r="BF41" s="577">
        <v>0</v>
      </c>
      <c r="BG41" s="577">
        <v>0</v>
      </c>
      <c r="BH41" s="577">
        <v>0</v>
      </c>
      <c r="BI41" s="577">
        <v>0</v>
      </c>
      <c r="BJ41" s="669">
        <v>80</v>
      </c>
      <c r="BK41" s="568">
        <v>618</v>
      </c>
    </row>
    <row r="42" spans="1:63" s="77" customFormat="1" ht="12.75" x14ac:dyDescent="0.25">
      <c r="A42" s="572" t="s">
        <v>221</v>
      </c>
      <c r="B42" s="563" t="s">
        <v>78</v>
      </c>
      <c r="C42" s="581" t="s">
        <v>222</v>
      </c>
      <c r="D42" s="583">
        <v>0</v>
      </c>
      <c r="E42" s="577">
        <v>0</v>
      </c>
      <c r="F42" s="577">
        <v>0</v>
      </c>
      <c r="G42" s="577">
        <v>0</v>
      </c>
      <c r="H42" s="578">
        <v>0</v>
      </c>
      <c r="I42" s="566">
        <v>0</v>
      </c>
      <c r="J42" s="577">
        <v>0</v>
      </c>
      <c r="K42" s="577">
        <v>0</v>
      </c>
      <c r="L42" s="577">
        <v>0</v>
      </c>
      <c r="M42" s="577">
        <v>0</v>
      </c>
      <c r="N42" s="578">
        <v>0</v>
      </c>
      <c r="O42" s="566">
        <v>0</v>
      </c>
      <c r="P42" s="577">
        <v>0</v>
      </c>
      <c r="Q42" s="577">
        <v>0</v>
      </c>
      <c r="R42" s="577">
        <v>0</v>
      </c>
      <c r="S42" s="577">
        <v>0</v>
      </c>
      <c r="T42" s="578">
        <v>0</v>
      </c>
      <c r="U42" s="566">
        <v>0</v>
      </c>
      <c r="V42" s="577">
        <v>0</v>
      </c>
      <c r="W42" s="577">
        <v>0</v>
      </c>
      <c r="X42" s="577">
        <v>0</v>
      </c>
      <c r="Y42" s="578">
        <v>0</v>
      </c>
      <c r="Z42" s="566">
        <v>0</v>
      </c>
      <c r="AA42" s="577">
        <v>0</v>
      </c>
      <c r="AB42" s="577">
        <v>0</v>
      </c>
      <c r="AC42" s="577">
        <v>0</v>
      </c>
      <c r="AD42" s="577">
        <v>0</v>
      </c>
      <c r="AE42" s="578">
        <v>0</v>
      </c>
      <c r="AF42" s="566">
        <v>0</v>
      </c>
      <c r="AG42" s="577">
        <v>0</v>
      </c>
      <c r="AH42" s="577">
        <v>0</v>
      </c>
      <c r="AI42" s="577">
        <v>0</v>
      </c>
      <c r="AJ42" s="577">
        <v>0</v>
      </c>
      <c r="AK42" s="578">
        <v>56</v>
      </c>
      <c r="AL42" s="566">
        <v>56</v>
      </c>
      <c r="AM42" s="577">
        <v>8</v>
      </c>
      <c r="AN42" s="577">
        <v>0</v>
      </c>
      <c r="AO42" s="577">
        <v>22</v>
      </c>
      <c r="AP42" s="577">
        <v>0</v>
      </c>
      <c r="AQ42" s="578">
        <v>0</v>
      </c>
      <c r="AR42" s="566">
        <v>30</v>
      </c>
      <c r="AS42" s="577">
        <v>0</v>
      </c>
      <c r="AT42" s="577">
        <v>0</v>
      </c>
      <c r="AU42" s="577">
        <v>0</v>
      </c>
      <c r="AV42" s="577">
        <v>0</v>
      </c>
      <c r="AW42" s="577">
        <v>0</v>
      </c>
      <c r="AX42" s="570">
        <v>0</v>
      </c>
      <c r="AY42" s="577">
        <v>0</v>
      </c>
      <c r="AZ42" s="577">
        <v>0</v>
      </c>
      <c r="BA42" s="577">
        <v>2</v>
      </c>
      <c r="BB42" s="577">
        <v>0</v>
      </c>
      <c r="BC42" s="577">
        <v>0</v>
      </c>
      <c r="BD42" s="570">
        <v>2</v>
      </c>
      <c r="BE42" s="577">
        <v>0</v>
      </c>
      <c r="BF42" s="577">
        <v>0</v>
      </c>
      <c r="BG42" s="577">
        <v>0</v>
      </c>
      <c r="BH42" s="577">
        <v>0</v>
      </c>
      <c r="BI42" s="577">
        <v>0</v>
      </c>
      <c r="BJ42" s="669">
        <v>0</v>
      </c>
      <c r="BK42" s="568">
        <v>88</v>
      </c>
    </row>
    <row r="43" spans="1:63" s="77" customFormat="1" ht="12.75" x14ac:dyDescent="0.25">
      <c r="A43" s="572" t="s">
        <v>228</v>
      </c>
      <c r="B43" s="563" t="s">
        <v>227</v>
      </c>
      <c r="C43" s="581" t="s">
        <v>229</v>
      </c>
      <c r="D43" s="583">
        <v>0</v>
      </c>
      <c r="E43" s="577">
        <v>0</v>
      </c>
      <c r="F43" s="577">
        <v>0</v>
      </c>
      <c r="G43" s="577">
        <v>0</v>
      </c>
      <c r="H43" s="578">
        <v>0</v>
      </c>
      <c r="I43" s="566">
        <v>0</v>
      </c>
      <c r="J43" s="577">
        <v>0</v>
      </c>
      <c r="K43" s="577">
        <v>0</v>
      </c>
      <c r="L43" s="577">
        <v>0</v>
      </c>
      <c r="M43" s="577">
        <v>0</v>
      </c>
      <c r="N43" s="578">
        <v>0</v>
      </c>
      <c r="O43" s="566">
        <v>0</v>
      </c>
      <c r="P43" s="577">
        <v>0</v>
      </c>
      <c r="Q43" s="577">
        <v>0</v>
      </c>
      <c r="R43" s="577">
        <v>0</v>
      </c>
      <c r="S43" s="577">
        <v>0</v>
      </c>
      <c r="T43" s="578">
        <v>0</v>
      </c>
      <c r="U43" s="566">
        <v>0</v>
      </c>
      <c r="V43" s="577">
        <v>0</v>
      </c>
      <c r="W43" s="577">
        <v>0</v>
      </c>
      <c r="X43" s="577">
        <v>0</v>
      </c>
      <c r="Y43" s="578">
        <v>0</v>
      </c>
      <c r="Z43" s="566">
        <v>0</v>
      </c>
      <c r="AA43" s="577">
        <v>0</v>
      </c>
      <c r="AB43" s="577">
        <v>0</v>
      </c>
      <c r="AC43" s="577">
        <v>0</v>
      </c>
      <c r="AD43" s="577">
        <v>0</v>
      </c>
      <c r="AE43" s="578">
        <v>0</v>
      </c>
      <c r="AF43" s="566">
        <v>0</v>
      </c>
      <c r="AG43" s="577">
        <v>0</v>
      </c>
      <c r="AH43" s="577">
        <v>40</v>
      </c>
      <c r="AI43" s="577">
        <v>40</v>
      </c>
      <c r="AJ43" s="577">
        <v>40</v>
      </c>
      <c r="AK43" s="578">
        <v>32</v>
      </c>
      <c r="AL43" s="566">
        <v>152</v>
      </c>
      <c r="AM43" s="577">
        <v>40</v>
      </c>
      <c r="AN43" s="577">
        <v>40</v>
      </c>
      <c r="AO43" s="577">
        <v>40</v>
      </c>
      <c r="AP43" s="577">
        <v>32</v>
      </c>
      <c r="AQ43" s="578">
        <v>0</v>
      </c>
      <c r="AR43" s="566">
        <v>152</v>
      </c>
      <c r="AS43" s="577">
        <v>0</v>
      </c>
      <c r="AT43" s="577">
        <v>0</v>
      </c>
      <c r="AU43" s="577">
        <v>0</v>
      </c>
      <c r="AV43" s="577">
        <v>0</v>
      </c>
      <c r="AW43" s="577">
        <v>0</v>
      </c>
      <c r="AX43" s="570">
        <v>0</v>
      </c>
      <c r="AY43" s="577">
        <v>0</v>
      </c>
      <c r="AZ43" s="577">
        <v>0</v>
      </c>
      <c r="BA43" s="577">
        <v>0</v>
      </c>
      <c r="BB43" s="577">
        <v>0</v>
      </c>
      <c r="BC43" s="577">
        <v>0</v>
      </c>
      <c r="BD43" s="570">
        <v>0</v>
      </c>
      <c r="BE43" s="577">
        <v>0</v>
      </c>
      <c r="BF43" s="577">
        <v>0</v>
      </c>
      <c r="BG43" s="577">
        <v>0</v>
      </c>
      <c r="BH43" s="577">
        <v>0</v>
      </c>
      <c r="BI43" s="577">
        <v>0</v>
      </c>
      <c r="BJ43" s="669">
        <v>0</v>
      </c>
      <c r="BK43" s="568">
        <v>304</v>
      </c>
    </row>
    <row r="44" spans="1:63" ht="12.75" x14ac:dyDescent="0.25">
      <c r="A44" s="572" t="s">
        <v>209</v>
      </c>
      <c r="B44" s="563" t="s">
        <v>209</v>
      </c>
      <c r="C44" s="581" t="s">
        <v>243</v>
      </c>
      <c r="D44" s="583">
        <v>212</v>
      </c>
      <c r="E44" s="577">
        <v>55</v>
      </c>
      <c r="F44" s="577">
        <v>146</v>
      </c>
      <c r="G44" s="577">
        <v>105</v>
      </c>
      <c r="H44" s="578">
        <v>42</v>
      </c>
      <c r="I44" s="566">
        <v>560</v>
      </c>
      <c r="J44" s="577">
        <v>50</v>
      </c>
      <c r="K44" s="577">
        <v>20</v>
      </c>
      <c r="L44" s="577">
        <v>50</v>
      </c>
      <c r="M44" s="577">
        <v>86</v>
      </c>
      <c r="N44" s="578">
        <v>36</v>
      </c>
      <c r="O44" s="566">
        <v>242</v>
      </c>
      <c r="P44" s="577">
        <v>8</v>
      </c>
      <c r="Q44" s="577">
        <v>88</v>
      </c>
      <c r="R44" s="577">
        <v>48</v>
      </c>
      <c r="S44" s="577">
        <v>0</v>
      </c>
      <c r="T44" s="578">
        <v>0</v>
      </c>
      <c r="U44" s="566">
        <v>144</v>
      </c>
      <c r="V44" s="577">
        <v>0</v>
      </c>
      <c r="W44" s="577">
        <v>40</v>
      </c>
      <c r="X44" s="577">
        <v>48</v>
      </c>
      <c r="Y44" s="578">
        <v>40</v>
      </c>
      <c r="Z44" s="566">
        <v>128</v>
      </c>
      <c r="AA44" s="577">
        <v>32</v>
      </c>
      <c r="AB44" s="577">
        <v>8</v>
      </c>
      <c r="AC44" s="577">
        <v>0</v>
      </c>
      <c r="AD44" s="577">
        <v>48</v>
      </c>
      <c r="AE44" s="578">
        <v>24</v>
      </c>
      <c r="AF44" s="566">
        <v>112</v>
      </c>
      <c r="AG44" s="577">
        <v>16</v>
      </c>
      <c r="AH44" s="577">
        <v>0</v>
      </c>
      <c r="AI44" s="577">
        <v>16</v>
      </c>
      <c r="AJ44" s="577">
        <v>8</v>
      </c>
      <c r="AK44" s="578">
        <v>4</v>
      </c>
      <c r="AL44" s="566">
        <v>44</v>
      </c>
      <c r="AM44" s="577">
        <v>40</v>
      </c>
      <c r="AN44" s="577">
        <v>16</v>
      </c>
      <c r="AO44" s="577">
        <v>0</v>
      </c>
      <c r="AP44" s="577">
        <v>0</v>
      </c>
      <c r="AQ44" s="578">
        <v>16</v>
      </c>
      <c r="AR44" s="566">
        <v>72</v>
      </c>
      <c r="AS44" s="577">
        <v>64</v>
      </c>
      <c r="AT44" s="577">
        <v>64</v>
      </c>
      <c r="AU44" s="577">
        <v>80</v>
      </c>
      <c r="AV44" s="577">
        <v>88</v>
      </c>
      <c r="AW44" s="577">
        <v>24</v>
      </c>
      <c r="AX44" s="570">
        <v>320</v>
      </c>
      <c r="AY44" s="577">
        <v>8</v>
      </c>
      <c r="AZ44" s="577">
        <v>88</v>
      </c>
      <c r="BA44" s="577">
        <v>80</v>
      </c>
      <c r="BB44" s="577">
        <v>48</v>
      </c>
      <c r="BC44" s="577">
        <v>40</v>
      </c>
      <c r="BD44" s="570">
        <v>264</v>
      </c>
      <c r="BE44" s="577">
        <v>88</v>
      </c>
      <c r="BF44" s="577">
        <v>0</v>
      </c>
      <c r="BG44" s="577">
        <v>0</v>
      </c>
      <c r="BH44" s="577">
        <v>0</v>
      </c>
      <c r="BI44" s="577">
        <v>0</v>
      </c>
      <c r="BJ44" s="669">
        <v>88</v>
      </c>
      <c r="BK44" s="568">
        <v>1974</v>
      </c>
    </row>
    <row r="45" spans="1:63" ht="12.75" x14ac:dyDescent="0.25">
      <c r="A45" s="585" t="s">
        <v>42</v>
      </c>
      <c r="B45" s="564" t="s">
        <v>44</v>
      </c>
      <c r="C45" s="43" t="s">
        <v>304</v>
      </c>
      <c r="D45" s="583">
        <v>1086</v>
      </c>
      <c r="E45" s="577">
        <v>1224</v>
      </c>
      <c r="F45" s="577">
        <v>1096</v>
      </c>
      <c r="G45" s="577">
        <v>1136</v>
      </c>
      <c r="H45" s="578">
        <v>450</v>
      </c>
      <c r="I45" s="566">
        <v>4992</v>
      </c>
      <c r="J45" s="577">
        <v>688</v>
      </c>
      <c r="K45" s="577">
        <v>1200</v>
      </c>
      <c r="L45" s="577">
        <v>1168</v>
      </c>
      <c r="M45" s="577">
        <v>1136</v>
      </c>
      <c r="N45" s="578">
        <v>456</v>
      </c>
      <c r="O45" s="566">
        <v>4648</v>
      </c>
      <c r="P45" s="577">
        <v>728</v>
      </c>
      <c r="Q45" s="577">
        <v>1188</v>
      </c>
      <c r="R45" s="577">
        <v>1200</v>
      </c>
      <c r="S45" s="577">
        <v>1216</v>
      </c>
      <c r="T45" s="578">
        <v>1280</v>
      </c>
      <c r="U45" s="566">
        <v>5612</v>
      </c>
      <c r="V45" s="577">
        <v>1216</v>
      </c>
      <c r="W45" s="577">
        <v>728</v>
      </c>
      <c r="X45" s="577">
        <v>1168</v>
      </c>
      <c r="Y45" s="578">
        <v>1240</v>
      </c>
      <c r="Z45" s="566">
        <v>4352</v>
      </c>
      <c r="AA45" s="577">
        <v>920</v>
      </c>
      <c r="AB45" s="577">
        <v>1178.5</v>
      </c>
      <c r="AC45" s="577">
        <v>1178</v>
      </c>
      <c r="AD45" s="577">
        <v>1168</v>
      </c>
      <c r="AE45" s="578">
        <v>712</v>
      </c>
      <c r="AF45" s="566">
        <v>5156.5</v>
      </c>
      <c r="AG45" s="577">
        <v>456</v>
      </c>
      <c r="AH45" s="577">
        <v>1136</v>
      </c>
      <c r="AI45" s="577">
        <v>1104</v>
      </c>
      <c r="AJ45" s="577">
        <v>1064</v>
      </c>
      <c r="AK45" s="578">
        <v>892</v>
      </c>
      <c r="AL45" s="566">
        <v>4652</v>
      </c>
      <c r="AM45" s="577">
        <v>992</v>
      </c>
      <c r="AN45" s="577">
        <v>998.5</v>
      </c>
      <c r="AO45" s="577">
        <v>1008</v>
      </c>
      <c r="AP45" s="577">
        <v>792</v>
      </c>
      <c r="AQ45" s="578">
        <v>176</v>
      </c>
      <c r="AR45" s="566">
        <v>3966.5</v>
      </c>
      <c r="AS45" s="577">
        <v>680</v>
      </c>
      <c r="AT45" s="577">
        <v>888</v>
      </c>
      <c r="AU45" s="577">
        <v>920</v>
      </c>
      <c r="AV45" s="577">
        <v>948</v>
      </c>
      <c r="AW45" s="577">
        <v>552</v>
      </c>
      <c r="AX45" s="570">
        <v>3988</v>
      </c>
      <c r="AY45" s="577">
        <v>184</v>
      </c>
      <c r="AZ45" s="577">
        <v>872</v>
      </c>
      <c r="BA45" s="577">
        <v>832</v>
      </c>
      <c r="BB45" s="577">
        <v>824</v>
      </c>
      <c r="BC45" s="577">
        <v>886</v>
      </c>
      <c r="BD45" s="570">
        <v>3598</v>
      </c>
      <c r="BE45" s="577">
        <v>832</v>
      </c>
      <c r="BF45" s="577">
        <v>0</v>
      </c>
      <c r="BG45" s="577">
        <v>0</v>
      </c>
      <c r="BH45" s="577">
        <v>0</v>
      </c>
      <c r="BI45" s="577">
        <v>0</v>
      </c>
      <c r="BJ45" s="669">
        <v>832</v>
      </c>
      <c r="BK45" s="568">
        <v>41797</v>
      </c>
    </row>
    <row r="46" spans="1:63" ht="12.75" x14ac:dyDescent="0.25">
      <c r="A46" s="572" t="s">
        <v>305</v>
      </c>
      <c r="B46" s="43" t="s">
        <v>103</v>
      </c>
      <c r="C46" s="43" t="s">
        <v>436</v>
      </c>
      <c r="D46" s="583">
        <v>0</v>
      </c>
      <c r="E46" s="577">
        <v>0</v>
      </c>
      <c r="F46" s="577">
        <v>0</v>
      </c>
      <c r="G46" s="577">
        <v>0</v>
      </c>
      <c r="H46" s="578">
        <v>0</v>
      </c>
      <c r="I46" s="566">
        <v>0</v>
      </c>
      <c r="J46" s="577">
        <v>0</v>
      </c>
      <c r="K46" s="577">
        <v>0</v>
      </c>
      <c r="L46" s="577">
        <v>0</v>
      </c>
      <c r="M46" s="577">
        <v>0</v>
      </c>
      <c r="N46" s="578">
        <v>0</v>
      </c>
      <c r="O46" s="566">
        <v>0</v>
      </c>
      <c r="P46" s="577">
        <v>0</v>
      </c>
      <c r="Q46" s="577">
        <v>0</v>
      </c>
      <c r="R46" s="577">
        <v>0</v>
      </c>
      <c r="S46" s="577">
        <v>0</v>
      </c>
      <c r="T46" s="578">
        <v>0</v>
      </c>
      <c r="U46" s="566">
        <v>0</v>
      </c>
      <c r="V46" s="577">
        <v>0</v>
      </c>
      <c r="W46" s="577">
        <v>0</v>
      </c>
      <c r="X46" s="577">
        <v>0</v>
      </c>
      <c r="Y46" s="578">
        <v>0</v>
      </c>
      <c r="Z46" s="566">
        <v>0</v>
      </c>
      <c r="AA46" s="577">
        <v>0</v>
      </c>
      <c r="AB46" s="577">
        <v>0</v>
      </c>
      <c r="AC46" s="577">
        <v>0</v>
      </c>
      <c r="AD46" s="577">
        <v>0</v>
      </c>
      <c r="AE46" s="578">
        <v>0</v>
      </c>
      <c r="AF46" s="566">
        <v>0</v>
      </c>
      <c r="AG46" s="577">
        <v>0</v>
      </c>
      <c r="AH46" s="577">
        <v>0</v>
      </c>
      <c r="AI46" s="577">
        <v>0</v>
      </c>
      <c r="AJ46" s="577">
        <v>0</v>
      </c>
      <c r="AK46" s="578">
        <v>0</v>
      </c>
      <c r="AL46" s="566">
        <v>0</v>
      </c>
      <c r="AM46" s="577">
        <v>0</v>
      </c>
      <c r="AN46" s="577">
        <v>22</v>
      </c>
      <c r="AO46" s="577">
        <v>0</v>
      </c>
      <c r="AP46" s="577">
        <v>28</v>
      </c>
      <c r="AQ46" s="578">
        <v>8</v>
      </c>
      <c r="AR46" s="566">
        <v>58</v>
      </c>
      <c r="AS46" s="577">
        <v>32</v>
      </c>
      <c r="AT46" s="577">
        <v>41</v>
      </c>
      <c r="AU46" s="577">
        <v>41</v>
      </c>
      <c r="AV46" s="577">
        <v>40</v>
      </c>
      <c r="AW46" s="577">
        <v>26</v>
      </c>
      <c r="AX46" s="570">
        <v>180</v>
      </c>
      <c r="AY46" s="577">
        <v>10</v>
      </c>
      <c r="AZ46" s="577">
        <v>33</v>
      </c>
      <c r="BA46" s="577">
        <v>81</v>
      </c>
      <c r="BB46" s="577">
        <v>49</v>
      </c>
      <c r="BC46" s="577">
        <v>46</v>
      </c>
      <c r="BD46" s="570">
        <v>219</v>
      </c>
      <c r="BE46" s="577">
        <v>0</v>
      </c>
      <c r="BF46" s="577">
        <v>0</v>
      </c>
      <c r="BG46" s="577">
        <v>0</v>
      </c>
      <c r="BH46" s="577">
        <v>0</v>
      </c>
      <c r="BI46" s="577">
        <v>0</v>
      </c>
      <c r="BJ46" s="669">
        <v>0</v>
      </c>
      <c r="BK46" s="568">
        <v>457</v>
      </c>
    </row>
    <row r="47" spans="1:63" ht="12.75" x14ac:dyDescent="0.25">
      <c r="A47" s="572" t="s">
        <v>306</v>
      </c>
      <c r="B47" s="43" t="s">
        <v>103</v>
      </c>
      <c r="C47" s="43" t="s">
        <v>437</v>
      </c>
      <c r="D47" s="583">
        <v>0</v>
      </c>
      <c r="E47" s="577">
        <v>0</v>
      </c>
      <c r="F47" s="577">
        <v>0</v>
      </c>
      <c r="G47" s="577">
        <v>0</v>
      </c>
      <c r="H47" s="578">
        <v>0</v>
      </c>
      <c r="I47" s="566">
        <v>0</v>
      </c>
      <c r="J47" s="577">
        <v>0</v>
      </c>
      <c r="K47" s="577">
        <v>0</v>
      </c>
      <c r="L47" s="577">
        <v>0</v>
      </c>
      <c r="M47" s="577">
        <v>0</v>
      </c>
      <c r="N47" s="578">
        <v>0</v>
      </c>
      <c r="O47" s="566">
        <v>0</v>
      </c>
      <c r="P47" s="577">
        <v>0</v>
      </c>
      <c r="Q47" s="577">
        <v>0</v>
      </c>
      <c r="R47" s="577">
        <v>0</v>
      </c>
      <c r="S47" s="577">
        <v>0</v>
      </c>
      <c r="T47" s="578">
        <v>0</v>
      </c>
      <c r="U47" s="566">
        <v>0</v>
      </c>
      <c r="V47" s="577">
        <v>0</v>
      </c>
      <c r="W47" s="577">
        <v>0</v>
      </c>
      <c r="X47" s="577">
        <v>0</v>
      </c>
      <c r="Y47" s="578">
        <v>0</v>
      </c>
      <c r="Z47" s="566">
        <v>0</v>
      </c>
      <c r="AA47" s="577">
        <v>0</v>
      </c>
      <c r="AB47" s="577">
        <v>0</v>
      </c>
      <c r="AC47" s="577">
        <v>0</v>
      </c>
      <c r="AD47" s="577">
        <v>0</v>
      </c>
      <c r="AE47" s="578">
        <v>0</v>
      </c>
      <c r="AF47" s="566">
        <v>0</v>
      </c>
      <c r="AG47" s="577">
        <v>0</v>
      </c>
      <c r="AH47" s="577">
        <v>0</v>
      </c>
      <c r="AI47" s="577">
        <v>0</v>
      </c>
      <c r="AJ47" s="577">
        <v>0</v>
      </c>
      <c r="AK47" s="578">
        <v>0</v>
      </c>
      <c r="AL47" s="566">
        <v>0</v>
      </c>
      <c r="AM47" s="577">
        <v>0</v>
      </c>
      <c r="AN47" s="577">
        <v>0</v>
      </c>
      <c r="AO47" s="577">
        <v>0</v>
      </c>
      <c r="AP47" s="577">
        <v>0</v>
      </c>
      <c r="AQ47" s="578">
        <v>0</v>
      </c>
      <c r="AR47" s="566">
        <v>0</v>
      </c>
      <c r="AS47" s="577">
        <v>0</v>
      </c>
      <c r="AT47" s="577">
        <v>2</v>
      </c>
      <c r="AU47" s="577">
        <v>3</v>
      </c>
      <c r="AV47" s="577">
        <v>2</v>
      </c>
      <c r="AW47" s="577">
        <v>2</v>
      </c>
      <c r="AX47" s="570">
        <v>9</v>
      </c>
      <c r="AY47" s="577">
        <v>2</v>
      </c>
      <c r="AZ47" s="577">
        <v>3</v>
      </c>
      <c r="BA47" s="577">
        <v>2</v>
      </c>
      <c r="BB47" s="577">
        <v>0</v>
      </c>
      <c r="BC47" s="577">
        <v>0</v>
      </c>
      <c r="BD47" s="570">
        <v>7</v>
      </c>
      <c r="BE47" s="577">
        <v>0</v>
      </c>
      <c r="BF47" s="577">
        <v>0</v>
      </c>
      <c r="BG47" s="577">
        <v>0</v>
      </c>
      <c r="BH47" s="577">
        <v>0</v>
      </c>
      <c r="BI47" s="577">
        <v>0</v>
      </c>
      <c r="BJ47" s="669">
        <v>0</v>
      </c>
      <c r="BK47" s="568">
        <v>16</v>
      </c>
    </row>
    <row r="48" spans="1:63" ht="12.75" x14ac:dyDescent="0.25">
      <c r="A48" s="572" t="s">
        <v>361</v>
      </c>
      <c r="B48" s="43" t="s">
        <v>103</v>
      </c>
      <c r="C48" s="43" t="s">
        <v>362</v>
      </c>
      <c r="D48" s="583">
        <v>0</v>
      </c>
      <c r="E48" s="577">
        <v>0</v>
      </c>
      <c r="F48" s="577">
        <v>0</v>
      </c>
      <c r="G48" s="577">
        <v>0</v>
      </c>
      <c r="H48" s="578">
        <v>0</v>
      </c>
      <c r="I48" s="566">
        <v>0</v>
      </c>
      <c r="J48" s="577">
        <v>0</v>
      </c>
      <c r="K48" s="577">
        <v>0</v>
      </c>
      <c r="L48" s="577">
        <v>0</v>
      </c>
      <c r="M48" s="577">
        <v>0</v>
      </c>
      <c r="N48" s="578">
        <v>0</v>
      </c>
      <c r="O48" s="566">
        <v>0</v>
      </c>
      <c r="P48" s="577">
        <v>0</v>
      </c>
      <c r="Q48" s="577">
        <v>0</v>
      </c>
      <c r="R48" s="577">
        <v>0</v>
      </c>
      <c r="S48" s="577">
        <v>0</v>
      </c>
      <c r="T48" s="578">
        <v>0</v>
      </c>
      <c r="U48" s="566">
        <v>0</v>
      </c>
      <c r="V48" s="577">
        <v>0</v>
      </c>
      <c r="W48" s="577">
        <v>0</v>
      </c>
      <c r="X48" s="577">
        <v>0</v>
      </c>
      <c r="Y48" s="578">
        <v>0</v>
      </c>
      <c r="Z48" s="566">
        <v>0</v>
      </c>
      <c r="AA48" s="577">
        <v>0</v>
      </c>
      <c r="AB48" s="577">
        <v>0</v>
      </c>
      <c r="AC48" s="577">
        <v>0</v>
      </c>
      <c r="AD48" s="577">
        <v>0</v>
      </c>
      <c r="AE48" s="578">
        <v>0</v>
      </c>
      <c r="AF48" s="566">
        <v>0</v>
      </c>
      <c r="AG48" s="577">
        <v>0</v>
      </c>
      <c r="AH48" s="577">
        <v>0</v>
      </c>
      <c r="AI48" s="577">
        <v>0</v>
      </c>
      <c r="AJ48" s="577">
        <v>0</v>
      </c>
      <c r="AK48" s="578">
        <v>0</v>
      </c>
      <c r="AL48" s="566">
        <v>0</v>
      </c>
      <c r="AM48" s="577">
        <v>0</v>
      </c>
      <c r="AN48" s="577">
        <v>0</v>
      </c>
      <c r="AO48" s="577">
        <v>0</v>
      </c>
      <c r="AP48" s="577">
        <v>32</v>
      </c>
      <c r="AQ48" s="578">
        <v>13</v>
      </c>
      <c r="AR48" s="566">
        <v>45</v>
      </c>
      <c r="AS48" s="577">
        <v>39</v>
      </c>
      <c r="AT48" s="577">
        <v>70</v>
      </c>
      <c r="AU48" s="577">
        <v>74</v>
      </c>
      <c r="AV48" s="577">
        <v>152</v>
      </c>
      <c r="AW48" s="577">
        <v>86</v>
      </c>
      <c r="AX48" s="570">
        <v>421</v>
      </c>
      <c r="AY48" s="577">
        <v>34</v>
      </c>
      <c r="AZ48" s="577">
        <v>164</v>
      </c>
      <c r="BA48" s="577">
        <v>187</v>
      </c>
      <c r="BB48" s="577">
        <v>193</v>
      </c>
      <c r="BC48" s="577">
        <v>195</v>
      </c>
      <c r="BD48" s="570">
        <v>773</v>
      </c>
      <c r="BE48" s="577">
        <v>195</v>
      </c>
      <c r="BF48" s="577">
        <v>0</v>
      </c>
      <c r="BG48" s="577">
        <v>0</v>
      </c>
      <c r="BH48" s="577">
        <v>0</v>
      </c>
      <c r="BI48" s="577">
        <v>0</v>
      </c>
      <c r="BJ48" s="669">
        <v>195</v>
      </c>
      <c r="BK48" s="568">
        <v>1434</v>
      </c>
    </row>
    <row r="49" spans="1:63" ht="12.75" x14ac:dyDescent="0.25">
      <c r="A49" s="572" t="s">
        <v>411</v>
      </c>
      <c r="B49" s="43" t="s">
        <v>50</v>
      </c>
      <c r="C49" s="43" t="s">
        <v>410</v>
      </c>
      <c r="D49" s="583">
        <v>0</v>
      </c>
      <c r="E49" s="577">
        <v>0</v>
      </c>
      <c r="F49" s="577">
        <v>0</v>
      </c>
      <c r="G49" s="577">
        <v>0</v>
      </c>
      <c r="H49" s="578">
        <v>0</v>
      </c>
      <c r="I49" s="566">
        <v>0</v>
      </c>
      <c r="J49" s="577">
        <v>0</v>
      </c>
      <c r="K49" s="577">
        <v>0</v>
      </c>
      <c r="L49" s="577">
        <v>0</v>
      </c>
      <c r="M49" s="577">
        <v>0</v>
      </c>
      <c r="N49" s="578">
        <v>0</v>
      </c>
      <c r="O49" s="566">
        <v>0</v>
      </c>
      <c r="P49" s="577">
        <v>3</v>
      </c>
      <c r="Q49" s="577">
        <v>24</v>
      </c>
      <c r="R49" s="577">
        <v>16</v>
      </c>
      <c r="S49" s="577">
        <v>40</v>
      </c>
      <c r="T49" s="578">
        <v>40</v>
      </c>
      <c r="U49" s="566">
        <v>123</v>
      </c>
      <c r="V49" s="577">
        <v>16</v>
      </c>
      <c r="W49" s="577">
        <v>2</v>
      </c>
      <c r="X49" s="577">
        <v>0</v>
      </c>
      <c r="Y49" s="578">
        <v>0</v>
      </c>
      <c r="Z49" s="566">
        <v>18</v>
      </c>
      <c r="AA49" s="577">
        <v>0</v>
      </c>
      <c r="AB49" s="577">
        <v>0</v>
      </c>
      <c r="AC49" s="577">
        <v>0</v>
      </c>
      <c r="AD49" s="577">
        <v>0</v>
      </c>
      <c r="AE49" s="578">
        <v>0</v>
      </c>
      <c r="AF49" s="566">
        <v>0</v>
      </c>
      <c r="AG49" s="577">
        <v>0</v>
      </c>
      <c r="AH49" s="577">
        <v>0</v>
      </c>
      <c r="AI49" s="577">
        <v>0</v>
      </c>
      <c r="AJ49" s="577">
        <v>0</v>
      </c>
      <c r="AK49" s="578">
        <v>0</v>
      </c>
      <c r="AL49" s="566">
        <v>0</v>
      </c>
      <c r="AM49" s="577">
        <v>0</v>
      </c>
      <c r="AN49" s="577">
        <v>0</v>
      </c>
      <c r="AO49" s="577">
        <v>0</v>
      </c>
      <c r="AP49" s="577">
        <v>0</v>
      </c>
      <c r="AQ49" s="578">
        <v>0</v>
      </c>
      <c r="AR49" s="566">
        <v>0</v>
      </c>
      <c r="AS49" s="577">
        <v>0</v>
      </c>
      <c r="AT49" s="577">
        <v>0</v>
      </c>
      <c r="AU49" s="577">
        <v>0</v>
      </c>
      <c r="AV49" s="577">
        <v>0</v>
      </c>
      <c r="AW49" s="577">
        <v>0</v>
      </c>
      <c r="AX49" s="570">
        <v>0</v>
      </c>
      <c r="AY49" s="577">
        <v>0</v>
      </c>
      <c r="AZ49" s="577">
        <v>0</v>
      </c>
      <c r="BA49" s="577">
        <v>0</v>
      </c>
      <c r="BB49" s="577">
        <v>0</v>
      </c>
      <c r="BC49" s="577">
        <v>0</v>
      </c>
      <c r="BD49" s="570">
        <v>0</v>
      </c>
      <c r="BE49" s="577">
        <v>0</v>
      </c>
      <c r="BF49" s="577">
        <v>0</v>
      </c>
      <c r="BG49" s="577">
        <v>0</v>
      </c>
      <c r="BH49" s="577">
        <v>0</v>
      </c>
      <c r="BI49" s="577">
        <v>0</v>
      </c>
      <c r="BJ49" s="669">
        <v>0</v>
      </c>
      <c r="BK49" s="568">
        <v>141</v>
      </c>
    </row>
    <row r="50" spans="1:63" ht="12.75" x14ac:dyDescent="0.25">
      <c r="A50" s="572" t="s">
        <v>415</v>
      </c>
      <c r="B50" s="43" t="s">
        <v>45</v>
      </c>
      <c r="C50" s="43" t="s">
        <v>416</v>
      </c>
      <c r="D50" s="583">
        <v>0</v>
      </c>
      <c r="E50" s="577">
        <v>0</v>
      </c>
      <c r="F50" s="577">
        <v>0</v>
      </c>
      <c r="G50" s="577">
        <v>0</v>
      </c>
      <c r="H50" s="578">
        <v>0</v>
      </c>
      <c r="I50" s="566">
        <v>0</v>
      </c>
      <c r="J50" s="577">
        <v>0</v>
      </c>
      <c r="K50" s="577">
        <v>0</v>
      </c>
      <c r="L50" s="577">
        <v>0</v>
      </c>
      <c r="M50" s="577">
        <v>0</v>
      </c>
      <c r="N50" s="578">
        <v>0</v>
      </c>
      <c r="O50" s="566">
        <v>0</v>
      </c>
      <c r="P50" s="577">
        <v>0</v>
      </c>
      <c r="Q50" s="577">
        <v>0</v>
      </c>
      <c r="R50" s="577">
        <v>0</v>
      </c>
      <c r="S50" s="577">
        <v>0</v>
      </c>
      <c r="T50" s="578">
        <v>0</v>
      </c>
      <c r="U50" s="566">
        <v>0</v>
      </c>
      <c r="V50" s="577">
        <v>0</v>
      </c>
      <c r="W50" s="577">
        <v>0</v>
      </c>
      <c r="X50" s="577">
        <v>0</v>
      </c>
      <c r="Y50" s="578">
        <v>0</v>
      </c>
      <c r="Z50" s="566">
        <v>0</v>
      </c>
      <c r="AA50" s="577">
        <v>0</v>
      </c>
      <c r="AB50" s="577">
        <v>0</v>
      </c>
      <c r="AC50" s="577">
        <v>0</v>
      </c>
      <c r="AD50" s="577">
        <v>0</v>
      </c>
      <c r="AE50" s="578">
        <v>0</v>
      </c>
      <c r="AF50" s="566">
        <v>0</v>
      </c>
      <c r="AG50" s="577">
        <v>0</v>
      </c>
      <c r="AH50" s="577">
        <v>0</v>
      </c>
      <c r="AI50" s="577">
        <v>0</v>
      </c>
      <c r="AJ50" s="577">
        <v>0</v>
      </c>
      <c r="AK50" s="578">
        <v>0</v>
      </c>
      <c r="AL50" s="566">
        <v>0</v>
      </c>
      <c r="AM50" s="577">
        <v>0</v>
      </c>
      <c r="AN50" s="577">
        <v>0</v>
      </c>
      <c r="AO50" s="577">
        <v>0</v>
      </c>
      <c r="AP50" s="577">
        <v>32</v>
      </c>
      <c r="AQ50" s="578">
        <v>8</v>
      </c>
      <c r="AR50" s="566">
        <v>40</v>
      </c>
      <c r="AS50" s="577">
        <v>32</v>
      </c>
      <c r="AT50" s="577">
        <v>40</v>
      </c>
      <c r="AU50" s="577">
        <v>40</v>
      </c>
      <c r="AV50" s="577">
        <v>24</v>
      </c>
      <c r="AW50" s="577">
        <v>0</v>
      </c>
      <c r="AX50" s="570">
        <v>136</v>
      </c>
      <c r="AY50" s="577">
        <v>0</v>
      </c>
      <c r="AZ50" s="577">
        <v>0</v>
      </c>
      <c r="BA50" s="577">
        <v>0</v>
      </c>
      <c r="BB50" s="577">
        <v>0</v>
      </c>
      <c r="BC50" s="577">
        <v>0</v>
      </c>
      <c r="BD50" s="570">
        <v>0</v>
      </c>
      <c r="BE50" s="577">
        <v>0</v>
      </c>
      <c r="BF50" s="577">
        <v>0</v>
      </c>
      <c r="BG50" s="577">
        <v>0</v>
      </c>
      <c r="BH50" s="577">
        <v>0</v>
      </c>
      <c r="BI50" s="577">
        <v>0</v>
      </c>
      <c r="BJ50" s="669">
        <v>0</v>
      </c>
      <c r="BK50" s="568">
        <v>176</v>
      </c>
    </row>
    <row r="51" spans="1:63" ht="12.75" x14ac:dyDescent="0.25">
      <c r="A51" s="572" t="s">
        <v>433</v>
      </c>
      <c r="B51" s="43" t="s">
        <v>48</v>
      </c>
      <c r="C51" s="43" t="s">
        <v>434</v>
      </c>
      <c r="D51" s="583">
        <v>0</v>
      </c>
      <c r="E51" s="577">
        <v>0</v>
      </c>
      <c r="F51" s="577">
        <v>0</v>
      </c>
      <c r="G51" s="577">
        <v>0</v>
      </c>
      <c r="H51" s="578">
        <v>0</v>
      </c>
      <c r="I51" s="566">
        <v>0</v>
      </c>
      <c r="J51" s="577">
        <v>0</v>
      </c>
      <c r="K51" s="577">
        <v>0</v>
      </c>
      <c r="L51" s="577">
        <v>0</v>
      </c>
      <c r="M51" s="577">
        <v>0</v>
      </c>
      <c r="N51" s="578">
        <v>0</v>
      </c>
      <c r="O51" s="566">
        <v>0</v>
      </c>
      <c r="P51" s="577">
        <v>0</v>
      </c>
      <c r="Q51" s="577">
        <v>0</v>
      </c>
      <c r="R51" s="577">
        <v>0</v>
      </c>
      <c r="S51" s="577">
        <v>0</v>
      </c>
      <c r="T51" s="578">
        <v>0</v>
      </c>
      <c r="U51" s="566">
        <v>0</v>
      </c>
      <c r="V51" s="577">
        <v>0</v>
      </c>
      <c r="W51" s="577">
        <v>0</v>
      </c>
      <c r="X51" s="577">
        <v>0</v>
      </c>
      <c r="Y51" s="578">
        <v>0</v>
      </c>
      <c r="Z51" s="566">
        <v>0</v>
      </c>
      <c r="AA51" s="577">
        <v>0</v>
      </c>
      <c r="AB51" s="577">
        <v>0</v>
      </c>
      <c r="AC51" s="577">
        <v>20</v>
      </c>
      <c r="AD51" s="577">
        <v>4</v>
      </c>
      <c r="AE51" s="578">
        <v>0</v>
      </c>
      <c r="AF51" s="566">
        <v>24</v>
      </c>
      <c r="AG51" s="577">
        <v>3</v>
      </c>
      <c r="AH51" s="577">
        <v>0</v>
      </c>
      <c r="AI51" s="577">
        <v>0</v>
      </c>
      <c r="AJ51" s="577">
        <v>32</v>
      </c>
      <c r="AK51" s="578">
        <v>29</v>
      </c>
      <c r="AL51" s="566">
        <v>64</v>
      </c>
      <c r="AM51" s="577">
        <v>16</v>
      </c>
      <c r="AN51" s="577">
        <v>1.5</v>
      </c>
      <c r="AO51" s="577">
        <v>40</v>
      </c>
      <c r="AP51" s="577">
        <v>0</v>
      </c>
      <c r="AQ51" s="578">
        <v>0</v>
      </c>
      <c r="AR51" s="566">
        <v>57.5</v>
      </c>
      <c r="AS51" s="577">
        <v>0</v>
      </c>
      <c r="AT51" s="577">
        <v>0</v>
      </c>
      <c r="AU51" s="577">
        <v>0</v>
      </c>
      <c r="AV51" s="577">
        <v>0</v>
      </c>
      <c r="AW51" s="577">
        <v>0</v>
      </c>
      <c r="AX51" s="570">
        <v>0</v>
      </c>
      <c r="AY51" s="577">
        <v>0</v>
      </c>
      <c r="AZ51" s="577">
        <v>0</v>
      </c>
      <c r="BA51" s="577">
        <v>0</v>
      </c>
      <c r="BB51" s="577">
        <v>0</v>
      </c>
      <c r="BC51" s="577">
        <v>0</v>
      </c>
      <c r="BD51" s="570">
        <v>0</v>
      </c>
      <c r="BE51" s="577">
        <v>0</v>
      </c>
      <c r="BF51" s="577">
        <v>0</v>
      </c>
      <c r="BG51" s="577">
        <v>0</v>
      </c>
      <c r="BH51" s="577">
        <v>0</v>
      </c>
      <c r="BI51" s="577">
        <v>0</v>
      </c>
      <c r="BJ51" s="669">
        <v>0</v>
      </c>
      <c r="BK51" s="568">
        <v>145.5</v>
      </c>
    </row>
    <row r="52" spans="1:63" ht="12.75" x14ac:dyDescent="0.25">
      <c r="A52" s="572" t="s">
        <v>562</v>
      </c>
      <c r="B52" s="43" t="s">
        <v>103</v>
      </c>
      <c r="C52" s="43" t="s">
        <v>563</v>
      </c>
      <c r="D52" s="583">
        <v>0</v>
      </c>
      <c r="E52" s="577">
        <v>0</v>
      </c>
      <c r="F52" s="577">
        <v>0</v>
      </c>
      <c r="G52" s="577">
        <v>0</v>
      </c>
      <c r="H52" s="578">
        <v>0</v>
      </c>
      <c r="I52" s="566">
        <v>0</v>
      </c>
      <c r="J52" s="577">
        <v>0</v>
      </c>
      <c r="K52" s="577">
        <v>0</v>
      </c>
      <c r="L52" s="577">
        <v>0</v>
      </c>
      <c r="M52" s="577">
        <v>0</v>
      </c>
      <c r="N52" s="578">
        <v>0</v>
      </c>
      <c r="O52" s="566">
        <v>0</v>
      </c>
      <c r="P52" s="577">
        <v>0</v>
      </c>
      <c r="Q52" s="577">
        <v>0</v>
      </c>
      <c r="R52" s="577">
        <v>0</v>
      </c>
      <c r="S52" s="577">
        <v>0</v>
      </c>
      <c r="T52" s="578">
        <v>0</v>
      </c>
      <c r="U52" s="566">
        <v>0</v>
      </c>
      <c r="V52" s="577">
        <v>0</v>
      </c>
      <c r="W52" s="577">
        <v>0</v>
      </c>
      <c r="X52" s="577">
        <v>0</v>
      </c>
      <c r="Y52" s="578">
        <v>0</v>
      </c>
      <c r="Z52" s="566">
        <v>0</v>
      </c>
      <c r="AA52" s="577">
        <v>0</v>
      </c>
      <c r="AB52" s="577">
        <v>0</v>
      </c>
      <c r="AC52" s="577">
        <v>0</v>
      </c>
      <c r="AD52" s="577">
        <v>0</v>
      </c>
      <c r="AE52" s="578">
        <v>0</v>
      </c>
      <c r="AF52" s="566">
        <v>0</v>
      </c>
      <c r="AG52" s="577">
        <v>0</v>
      </c>
      <c r="AH52" s="577">
        <v>0</v>
      </c>
      <c r="AI52" s="577">
        <v>0</v>
      </c>
      <c r="AJ52" s="577">
        <v>0</v>
      </c>
      <c r="AK52" s="578">
        <v>0</v>
      </c>
      <c r="AL52" s="566">
        <v>0</v>
      </c>
      <c r="AM52" s="577">
        <v>0</v>
      </c>
      <c r="AN52" s="577">
        <v>0</v>
      </c>
      <c r="AO52" s="577">
        <v>0</v>
      </c>
      <c r="AP52" s="577">
        <v>0</v>
      </c>
      <c r="AQ52" s="578">
        <v>10</v>
      </c>
      <c r="AR52" s="566">
        <v>10</v>
      </c>
      <c r="AS52" s="577">
        <v>25</v>
      </c>
      <c r="AT52" s="577">
        <v>47</v>
      </c>
      <c r="AU52" s="577">
        <v>41</v>
      </c>
      <c r="AV52" s="577">
        <v>81</v>
      </c>
      <c r="AW52" s="577">
        <v>74</v>
      </c>
      <c r="AX52" s="570">
        <v>268</v>
      </c>
      <c r="AY52" s="577">
        <v>20.5</v>
      </c>
      <c r="AZ52" s="577">
        <v>62</v>
      </c>
      <c r="BA52" s="577">
        <v>107</v>
      </c>
      <c r="BB52" s="577">
        <v>84</v>
      </c>
      <c r="BC52" s="577">
        <v>97</v>
      </c>
      <c r="BD52" s="570">
        <v>370.5</v>
      </c>
      <c r="BE52" s="577">
        <v>91</v>
      </c>
      <c r="BF52" s="577">
        <v>0</v>
      </c>
      <c r="BG52" s="577">
        <v>0</v>
      </c>
      <c r="BH52" s="577">
        <v>0</v>
      </c>
      <c r="BI52" s="577">
        <v>0</v>
      </c>
      <c r="BJ52" s="669">
        <v>91</v>
      </c>
      <c r="BK52" s="568">
        <v>739.5</v>
      </c>
    </row>
    <row r="53" spans="1:63" ht="12.75" x14ac:dyDescent="0.25">
      <c r="A53" s="572" t="s">
        <v>639</v>
      </c>
      <c r="B53" s="43" t="s">
        <v>50</v>
      </c>
      <c r="C53" s="43" t="s">
        <v>640</v>
      </c>
      <c r="D53" s="583">
        <v>0</v>
      </c>
      <c r="E53" s="577">
        <v>0</v>
      </c>
      <c r="F53" s="577">
        <v>0</v>
      </c>
      <c r="G53" s="577">
        <v>0</v>
      </c>
      <c r="H53" s="578">
        <v>0</v>
      </c>
      <c r="I53" s="566">
        <v>0</v>
      </c>
      <c r="J53" s="577">
        <v>0</v>
      </c>
      <c r="K53" s="577">
        <v>0</v>
      </c>
      <c r="L53" s="577">
        <v>0</v>
      </c>
      <c r="M53" s="577">
        <v>0</v>
      </c>
      <c r="N53" s="578">
        <v>0</v>
      </c>
      <c r="O53" s="566">
        <v>0</v>
      </c>
      <c r="P53" s="577">
        <v>0</v>
      </c>
      <c r="Q53" s="577">
        <v>0</v>
      </c>
      <c r="R53" s="577">
        <v>0</v>
      </c>
      <c r="S53" s="577">
        <v>0</v>
      </c>
      <c r="T53" s="578">
        <v>0</v>
      </c>
      <c r="U53" s="566">
        <v>0</v>
      </c>
      <c r="V53" s="577">
        <v>0</v>
      </c>
      <c r="W53" s="577">
        <v>0</v>
      </c>
      <c r="X53" s="577">
        <v>0</v>
      </c>
      <c r="Y53" s="578">
        <v>0</v>
      </c>
      <c r="Z53" s="566">
        <v>0</v>
      </c>
      <c r="AA53" s="577">
        <v>0</v>
      </c>
      <c r="AB53" s="577">
        <v>0</v>
      </c>
      <c r="AC53" s="577">
        <v>0</v>
      </c>
      <c r="AD53" s="577">
        <v>0</v>
      </c>
      <c r="AE53" s="578">
        <v>0</v>
      </c>
      <c r="AF53" s="566">
        <v>0</v>
      </c>
      <c r="AG53" s="577">
        <v>0</v>
      </c>
      <c r="AH53" s="577">
        <v>0</v>
      </c>
      <c r="AI53" s="577">
        <v>0</v>
      </c>
      <c r="AJ53" s="577">
        <v>0</v>
      </c>
      <c r="AK53" s="578">
        <v>0</v>
      </c>
      <c r="AL53" s="566">
        <v>0</v>
      </c>
      <c r="AM53" s="577">
        <v>16</v>
      </c>
      <c r="AN53" s="577">
        <v>40</v>
      </c>
      <c r="AO53" s="577">
        <v>0</v>
      </c>
      <c r="AP53" s="577">
        <v>16</v>
      </c>
      <c r="AQ53" s="578">
        <v>0</v>
      </c>
      <c r="AR53" s="566">
        <v>72</v>
      </c>
      <c r="AS53" s="577">
        <v>56</v>
      </c>
      <c r="AT53" s="577">
        <v>64</v>
      </c>
      <c r="AU53" s="577">
        <v>40</v>
      </c>
      <c r="AV53" s="577">
        <v>8</v>
      </c>
      <c r="AW53" s="577">
        <v>8</v>
      </c>
      <c r="AX53" s="570">
        <v>176</v>
      </c>
      <c r="AY53" s="577">
        <v>0</v>
      </c>
      <c r="AZ53" s="577">
        <v>2</v>
      </c>
      <c r="BA53" s="577">
        <v>0</v>
      </c>
      <c r="BB53" s="577">
        <v>0</v>
      </c>
      <c r="BC53" s="577">
        <v>0</v>
      </c>
      <c r="BD53" s="570">
        <v>2</v>
      </c>
      <c r="BE53" s="577">
        <v>0</v>
      </c>
      <c r="BF53" s="577">
        <v>0</v>
      </c>
      <c r="BG53" s="577">
        <v>0</v>
      </c>
      <c r="BH53" s="577">
        <v>0</v>
      </c>
      <c r="BI53" s="577">
        <v>0</v>
      </c>
      <c r="BJ53" s="669">
        <v>0</v>
      </c>
      <c r="BK53" s="568">
        <v>250</v>
      </c>
    </row>
    <row r="54" spans="1:63" ht="12.75" x14ac:dyDescent="0.25">
      <c r="A54" s="572" t="s">
        <v>855</v>
      </c>
      <c r="B54" s="43" t="s">
        <v>855</v>
      </c>
      <c r="C54" s="43" t="s">
        <v>856</v>
      </c>
      <c r="D54" s="583">
        <v>0</v>
      </c>
      <c r="E54" s="577">
        <v>0</v>
      </c>
      <c r="F54" s="577">
        <v>0</v>
      </c>
      <c r="G54" s="577">
        <v>0</v>
      </c>
      <c r="H54" s="578">
        <v>0</v>
      </c>
      <c r="I54" s="566">
        <v>0</v>
      </c>
      <c r="J54" s="577">
        <v>0</v>
      </c>
      <c r="K54" s="577">
        <v>0</v>
      </c>
      <c r="L54" s="577">
        <v>0</v>
      </c>
      <c r="M54" s="577">
        <v>0</v>
      </c>
      <c r="N54" s="578">
        <v>0</v>
      </c>
      <c r="O54" s="566">
        <v>0</v>
      </c>
      <c r="P54" s="577">
        <v>0</v>
      </c>
      <c r="Q54" s="577">
        <v>0</v>
      </c>
      <c r="R54" s="577">
        <v>0</v>
      </c>
      <c r="S54" s="577">
        <v>0</v>
      </c>
      <c r="T54" s="578">
        <v>0</v>
      </c>
      <c r="U54" s="566">
        <v>0</v>
      </c>
      <c r="V54" s="577">
        <v>0</v>
      </c>
      <c r="W54" s="577">
        <v>0</v>
      </c>
      <c r="X54" s="577">
        <v>0</v>
      </c>
      <c r="Y54" s="578">
        <v>0</v>
      </c>
      <c r="Z54" s="566">
        <v>0</v>
      </c>
      <c r="AA54" s="577">
        <v>0</v>
      </c>
      <c r="AB54" s="577">
        <v>0</v>
      </c>
      <c r="AC54" s="577">
        <v>0</v>
      </c>
      <c r="AD54" s="577">
        <v>0</v>
      </c>
      <c r="AE54" s="578">
        <v>0</v>
      </c>
      <c r="AF54" s="566">
        <v>0</v>
      </c>
      <c r="AG54" s="577">
        <v>0</v>
      </c>
      <c r="AH54" s="577">
        <v>0</v>
      </c>
      <c r="AI54" s="577">
        <v>0</v>
      </c>
      <c r="AJ54" s="577">
        <v>0</v>
      </c>
      <c r="AK54" s="578">
        <v>0</v>
      </c>
      <c r="AL54" s="566">
        <v>0</v>
      </c>
      <c r="AM54" s="577">
        <v>0</v>
      </c>
      <c r="AN54" s="577">
        <v>0</v>
      </c>
      <c r="AO54" s="577">
        <v>0</v>
      </c>
      <c r="AP54" s="577">
        <v>0</v>
      </c>
      <c r="AQ54" s="578">
        <v>0</v>
      </c>
      <c r="AR54" s="566">
        <v>0</v>
      </c>
      <c r="AS54" s="577">
        <v>0</v>
      </c>
      <c r="AT54" s="577">
        <v>0</v>
      </c>
      <c r="AU54" s="577">
        <v>48</v>
      </c>
      <c r="AV54" s="577">
        <v>48</v>
      </c>
      <c r="AW54" s="577">
        <v>0</v>
      </c>
      <c r="AX54" s="570">
        <v>96</v>
      </c>
      <c r="AY54" s="577">
        <v>0</v>
      </c>
      <c r="AZ54" s="577">
        <v>0</v>
      </c>
      <c r="BA54" s="577">
        <v>16</v>
      </c>
      <c r="BB54" s="577">
        <v>0</v>
      </c>
      <c r="BC54" s="577">
        <v>0</v>
      </c>
      <c r="BD54" s="570">
        <v>16</v>
      </c>
      <c r="BE54" s="577">
        <v>0</v>
      </c>
      <c r="BF54" s="577">
        <v>0</v>
      </c>
      <c r="BG54" s="577">
        <v>0</v>
      </c>
      <c r="BH54" s="577">
        <v>0</v>
      </c>
      <c r="BI54" s="577">
        <v>0</v>
      </c>
      <c r="BJ54" s="669">
        <v>0</v>
      </c>
      <c r="BK54" s="568">
        <v>112</v>
      </c>
    </row>
    <row r="55" spans="1:63" ht="12.75" x14ac:dyDescent="0.25">
      <c r="A55" s="572" t="s">
        <v>913</v>
      </c>
      <c r="B55" s="43" t="s">
        <v>103</v>
      </c>
      <c r="C55" s="43" t="s">
        <v>916</v>
      </c>
      <c r="D55" s="583">
        <v>0</v>
      </c>
      <c r="E55" s="577">
        <v>0</v>
      </c>
      <c r="F55" s="577">
        <v>0</v>
      </c>
      <c r="G55" s="577">
        <v>0</v>
      </c>
      <c r="H55" s="578">
        <v>0</v>
      </c>
      <c r="I55" s="566">
        <v>0</v>
      </c>
      <c r="J55" s="577">
        <v>0</v>
      </c>
      <c r="K55" s="577">
        <v>0</v>
      </c>
      <c r="L55" s="577">
        <v>0</v>
      </c>
      <c r="M55" s="577">
        <v>0</v>
      </c>
      <c r="N55" s="578">
        <v>0</v>
      </c>
      <c r="O55" s="566">
        <v>0</v>
      </c>
      <c r="P55" s="577">
        <v>0</v>
      </c>
      <c r="Q55" s="577">
        <v>0</v>
      </c>
      <c r="R55" s="577">
        <v>0</v>
      </c>
      <c r="S55" s="577">
        <v>0</v>
      </c>
      <c r="T55" s="578">
        <v>0</v>
      </c>
      <c r="U55" s="566">
        <v>0</v>
      </c>
      <c r="V55" s="577">
        <v>0</v>
      </c>
      <c r="W55" s="577">
        <v>0</v>
      </c>
      <c r="X55" s="577">
        <v>0</v>
      </c>
      <c r="Y55" s="578">
        <v>0</v>
      </c>
      <c r="Z55" s="566">
        <v>0</v>
      </c>
      <c r="AA55" s="577">
        <v>0</v>
      </c>
      <c r="AB55" s="577">
        <v>0</v>
      </c>
      <c r="AC55" s="577">
        <v>0</v>
      </c>
      <c r="AD55" s="577">
        <v>0</v>
      </c>
      <c r="AE55" s="578">
        <v>0</v>
      </c>
      <c r="AF55" s="566">
        <v>0</v>
      </c>
      <c r="AG55" s="577">
        <v>0</v>
      </c>
      <c r="AH55" s="577">
        <v>0</v>
      </c>
      <c r="AI55" s="577">
        <v>0</v>
      </c>
      <c r="AJ55" s="577">
        <v>0</v>
      </c>
      <c r="AK55" s="578">
        <v>0</v>
      </c>
      <c r="AL55" s="566">
        <v>0</v>
      </c>
      <c r="AM55" s="577">
        <v>0</v>
      </c>
      <c r="AN55" s="577">
        <v>0</v>
      </c>
      <c r="AO55" s="577">
        <v>0</v>
      </c>
      <c r="AP55" s="577">
        <v>0</v>
      </c>
      <c r="AQ55" s="578">
        <v>0</v>
      </c>
      <c r="AR55" s="566">
        <v>0</v>
      </c>
      <c r="AS55" s="577">
        <v>0</v>
      </c>
      <c r="AT55" s="577">
        <v>0</v>
      </c>
      <c r="AU55" s="577">
        <v>0</v>
      </c>
      <c r="AV55" s="577">
        <v>0</v>
      </c>
      <c r="AW55" s="577">
        <v>0</v>
      </c>
      <c r="AX55" s="570">
        <v>0</v>
      </c>
      <c r="AY55" s="577">
        <v>3.5</v>
      </c>
      <c r="AZ55" s="577">
        <v>61</v>
      </c>
      <c r="BA55" s="577">
        <v>20</v>
      </c>
      <c r="BB55" s="577">
        <v>47</v>
      </c>
      <c r="BC55" s="577">
        <v>30</v>
      </c>
      <c r="BD55" s="570">
        <v>161.5</v>
      </c>
      <c r="BE55" s="577">
        <v>37</v>
      </c>
      <c r="BF55" s="577">
        <v>0</v>
      </c>
      <c r="BG55" s="577">
        <v>0</v>
      </c>
      <c r="BH55" s="577">
        <v>0</v>
      </c>
      <c r="BI55" s="577">
        <v>0</v>
      </c>
      <c r="BJ55" s="669">
        <v>37</v>
      </c>
      <c r="BK55" s="568">
        <v>198.5</v>
      </c>
    </row>
    <row r="56" spans="1:63" ht="12.75" x14ac:dyDescent="0.25">
      <c r="A56" s="572" t="s">
        <v>929</v>
      </c>
      <c r="B56" s="43" t="s">
        <v>84</v>
      </c>
      <c r="C56" s="43" t="s">
        <v>876</v>
      </c>
      <c r="D56" s="583">
        <v>0</v>
      </c>
      <c r="E56" s="577">
        <v>0</v>
      </c>
      <c r="F56" s="577">
        <v>0</v>
      </c>
      <c r="G56" s="577">
        <v>0</v>
      </c>
      <c r="H56" s="578">
        <v>0</v>
      </c>
      <c r="I56" s="566">
        <v>0</v>
      </c>
      <c r="J56" s="577">
        <v>0</v>
      </c>
      <c r="K56" s="577">
        <v>0</v>
      </c>
      <c r="L56" s="577">
        <v>0</v>
      </c>
      <c r="M56" s="577">
        <v>0</v>
      </c>
      <c r="N56" s="578">
        <v>0</v>
      </c>
      <c r="O56" s="566">
        <v>0</v>
      </c>
      <c r="P56" s="577">
        <v>0</v>
      </c>
      <c r="Q56" s="577">
        <v>0</v>
      </c>
      <c r="R56" s="577">
        <v>0</v>
      </c>
      <c r="S56" s="577">
        <v>0</v>
      </c>
      <c r="T56" s="578">
        <v>0</v>
      </c>
      <c r="U56" s="566">
        <v>0</v>
      </c>
      <c r="V56" s="577">
        <v>0</v>
      </c>
      <c r="W56" s="577">
        <v>0</v>
      </c>
      <c r="X56" s="577">
        <v>0</v>
      </c>
      <c r="Y56" s="578">
        <v>0</v>
      </c>
      <c r="Z56" s="566">
        <v>0</v>
      </c>
      <c r="AA56" s="577">
        <v>0</v>
      </c>
      <c r="AB56" s="577">
        <v>0</v>
      </c>
      <c r="AC56" s="577">
        <v>0</v>
      </c>
      <c r="AD56" s="577">
        <v>0</v>
      </c>
      <c r="AE56" s="578">
        <v>0</v>
      </c>
      <c r="AF56" s="566">
        <v>0</v>
      </c>
      <c r="AG56" s="577">
        <v>0</v>
      </c>
      <c r="AH56" s="577">
        <v>0</v>
      </c>
      <c r="AI56" s="577">
        <v>0</v>
      </c>
      <c r="AJ56" s="577">
        <v>0</v>
      </c>
      <c r="AK56" s="578">
        <v>0</v>
      </c>
      <c r="AL56" s="566">
        <v>0</v>
      </c>
      <c r="AM56" s="577">
        <v>0</v>
      </c>
      <c r="AN56" s="577">
        <v>0</v>
      </c>
      <c r="AO56" s="577">
        <v>0</v>
      </c>
      <c r="AP56" s="577">
        <v>0</v>
      </c>
      <c r="AQ56" s="578">
        <v>0</v>
      </c>
      <c r="AR56" s="566">
        <v>0</v>
      </c>
      <c r="AS56" s="577">
        <v>0</v>
      </c>
      <c r="AT56" s="577">
        <v>0</v>
      </c>
      <c r="AU56" s="577">
        <v>40</v>
      </c>
      <c r="AV56" s="577">
        <v>32</v>
      </c>
      <c r="AW56" s="577">
        <v>24</v>
      </c>
      <c r="AX56" s="570">
        <v>96</v>
      </c>
      <c r="AY56" s="577">
        <v>8</v>
      </c>
      <c r="AZ56" s="577">
        <v>40</v>
      </c>
      <c r="BA56" s="577">
        <v>32</v>
      </c>
      <c r="BB56" s="577">
        <v>40</v>
      </c>
      <c r="BC56" s="577">
        <v>32</v>
      </c>
      <c r="BD56" s="570">
        <v>152</v>
      </c>
      <c r="BE56" s="577">
        <v>40</v>
      </c>
      <c r="BF56" s="577">
        <v>0</v>
      </c>
      <c r="BG56" s="577">
        <v>0</v>
      </c>
      <c r="BH56" s="577">
        <v>0</v>
      </c>
      <c r="BI56" s="577">
        <v>0</v>
      </c>
      <c r="BJ56" s="669">
        <v>40</v>
      </c>
      <c r="BK56" s="568">
        <v>288</v>
      </c>
    </row>
    <row r="57" spans="1:63" ht="12.75" x14ac:dyDescent="0.25">
      <c r="A57" s="572" t="s">
        <v>930</v>
      </c>
      <c r="B57" s="43" t="s">
        <v>50</v>
      </c>
      <c r="C57" s="43" t="s">
        <v>409</v>
      </c>
      <c r="D57" s="583">
        <v>0</v>
      </c>
      <c r="E57" s="577">
        <v>0</v>
      </c>
      <c r="F57" s="577">
        <v>0</v>
      </c>
      <c r="G57" s="577">
        <v>0</v>
      </c>
      <c r="H57" s="578">
        <v>0</v>
      </c>
      <c r="I57" s="566">
        <v>0</v>
      </c>
      <c r="J57" s="577">
        <v>0</v>
      </c>
      <c r="K57" s="577">
        <v>0</v>
      </c>
      <c r="L57" s="577">
        <v>0</v>
      </c>
      <c r="M57" s="577">
        <v>0</v>
      </c>
      <c r="N57" s="578">
        <v>0</v>
      </c>
      <c r="O57" s="566">
        <v>0</v>
      </c>
      <c r="P57" s="577">
        <v>0</v>
      </c>
      <c r="Q57" s="577">
        <v>0</v>
      </c>
      <c r="R57" s="577">
        <v>0</v>
      </c>
      <c r="S57" s="577">
        <v>0</v>
      </c>
      <c r="T57" s="578">
        <v>0</v>
      </c>
      <c r="U57" s="566">
        <v>0</v>
      </c>
      <c r="V57" s="577">
        <v>0</v>
      </c>
      <c r="W57" s="577">
        <v>0</v>
      </c>
      <c r="X57" s="577">
        <v>0</v>
      </c>
      <c r="Y57" s="578">
        <v>0</v>
      </c>
      <c r="Z57" s="566">
        <v>0</v>
      </c>
      <c r="AA57" s="577">
        <v>0</v>
      </c>
      <c r="AB57" s="577">
        <v>0</v>
      </c>
      <c r="AC57" s="577">
        <v>32</v>
      </c>
      <c r="AD57" s="577">
        <v>40</v>
      </c>
      <c r="AE57" s="578">
        <v>24</v>
      </c>
      <c r="AF57" s="566">
        <v>96</v>
      </c>
      <c r="AG57" s="577">
        <v>16</v>
      </c>
      <c r="AH57" s="577">
        <v>40</v>
      </c>
      <c r="AI57" s="577">
        <v>40</v>
      </c>
      <c r="AJ57" s="577">
        <v>40</v>
      </c>
      <c r="AK57" s="578">
        <v>32</v>
      </c>
      <c r="AL57" s="566">
        <v>168</v>
      </c>
      <c r="AM57" s="577">
        <v>40</v>
      </c>
      <c r="AN57" s="577">
        <v>40</v>
      </c>
      <c r="AO57" s="577">
        <v>40</v>
      </c>
      <c r="AP57" s="577">
        <v>32</v>
      </c>
      <c r="AQ57" s="578">
        <v>8</v>
      </c>
      <c r="AR57" s="566">
        <v>160</v>
      </c>
      <c r="AS57" s="577">
        <v>32</v>
      </c>
      <c r="AT57" s="577">
        <v>40</v>
      </c>
      <c r="AU57" s="577">
        <v>40</v>
      </c>
      <c r="AV57" s="577">
        <v>40</v>
      </c>
      <c r="AW57" s="577">
        <v>24</v>
      </c>
      <c r="AX57" s="570">
        <v>176</v>
      </c>
      <c r="AY57" s="577">
        <v>8</v>
      </c>
      <c r="AZ57" s="577">
        <v>40</v>
      </c>
      <c r="BA57" s="577">
        <v>40</v>
      </c>
      <c r="BB57" s="577">
        <v>40</v>
      </c>
      <c r="BC57" s="577">
        <v>40</v>
      </c>
      <c r="BD57" s="570">
        <v>168</v>
      </c>
      <c r="BE57" s="577">
        <v>0</v>
      </c>
      <c r="BF57" s="577">
        <v>0</v>
      </c>
      <c r="BG57" s="577">
        <v>0</v>
      </c>
      <c r="BH57" s="577">
        <v>0</v>
      </c>
      <c r="BI57" s="577">
        <v>0</v>
      </c>
      <c r="BJ57" s="669">
        <v>0</v>
      </c>
      <c r="BK57" s="568">
        <v>768</v>
      </c>
    </row>
    <row r="58" spans="1:63" ht="13.5" thickBot="1" x14ac:dyDescent="0.3">
      <c r="A58" s="573" t="s">
        <v>967</v>
      </c>
      <c r="B58" s="43" t="s">
        <v>967</v>
      </c>
      <c r="C58" s="43" t="s">
        <v>968</v>
      </c>
      <c r="D58" s="584">
        <v>0</v>
      </c>
      <c r="E58" s="579">
        <v>0</v>
      </c>
      <c r="F58" s="579">
        <v>0</v>
      </c>
      <c r="G58" s="579">
        <v>0</v>
      </c>
      <c r="H58" s="580">
        <v>0</v>
      </c>
      <c r="I58" s="566">
        <v>0</v>
      </c>
      <c r="J58" s="577">
        <v>0</v>
      </c>
      <c r="K58" s="577">
        <v>0</v>
      </c>
      <c r="L58" s="577">
        <v>0</v>
      </c>
      <c r="M58" s="577">
        <v>0</v>
      </c>
      <c r="N58" s="578">
        <v>0</v>
      </c>
      <c r="O58" s="566">
        <v>0</v>
      </c>
      <c r="P58" s="577">
        <v>0</v>
      </c>
      <c r="Q58" s="577">
        <v>0</v>
      </c>
      <c r="R58" s="577">
        <v>0</v>
      </c>
      <c r="S58" s="577">
        <v>0</v>
      </c>
      <c r="T58" s="578">
        <v>0</v>
      </c>
      <c r="U58" s="566">
        <v>0</v>
      </c>
      <c r="V58" s="577">
        <v>0</v>
      </c>
      <c r="W58" s="577">
        <v>0</v>
      </c>
      <c r="X58" s="577">
        <v>0</v>
      </c>
      <c r="Y58" s="578">
        <v>0</v>
      </c>
      <c r="Z58" s="566">
        <v>0</v>
      </c>
      <c r="AA58" s="577">
        <v>0</v>
      </c>
      <c r="AB58" s="577">
        <v>0</v>
      </c>
      <c r="AC58" s="577">
        <v>0</v>
      </c>
      <c r="AD58" s="577">
        <v>0</v>
      </c>
      <c r="AE58" s="578">
        <v>0</v>
      </c>
      <c r="AF58" s="566">
        <v>0</v>
      </c>
      <c r="AG58" s="577">
        <v>0</v>
      </c>
      <c r="AH58" s="577">
        <v>0</v>
      </c>
      <c r="AI58" s="577">
        <v>0</v>
      </c>
      <c r="AJ58" s="577">
        <v>0</v>
      </c>
      <c r="AK58" s="578">
        <v>0</v>
      </c>
      <c r="AL58" s="566">
        <v>0</v>
      </c>
      <c r="AM58" s="577">
        <v>40</v>
      </c>
      <c r="AN58" s="577">
        <v>40</v>
      </c>
      <c r="AO58" s="577">
        <v>40</v>
      </c>
      <c r="AP58" s="577">
        <v>32</v>
      </c>
      <c r="AQ58" s="578">
        <v>8</v>
      </c>
      <c r="AR58" s="566">
        <v>160</v>
      </c>
      <c r="AS58" s="577">
        <v>32</v>
      </c>
      <c r="AT58" s="577">
        <v>40</v>
      </c>
      <c r="AU58" s="577">
        <v>40</v>
      </c>
      <c r="AV58" s="577">
        <v>64</v>
      </c>
      <c r="AW58" s="577">
        <v>40</v>
      </c>
      <c r="AX58" s="570">
        <v>216</v>
      </c>
      <c r="AY58" s="577">
        <v>8</v>
      </c>
      <c r="AZ58" s="577">
        <v>40</v>
      </c>
      <c r="BA58" s="577">
        <v>40</v>
      </c>
      <c r="BB58" s="577">
        <v>66</v>
      </c>
      <c r="BC58" s="577">
        <v>55</v>
      </c>
      <c r="BD58" s="570">
        <v>209</v>
      </c>
      <c r="BE58" s="577">
        <v>53</v>
      </c>
      <c r="BF58" s="577">
        <v>0</v>
      </c>
      <c r="BG58" s="577">
        <v>0</v>
      </c>
      <c r="BH58" s="577">
        <v>0</v>
      </c>
      <c r="BI58" s="577">
        <v>0</v>
      </c>
      <c r="BJ58" s="669">
        <v>53</v>
      </c>
      <c r="BK58" s="568">
        <v>611</v>
      </c>
    </row>
    <row r="59" spans="1:63" ht="13.5" thickBot="1" x14ac:dyDescent="0.25">
      <c r="A59" s="670" t="s">
        <v>153</v>
      </c>
      <c r="B59" s="671"/>
      <c r="C59" s="671"/>
      <c r="D59" s="666">
        <v>1816</v>
      </c>
      <c r="E59" s="667">
        <v>1850</v>
      </c>
      <c r="F59" s="667">
        <v>1880</v>
      </c>
      <c r="G59" s="667">
        <v>1880</v>
      </c>
      <c r="H59" s="668">
        <v>752</v>
      </c>
      <c r="I59" s="675">
        <v>8178</v>
      </c>
      <c r="J59" s="667">
        <v>1128</v>
      </c>
      <c r="K59" s="667">
        <v>1880</v>
      </c>
      <c r="L59" s="667">
        <v>1864</v>
      </c>
      <c r="M59" s="667">
        <v>1840</v>
      </c>
      <c r="N59" s="668">
        <v>736</v>
      </c>
      <c r="O59" s="675">
        <v>7448</v>
      </c>
      <c r="P59" s="667">
        <v>1104</v>
      </c>
      <c r="Q59" s="667">
        <v>1840</v>
      </c>
      <c r="R59" s="667">
        <v>1784</v>
      </c>
      <c r="S59" s="667">
        <v>1792</v>
      </c>
      <c r="T59" s="668">
        <v>1840</v>
      </c>
      <c r="U59" s="675">
        <v>8360</v>
      </c>
      <c r="V59" s="667">
        <v>1784</v>
      </c>
      <c r="W59" s="667">
        <v>1096</v>
      </c>
      <c r="X59" s="667">
        <v>1800</v>
      </c>
      <c r="Y59" s="668">
        <v>1840</v>
      </c>
      <c r="Z59" s="675">
        <v>6520</v>
      </c>
      <c r="AA59" s="667">
        <v>1472</v>
      </c>
      <c r="AB59" s="667">
        <v>1858.5</v>
      </c>
      <c r="AC59" s="667">
        <v>1904</v>
      </c>
      <c r="AD59" s="667">
        <v>1920</v>
      </c>
      <c r="AE59" s="668">
        <v>1144</v>
      </c>
      <c r="AF59" s="675">
        <v>8298.5</v>
      </c>
      <c r="AG59" s="667">
        <v>752</v>
      </c>
      <c r="AH59" s="667">
        <v>1856</v>
      </c>
      <c r="AI59" s="667">
        <v>1920</v>
      </c>
      <c r="AJ59" s="667">
        <v>1848</v>
      </c>
      <c r="AK59" s="668">
        <v>1440</v>
      </c>
      <c r="AL59" s="675">
        <v>7816</v>
      </c>
      <c r="AM59" s="667">
        <v>1680</v>
      </c>
      <c r="AN59" s="667">
        <v>1640</v>
      </c>
      <c r="AO59" s="667">
        <v>1688</v>
      </c>
      <c r="AP59" s="667">
        <v>1344</v>
      </c>
      <c r="AQ59" s="668">
        <v>336</v>
      </c>
      <c r="AR59" s="668">
        <v>6688</v>
      </c>
      <c r="AS59" s="667">
        <v>1328</v>
      </c>
      <c r="AT59" s="667">
        <v>1704</v>
      </c>
      <c r="AU59" s="667">
        <v>1784</v>
      </c>
      <c r="AV59" s="667">
        <v>1792</v>
      </c>
      <c r="AW59" s="667">
        <v>1056</v>
      </c>
      <c r="AX59" s="672">
        <v>7664</v>
      </c>
      <c r="AY59" s="667">
        <v>352</v>
      </c>
      <c r="AZ59" s="667">
        <v>1760</v>
      </c>
      <c r="BA59" s="667">
        <v>1760</v>
      </c>
      <c r="BB59" s="667">
        <v>1720</v>
      </c>
      <c r="BC59" s="667">
        <v>1784</v>
      </c>
      <c r="BD59" s="672">
        <v>7376</v>
      </c>
      <c r="BE59" s="667">
        <v>1720</v>
      </c>
      <c r="BF59" s="667">
        <v>0</v>
      </c>
      <c r="BG59" s="667">
        <v>0</v>
      </c>
      <c r="BH59" s="667">
        <v>0</v>
      </c>
      <c r="BI59" s="667">
        <v>0</v>
      </c>
      <c r="BJ59" s="674">
        <v>1720</v>
      </c>
      <c r="BK59" s="672">
        <v>70041.5</v>
      </c>
    </row>
    <row r="60" spans="1:63" ht="1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</row>
    <row r="61" spans="1:63" ht="15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</row>
    <row r="62" spans="1:63" ht="15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</row>
    <row r="63" spans="1:63" ht="15.75" thickBot="1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</row>
    <row r="64" spans="1:63" ht="15.75" thickBot="1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</row>
    <row r="65" spans="1:37" ht="15.75" thickBot="1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</row>
    <row r="66" spans="1:37" ht="15.75" thickBot="1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</row>
    <row r="67" spans="1:37" ht="15.75" thickBot="1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</row>
    <row r="68" spans="1:37" ht="15.75" thickBot="1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</row>
    <row r="69" spans="1:37" ht="15.75" thickBot="1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</row>
    <row r="70" spans="1:37" ht="15.75" thickBot="1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</row>
    <row r="71" spans="1:37" ht="15.75" thickBot="1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</row>
    <row r="72" spans="1:37" ht="15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</row>
    <row r="73" spans="1:37" ht="15.75" thickBot="1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</row>
    <row r="74" spans="1:37" ht="15.75" thickBot="1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</row>
    <row r="75" spans="1:37" ht="15.75" thickBot="1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</row>
    <row r="76" spans="1:37" ht="15.75" thickBot="1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</row>
    <row r="77" spans="1:37" ht="15.75" thickBot="1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</row>
    <row r="78" spans="1:37" ht="15.75" thickBot="1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</row>
    <row r="79" spans="1:37" ht="15.75" thickBot="1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</row>
    <row r="80" spans="1:37" ht="15.75" thickBot="1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</row>
    <row r="81" spans="1:37" ht="15.75" thickBot="1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</row>
    <row r="82" spans="1:37" ht="15.75" thickBot="1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</row>
    <row r="83" spans="1:37" ht="15.75" thickBot="1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</row>
    <row r="84" spans="1:37" ht="15.75" thickBot="1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</row>
    <row r="85" spans="1:37" ht="15.75" thickBot="1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</row>
    <row r="86" spans="1:37" ht="15.75" thickBot="1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</row>
    <row r="87" spans="1:37" ht="15.75" thickBot="1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</row>
    <row r="88" spans="1:37" ht="15.75" thickBot="1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</row>
    <row r="89" spans="1:37" ht="15.75" thickBot="1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</row>
    <row r="90" spans="1:37" ht="15.75" thickBot="1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</row>
    <row r="91" spans="1:37" ht="15.75" thickBot="1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</row>
    <row r="92" spans="1:37" ht="15.75" thickBot="1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</row>
    <row r="93" spans="1:37" ht="15.75" thickBot="1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</row>
    <row r="94" spans="1:37" ht="15.75" thickBot="1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</row>
    <row r="95" spans="1:37" ht="15.75" thickBot="1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</row>
    <row r="96" spans="1:37" ht="15.75" thickBot="1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</row>
    <row r="97" spans="1:37" ht="15.75" thickBot="1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</row>
    <row r="98" spans="1:37" ht="15.75" thickBot="1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</row>
    <row r="99" spans="1:37" ht="15.75" thickBot="1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</row>
    <row r="100" spans="1:37" ht="15.75" thickBot="1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</row>
    <row r="101" spans="1:37" ht="15.75" thickBot="1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</row>
    <row r="102" spans="1:37" ht="15.75" thickBot="1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</row>
    <row r="103" spans="1:37" ht="15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</row>
    <row r="104" spans="1:37" ht="15.75" thickBot="1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</row>
    <row r="105" spans="1:37" ht="15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</row>
    <row r="106" spans="1:37" ht="15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</row>
    <row r="107" spans="1:37" ht="15.75" thickBot="1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</row>
  </sheetData>
  <mergeCells count="1">
    <mergeCell ref="G4:H4"/>
  </mergeCells>
  <hyperlinks>
    <hyperlink ref="G1" location="Distribucion_horas!A1" display="Volver a General"/>
    <hyperlink ref="G4:H4" location="'Rentabilidad x Proy'!A1" display="Ir a Rentabilidad x Proyecto"/>
  </hyperlinks>
  <pageMargins left="0.7" right="0.7" top="0.75" bottom="0.75" header="0.3" footer="0.3"/>
  <pageSetup paperSize="9" scale="30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99FF66"/>
  </sheetPr>
  <dimension ref="B2:I40"/>
  <sheetViews>
    <sheetView workbookViewId="0">
      <selection activeCell="G40" sqref="G40"/>
    </sheetView>
  </sheetViews>
  <sheetFormatPr baseColWidth="10" defaultRowHeight="15" x14ac:dyDescent="0.25"/>
  <cols>
    <col min="2" max="2" width="89" customWidth="1"/>
    <col min="3" max="3" width="7.5703125" customWidth="1"/>
    <col min="4" max="4" width="8.85546875" customWidth="1"/>
    <col min="5" max="5" width="7.7109375" customWidth="1"/>
    <col min="6" max="9" width="7.5703125" customWidth="1"/>
    <col min="10" max="10" width="8.85546875" customWidth="1"/>
    <col min="11" max="11" width="9" customWidth="1"/>
    <col min="12" max="12" width="9.42578125" customWidth="1"/>
    <col min="13" max="13" width="9" customWidth="1"/>
    <col min="14" max="14" width="14.28515625" customWidth="1"/>
    <col min="15" max="15" width="11.85546875" customWidth="1"/>
    <col min="16" max="16" width="10.7109375" customWidth="1"/>
    <col min="17" max="17" width="10" customWidth="1"/>
    <col min="18" max="18" width="11.7109375" customWidth="1"/>
    <col min="19" max="19" width="11.5703125" customWidth="1"/>
    <col min="20" max="20" width="10.140625" customWidth="1"/>
    <col min="21" max="21" width="9.28515625" customWidth="1"/>
    <col min="22" max="22" width="8" customWidth="1"/>
    <col min="23" max="23" width="12.5703125" customWidth="1"/>
    <col min="24" max="24" width="15.85546875" customWidth="1"/>
    <col min="25" max="25" width="12" customWidth="1"/>
    <col min="26" max="26" width="12.140625" customWidth="1"/>
    <col min="27" max="27" width="11.28515625" customWidth="1"/>
    <col min="28" max="28" width="8.7109375" customWidth="1"/>
    <col min="29" max="29" width="10" customWidth="1"/>
    <col min="30" max="30" width="9.7109375" customWidth="1"/>
    <col min="31" max="31" width="8.85546875" customWidth="1"/>
    <col min="32" max="32" width="11" customWidth="1"/>
    <col min="33" max="33" width="9.42578125" customWidth="1"/>
    <col min="34" max="34" width="7.85546875" customWidth="1"/>
    <col min="35" max="35" width="14.28515625" customWidth="1"/>
    <col min="36" max="36" width="11.85546875" customWidth="1"/>
    <col min="37" max="37" width="10.7109375" customWidth="1"/>
    <col min="38" max="38" width="9.28515625" customWidth="1"/>
    <col min="39" max="39" width="11.7109375" customWidth="1"/>
    <col min="40" max="40" width="11.5703125" customWidth="1"/>
    <col min="41" max="41" width="10.140625" customWidth="1"/>
    <col min="42" max="42" width="9.28515625" customWidth="1"/>
    <col min="43" max="43" width="7" customWidth="1"/>
    <col min="44" max="44" width="12.5703125" customWidth="1"/>
    <col min="45" max="45" width="14.7109375" customWidth="1"/>
    <col min="46" max="46" width="12" customWidth="1"/>
    <col min="47" max="47" width="12.140625" customWidth="1"/>
    <col min="48" max="48" width="11.28515625" customWidth="1"/>
    <col min="49" max="50" width="12" customWidth="1"/>
    <col min="51" max="51" width="9.7109375" customWidth="1"/>
    <col min="52" max="52" width="10" customWidth="1"/>
    <col min="53" max="53" width="12" customWidth="1"/>
    <col min="54" max="54" width="9.42578125" customWidth="1"/>
    <col min="55" max="55" width="7.85546875" customWidth="1"/>
    <col min="56" max="56" width="14.28515625" customWidth="1"/>
    <col min="57" max="57" width="12" customWidth="1"/>
    <col min="58" max="58" width="10.7109375" customWidth="1"/>
    <col min="59" max="59" width="11" customWidth="1"/>
    <col min="60" max="60" width="11.7109375" customWidth="1"/>
    <col min="61" max="61" width="12" customWidth="1"/>
    <col min="62" max="62" width="10.140625" customWidth="1"/>
    <col min="63" max="63" width="12" customWidth="1"/>
    <col min="64" max="64" width="4.7109375" customWidth="1"/>
    <col min="65" max="65" width="12.5703125" customWidth="1"/>
    <col min="66" max="66" width="13" customWidth="1"/>
    <col min="67" max="67" width="12" customWidth="1"/>
    <col min="68" max="68" width="12.140625" customWidth="1"/>
    <col min="69" max="69" width="11.28515625" customWidth="1"/>
    <col min="70" max="70" width="8.7109375" customWidth="1"/>
    <col min="71" max="71" width="12" customWidth="1"/>
    <col min="72" max="72" width="9.7109375" customWidth="1"/>
    <col min="73" max="74" width="12" customWidth="1"/>
    <col min="75" max="75" width="9.42578125" customWidth="1"/>
    <col min="76" max="76" width="7.85546875" customWidth="1"/>
    <col min="77" max="77" width="14.28515625" customWidth="1"/>
    <col min="78" max="78" width="11.85546875" customWidth="1"/>
    <col min="79" max="82" width="12" customWidth="1"/>
    <col min="83" max="83" width="10.140625" customWidth="1"/>
    <col min="84" max="85" width="12" customWidth="1"/>
    <col min="86" max="86" width="12.5703125" customWidth="1"/>
    <col min="87" max="87" width="13.7109375" customWidth="1"/>
    <col min="88" max="88" width="12" customWidth="1"/>
    <col min="89" max="89" width="12.140625" customWidth="1"/>
    <col min="90" max="90" width="11.28515625" customWidth="1"/>
    <col min="91" max="91" width="8.7109375" customWidth="1"/>
    <col min="92" max="95" width="12" customWidth="1"/>
    <col min="96" max="96" width="9.42578125" customWidth="1"/>
    <col min="97" max="97" width="7.85546875" customWidth="1"/>
    <col min="98" max="98" width="14.28515625" customWidth="1"/>
    <col min="99" max="103" width="12" customWidth="1"/>
    <col min="104" max="104" width="10.140625" customWidth="1"/>
    <col min="105" max="106" width="12" customWidth="1"/>
    <col min="107" max="107" width="12.5703125" customWidth="1"/>
    <col min="108" max="108" width="13.5703125" customWidth="1"/>
    <col min="109" max="109" width="12" customWidth="1"/>
    <col min="110" max="110" width="12.140625" customWidth="1"/>
    <col min="111" max="111" width="11.28515625" customWidth="1"/>
    <col min="112" max="113" width="12" customWidth="1"/>
    <col min="114" max="114" width="9.7109375" customWidth="1"/>
    <col min="115" max="115" width="8.85546875" customWidth="1"/>
    <col min="116" max="116" width="12" customWidth="1"/>
    <col min="117" max="117" width="11" customWidth="1"/>
    <col min="118" max="118" width="7.85546875" customWidth="1"/>
    <col min="119" max="119" width="14.28515625" customWidth="1"/>
    <col min="120" max="120" width="12" customWidth="1"/>
    <col min="121" max="121" width="10.7109375" customWidth="1"/>
    <col min="122" max="127" width="12" customWidth="1"/>
    <col min="128" max="128" width="12.5703125" customWidth="1"/>
    <col min="129" max="129" width="13" customWidth="1"/>
    <col min="130" max="130" width="12" customWidth="1"/>
    <col min="131" max="131" width="12.140625" customWidth="1"/>
    <col min="132" max="132" width="11.28515625" customWidth="1"/>
    <col min="133" max="133" width="8.7109375" customWidth="1"/>
    <col min="134" max="134" width="7.42578125" customWidth="1"/>
    <col min="135" max="135" width="9.7109375" customWidth="1"/>
    <col min="136" max="136" width="8.85546875" customWidth="1"/>
    <col min="137" max="137" width="10" customWidth="1"/>
    <col min="138" max="138" width="9.42578125" customWidth="1"/>
    <col min="139" max="139" width="7.85546875" customWidth="1"/>
    <col min="140" max="140" width="14.28515625" customWidth="1"/>
    <col min="141" max="141" width="12" customWidth="1"/>
    <col min="142" max="142" width="10.7109375" customWidth="1"/>
    <col min="143" max="143" width="10" customWidth="1"/>
    <col min="144" max="144" width="11.7109375" customWidth="1"/>
    <col min="145" max="145" width="11.5703125" customWidth="1"/>
    <col min="146" max="146" width="10.140625" customWidth="1"/>
    <col min="147" max="147" width="9.28515625" customWidth="1"/>
    <col min="148" max="148" width="4.7109375" customWidth="1"/>
    <col min="149" max="149" width="12.5703125" customWidth="1"/>
    <col min="150" max="150" width="19" customWidth="1"/>
    <col min="151" max="151" width="20.85546875" customWidth="1"/>
    <col min="152" max="152" width="19.7109375" customWidth="1"/>
    <col min="153" max="153" width="18" customWidth="1"/>
    <col min="154" max="154" width="18.7109375" customWidth="1"/>
    <col min="155" max="155" width="18.5703125" customWidth="1"/>
    <col min="156" max="156" width="18" customWidth="1"/>
    <col min="157" max="157" width="43.28515625" bestFit="1" customWidth="1"/>
    <col min="158" max="158" width="24" bestFit="1" customWidth="1"/>
    <col min="159" max="159" width="27.140625" bestFit="1" customWidth="1"/>
    <col min="160" max="160" width="24" bestFit="1" customWidth="1"/>
    <col min="161" max="161" width="27.140625" customWidth="1"/>
    <col min="162" max="162" width="24.7109375" customWidth="1"/>
    <col min="163" max="163" width="27.85546875" customWidth="1"/>
    <col min="164" max="164" width="24.140625" customWidth="1"/>
    <col min="165" max="165" width="27.28515625" customWidth="1"/>
    <col min="166" max="166" width="49.85546875" customWidth="1"/>
    <col min="167" max="167" width="53" bestFit="1" customWidth="1"/>
    <col min="168" max="168" width="84.140625" bestFit="1" customWidth="1"/>
    <col min="169" max="169" width="87.28515625" customWidth="1"/>
    <col min="170" max="170" width="91" bestFit="1" customWidth="1"/>
    <col min="171" max="171" width="94.140625" bestFit="1" customWidth="1"/>
    <col min="172" max="172" width="63.140625" bestFit="1" customWidth="1"/>
    <col min="173" max="173" width="66.28515625" bestFit="1" customWidth="1"/>
    <col min="174" max="174" width="50.28515625" bestFit="1" customWidth="1"/>
    <col min="175" max="175" width="53.42578125" customWidth="1"/>
    <col min="176" max="176" width="69.5703125" customWidth="1"/>
    <col min="177" max="177" width="72.7109375" bestFit="1" customWidth="1"/>
    <col min="178" max="178" width="43" bestFit="1" customWidth="1"/>
    <col min="179" max="179" width="46.140625" customWidth="1"/>
    <col min="180" max="180" width="57.7109375" bestFit="1" customWidth="1"/>
    <col min="181" max="181" width="60.85546875" bestFit="1" customWidth="1"/>
    <col min="182" max="182" width="89.28515625" bestFit="1" customWidth="1"/>
    <col min="183" max="183" width="92.42578125" bestFit="1" customWidth="1"/>
    <col min="184" max="184" width="37.28515625" customWidth="1"/>
    <col min="185" max="185" width="40.42578125" customWidth="1"/>
    <col min="186" max="186" width="36.28515625" customWidth="1"/>
    <col min="187" max="187" width="39.42578125" bestFit="1" customWidth="1"/>
    <col min="188" max="188" width="53" bestFit="1" customWidth="1"/>
    <col min="189" max="189" width="56.140625" bestFit="1" customWidth="1"/>
    <col min="190" max="190" width="38.7109375" bestFit="1" customWidth="1"/>
    <col min="191" max="191" width="41.85546875" bestFit="1" customWidth="1"/>
    <col min="192" max="192" width="20.42578125" customWidth="1"/>
    <col min="193" max="193" width="23.5703125" customWidth="1"/>
    <col min="194" max="194" width="81.140625" bestFit="1" customWidth="1"/>
    <col min="195" max="195" width="84.28515625" bestFit="1" customWidth="1"/>
    <col min="196" max="196" width="80.140625" bestFit="1" customWidth="1"/>
    <col min="197" max="197" width="83.28515625" bestFit="1" customWidth="1"/>
    <col min="198" max="198" width="41.140625" bestFit="1" customWidth="1"/>
    <col min="199" max="199" width="44.28515625" customWidth="1"/>
    <col min="200" max="200" width="17.42578125" customWidth="1"/>
    <col min="201" max="201" width="20.5703125" customWidth="1"/>
    <col min="202" max="202" width="72.140625" bestFit="1" customWidth="1"/>
    <col min="203" max="203" width="75.28515625" bestFit="1" customWidth="1"/>
    <col min="204" max="204" width="26.42578125" customWidth="1"/>
    <col min="205" max="205" width="29.5703125" customWidth="1"/>
    <col min="206" max="206" width="40.85546875" customWidth="1"/>
    <col min="207" max="207" width="44" customWidth="1"/>
    <col min="208" max="208" width="43.140625" bestFit="1" customWidth="1"/>
    <col min="209" max="209" width="46.28515625" bestFit="1" customWidth="1"/>
    <col min="210" max="210" width="20.7109375" customWidth="1"/>
    <col min="211" max="211" width="23.85546875" customWidth="1"/>
    <col min="212" max="212" width="56.85546875" bestFit="1" customWidth="1"/>
    <col min="213" max="213" width="60" customWidth="1"/>
    <col min="214" max="214" width="56.42578125" customWidth="1"/>
    <col min="215" max="215" width="59.5703125" bestFit="1" customWidth="1"/>
    <col min="216" max="216" width="50" bestFit="1" customWidth="1"/>
    <col min="217" max="217" width="53.140625" customWidth="1"/>
    <col min="218" max="218" width="38.5703125" bestFit="1" customWidth="1"/>
    <col min="219" max="219" width="41.5703125" bestFit="1" customWidth="1"/>
    <col min="220" max="220" width="38.140625" customWidth="1"/>
    <col min="221" max="221" width="41.28515625" bestFit="1" customWidth="1"/>
    <col min="222" max="222" width="45.7109375" customWidth="1"/>
    <col min="223" max="223" width="48.85546875" customWidth="1"/>
    <col min="224" max="224" width="15.140625" customWidth="1"/>
    <col min="225" max="225" width="18.28515625" customWidth="1"/>
    <col min="226" max="226" width="23.42578125" customWidth="1"/>
    <col min="227" max="227" width="26.5703125" customWidth="1"/>
    <col min="228" max="228" width="25.28515625" bestFit="1" customWidth="1"/>
    <col min="229" max="229" width="28.42578125" bestFit="1" customWidth="1"/>
    <col min="230" max="230" width="28.5703125" bestFit="1" customWidth="1"/>
    <col min="231" max="231" width="31.7109375" bestFit="1" customWidth="1"/>
    <col min="232" max="232" width="40.140625" bestFit="1" customWidth="1"/>
    <col min="233" max="233" width="43.28515625" bestFit="1" customWidth="1"/>
    <col min="234" max="234" width="24" bestFit="1" customWidth="1"/>
    <col min="235" max="235" width="27.140625" bestFit="1" customWidth="1"/>
    <col min="236" max="236" width="24" bestFit="1" customWidth="1"/>
    <col min="237" max="237" width="27.140625" customWidth="1"/>
    <col min="238" max="238" width="24.7109375" customWidth="1"/>
    <col min="239" max="239" width="27.85546875" customWidth="1"/>
    <col min="240" max="240" width="24.140625" customWidth="1"/>
    <col min="241" max="241" width="27.28515625" customWidth="1"/>
    <col min="242" max="242" width="49.85546875" customWidth="1"/>
    <col min="243" max="243" width="53" bestFit="1" customWidth="1"/>
    <col min="244" max="244" width="84.140625" bestFit="1" customWidth="1"/>
    <col min="245" max="245" width="87.28515625" customWidth="1"/>
    <col min="246" max="246" width="91" bestFit="1" customWidth="1"/>
    <col min="247" max="247" width="94.140625" bestFit="1" customWidth="1"/>
    <col min="248" max="248" width="63.140625" bestFit="1" customWidth="1"/>
    <col min="249" max="249" width="66.28515625" bestFit="1" customWidth="1"/>
    <col min="250" max="250" width="50.28515625" bestFit="1" customWidth="1"/>
    <col min="251" max="251" width="53.42578125" customWidth="1"/>
    <col min="252" max="252" width="69.5703125" customWidth="1"/>
    <col min="253" max="253" width="72.7109375" bestFit="1" customWidth="1"/>
    <col min="254" max="254" width="43" bestFit="1" customWidth="1"/>
    <col min="255" max="255" width="46.140625" customWidth="1"/>
    <col min="256" max="256" width="57.7109375" bestFit="1" customWidth="1"/>
    <col min="257" max="257" width="60.85546875" bestFit="1" customWidth="1"/>
    <col min="258" max="258" width="89.28515625" bestFit="1" customWidth="1"/>
    <col min="259" max="259" width="92.42578125" bestFit="1" customWidth="1"/>
    <col min="260" max="260" width="37.28515625" customWidth="1"/>
    <col min="261" max="261" width="40.42578125" customWidth="1"/>
    <col min="262" max="262" width="36.28515625" customWidth="1"/>
    <col min="263" max="263" width="39.42578125" bestFit="1" customWidth="1"/>
    <col min="264" max="264" width="53" bestFit="1" customWidth="1"/>
    <col min="265" max="265" width="56.140625" bestFit="1" customWidth="1"/>
    <col min="266" max="266" width="38.7109375" bestFit="1" customWidth="1"/>
    <col min="267" max="267" width="41.85546875" bestFit="1" customWidth="1"/>
    <col min="268" max="268" width="20.42578125" customWidth="1"/>
    <col min="269" max="269" width="23.5703125" bestFit="1" customWidth="1"/>
    <col min="270" max="270" width="81.140625" bestFit="1" customWidth="1"/>
    <col min="271" max="271" width="84.28515625" bestFit="1" customWidth="1"/>
    <col min="272" max="272" width="80.140625" bestFit="1" customWidth="1"/>
    <col min="273" max="273" width="83.28515625" bestFit="1" customWidth="1"/>
    <col min="274" max="274" width="41.140625" bestFit="1" customWidth="1"/>
    <col min="275" max="275" width="44.28515625" bestFit="1" customWidth="1"/>
    <col min="276" max="276" width="17.42578125" bestFit="1" customWidth="1"/>
    <col min="277" max="277" width="20.5703125" bestFit="1" customWidth="1"/>
    <col min="278" max="278" width="72.140625" bestFit="1" customWidth="1"/>
    <col min="279" max="279" width="75.28515625" bestFit="1" customWidth="1"/>
    <col min="280" max="280" width="26.42578125" bestFit="1" customWidth="1"/>
    <col min="281" max="281" width="29.5703125" bestFit="1" customWidth="1"/>
    <col min="282" max="282" width="40.85546875" bestFit="1" customWidth="1"/>
    <col min="283" max="283" width="44" bestFit="1" customWidth="1"/>
    <col min="284" max="284" width="43.140625" bestFit="1" customWidth="1"/>
    <col min="285" max="285" width="46.28515625" bestFit="1" customWidth="1"/>
    <col min="286" max="286" width="20.7109375" bestFit="1" customWidth="1"/>
    <col min="287" max="287" width="23.85546875" bestFit="1" customWidth="1"/>
    <col min="288" max="288" width="56.85546875" bestFit="1" customWidth="1"/>
    <col min="289" max="289" width="60" bestFit="1" customWidth="1"/>
    <col min="290" max="290" width="56.42578125" bestFit="1" customWidth="1"/>
    <col min="291" max="291" width="59.5703125" bestFit="1" customWidth="1"/>
    <col min="292" max="292" width="50" bestFit="1" customWidth="1"/>
    <col min="293" max="293" width="53.140625" bestFit="1" customWidth="1"/>
    <col min="294" max="294" width="38.5703125" bestFit="1" customWidth="1"/>
    <col min="295" max="295" width="41.5703125" bestFit="1" customWidth="1"/>
    <col min="296" max="296" width="38.140625" bestFit="1" customWidth="1"/>
    <col min="297" max="297" width="41.28515625" bestFit="1" customWidth="1"/>
    <col min="298" max="298" width="45.7109375" bestFit="1" customWidth="1"/>
    <col min="299" max="299" width="48.85546875" bestFit="1" customWidth="1"/>
    <col min="300" max="300" width="15.140625" bestFit="1" customWidth="1"/>
    <col min="301" max="301" width="18.28515625" bestFit="1" customWidth="1"/>
    <col min="302" max="302" width="23.42578125" bestFit="1" customWidth="1"/>
    <col min="303" max="303" width="26.5703125" bestFit="1" customWidth="1"/>
    <col min="304" max="304" width="25.28515625" bestFit="1" customWidth="1"/>
    <col min="305" max="305" width="28.42578125" bestFit="1" customWidth="1"/>
    <col min="306" max="306" width="28.5703125" bestFit="1" customWidth="1"/>
    <col min="307" max="307" width="31.7109375" bestFit="1" customWidth="1"/>
    <col min="308" max="308" width="40.140625" bestFit="1" customWidth="1"/>
    <col min="309" max="309" width="43.28515625" bestFit="1" customWidth="1"/>
    <col min="310" max="310" width="24" bestFit="1" customWidth="1"/>
    <col min="311" max="311" width="27.140625" bestFit="1" customWidth="1"/>
    <col min="312" max="312" width="24" bestFit="1" customWidth="1"/>
    <col min="313" max="313" width="27.140625" bestFit="1" customWidth="1"/>
    <col min="314" max="314" width="24.7109375" bestFit="1" customWidth="1"/>
    <col min="315" max="315" width="27.85546875" bestFit="1" customWidth="1"/>
    <col min="316" max="316" width="24.140625" bestFit="1" customWidth="1"/>
    <col min="317" max="317" width="27.28515625" bestFit="1" customWidth="1"/>
    <col min="318" max="318" width="49.85546875" bestFit="1" customWidth="1"/>
    <col min="319" max="319" width="53" bestFit="1" customWidth="1"/>
    <col min="320" max="320" width="84.140625" bestFit="1" customWidth="1"/>
    <col min="321" max="321" width="87.28515625" bestFit="1" customWidth="1"/>
    <col min="322" max="322" width="91" bestFit="1" customWidth="1"/>
    <col min="323" max="323" width="94.140625" bestFit="1" customWidth="1"/>
    <col min="324" max="324" width="63.140625" bestFit="1" customWidth="1"/>
    <col min="325" max="325" width="66.28515625" bestFit="1" customWidth="1"/>
    <col min="326" max="326" width="50.28515625" bestFit="1" customWidth="1"/>
    <col min="327" max="327" width="53.42578125" bestFit="1" customWidth="1"/>
    <col min="328" max="328" width="69.5703125" bestFit="1" customWidth="1"/>
    <col min="329" max="329" width="72.7109375" bestFit="1" customWidth="1"/>
    <col min="330" max="330" width="43" bestFit="1" customWidth="1"/>
    <col min="331" max="331" width="46.140625" bestFit="1" customWidth="1"/>
    <col min="332" max="332" width="57.7109375" bestFit="1" customWidth="1"/>
    <col min="333" max="333" width="60.85546875" bestFit="1" customWidth="1"/>
    <col min="334" max="334" width="89.28515625" bestFit="1" customWidth="1"/>
    <col min="335" max="335" width="92.42578125" bestFit="1" customWidth="1"/>
    <col min="336" max="336" width="37.28515625" bestFit="1" customWidth="1"/>
    <col min="337" max="337" width="40.42578125" bestFit="1" customWidth="1"/>
    <col min="338" max="338" width="36.28515625" bestFit="1" customWidth="1"/>
    <col min="339" max="339" width="39.42578125" bestFit="1" customWidth="1"/>
    <col min="340" max="340" width="53" bestFit="1" customWidth="1"/>
    <col min="341" max="341" width="56.140625" bestFit="1" customWidth="1"/>
    <col min="342" max="342" width="38.7109375" bestFit="1" customWidth="1"/>
    <col min="343" max="343" width="41.85546875" bestFit="1" customWidth="1"/>
    <col min="344" max="344" width="20.42578125" bestFit="1" customWidth="1"/>
    <col min="345" max="345" width="23.5703125" bestFit="1" customWidth="1"/>
    <col min="346" max="346" width="81.140625" bestFit="1" customWidth="1"/>
    <col min="347" max="347" width="84.28515625" bestFit="1" customWidth="1"/>
    <col min="348" max="348" width="80.140625" bestFit="1" customWidth="1"/>
    <col min="349" max="349" width="83.28515625" bestFit="1" customWidth="1"/>
    <col min="350" max="350" width="41.140625" bestFit="1" customWidth="1"/>
    <col min="351" max="351" width="44.28515625" bestFit="1" customWidth="1"/>
    <col min="352" max="352" width="17.42578125" bestFit="1" customWidth="1"/>
    <col min="353" max="353" width="20.5703125" bestFit="1" customWidth="1"/>
    <col min="354" max="354" width="72.140625" bestFit="1" customWidth="1"/>
    <col min="355" max="355" width="75.28515625" bestFit="1" customWidth="1"/>
    <col min="356" max="356" width="26.42578125" bestFit="1" customWidth="1"/>
    <col min="357" max="357" width="29.5703125" bestFit="1" customWidth="1"/>
    <col min="358" max="358" width="40.85546875" bestFit="1" customWidth="1"/>
    <col min="359" max="359" width="44" bestFit="1" customWidth="1"/>
    <col min="360" max="360" width="43.140625" bestFit="1" customWidth="1"/>
    <col min="361" max="361" width="46.28515625" bestFit="1" customWidth="1"/>
    <col min="362" max="362" width="20.7109375" bestFit="1" customWidth="1"/>
    <col min="363" max="363" width="23.85546875" bestFit="1" customWidth="1"/>
    <col min="364" max="364" width="56.85546875" bestFit="1" customWidth="1"/>
    <col min="365" max="365" width="60" bestFit="1" customWidth="1"/>
    <col min="366" max="366" width="56.42578125" bestFit="1" customWidth="1"/>
    <col min="367" max="367" width="59.5703125" bestFit="1" customWidth="1"/>
    <col min="368" max="368" width="50" bestFit="1" customWidth="1"/>
    <col min="369" max="369" width="53.140625" bestFit="1" customWidth="1"/>
    <col min="370" max="370" width="38.5703125" bestFit="1" customWidth="1"/>
    <col min="371" max="371" width="41.5703125" bestFit="1" customWidth="1"/>
    <col min="372" max="372" width="38.140625" bestFit="1" customWidth="1"/>
    <col min="373" max="373" width="41.28515625" bestFit="1" customWidth="1"/>
    <col min="374" max="374" width="45.7109375" bestFit="1" customWidth="1"/>
    <col min="375" max="375" width="48.85546875" bestFit="1" customWidth="1"/>
    <col min="376" max="376" width="15.140625" bestFit="1" customWidth="1"/>
    <col min="377" max="377" width="18.28515625" bestFit="1" customWidth="1"/>
    <col min="378" max="378" width="23.42578125" bestFit="1" customWidth="1"/>
    <col min="379" max="379" width="26.5703125" bestFit="1" customWidth="1"/>
    <col min="380" max="380" width="25.28515625" bestFit="1" customWidth="1"/>
    <col min="381" max="381" width="28.42578125" bestFit="1" customWidth="1"/>
    <col min="382" max="382" width="28.5703125" bestFit="1" customWidth="1"/>
    <col min="383" max="383" width="31.7109375" bestFit="1" customWidth="1"/>
    <col min="384" max="384" width="40.140625" bestFit="1" customWidth="1"/>
    <col min="385" max="385" width="43.28515625" bestFit="1" customWidth="1"/>
    <col min="386" max="386" width="24" bestFit="1" customWidth="1"/>
    <col min="387" max="387" width="27.140625" bestFit="1" customWidth="1"/>
    <col min="388" max="388" width="24" bestFit="1" customWidth="1"/>
    <col min="389" max="389" width="27.140625" bestFit="1" customWidth="1"/>
    <col min="390" max="390" width="24.7109375" bestFit="1" customWidth="1"/>
    <col min="391" max="391" width="27.85546875" bestFit="1" customWidth="1"/>
    <col min="392" max="392" width="24.140625" bestFit="1" customWidth="1"/>
    <col min="393" max="393" width="27.28515625" bestFit="1" customWidth="1"/>
    <col min="394" max="394" width="49.85546875" bestFit="1" customWidth="1"/>
    <col min="395" max="395" width="53" bestFit="1" customWidth="1"/>
    <col min="396" max="396" width="84.140625" bestFit="1" customWidth="1"/>
    <col min="397" max="397" width="87.28515625" bestFit="1" customWidth="1"/>
    <col min="398" max="398" width="91" bestFit="1" customWidth="1"/>
    <col min="399" max="399" width="94.140625" bestFit="1" customWidth="1"/>
    <col min="400" max="400" width="63.140625" bestFit="1" customWidth="1"/>
    <col min="401" max="401" width="66.28515625" bestFit="1" customWidth="1"/>
    <col min="402" max="402" width="50.28515625" bestFit="1" customWidth="1"/>
    <col min="403" max="403" width="53.42578125" bestFit="1" customWidth="1"/>
    <col min="404" max="404" width="69.5703125" bestFit="1" customWidth="1"/>
    <col min="405" max="405" width="72.7109375" bestFit="1" customWidth="1"/>
    <col min="406" max="406" width="43" bestFit="1" customWidth="1"/>
    <col min="407" max="407" width="46.140625" bestFit="1" customWidth="1"/>
    <col min="408" max="408" width="57.7109375" bestFit="1" customWidth="1"/>
    <col min="409" max="409" width="60.85546875" bestFit="1" customWidth="1"/>
    <col min="410" max="410" width="89.28515625" bestFit="1" customWidth="1"/>
    <col min="411" max="411" width="92.42578125" bestFit="1" customWidth="1"/>
    <col min="412" max="412" width="37.28515625" bestFit="1" customWidth="1"/>
    <col min="413" max="413" width="40.42578125" bestFit="1" customWidth="1"/>
    <col min="414" max="414" width="36.28515625" bestFit="1" customWidth="1"/>
    <col min="415" max="415" width="39.42578125" bestFit="1" customWidth="1"/>
    <col min="416" max="416" width="53" bestFit="1" customWidth="1"/>
    <col min="417" max="417" width="56.140625" bestFit="1" customWidth="1"/>
    <col min="418" max="418" width="38.7109375" bestFit="1" customWidth="1"/>
    <col min="419" max="419" width="41.85546875" bestFit="1" customWidth="1"/>
    <col min="420" max="420" width="20.42578125" bestFit="1" customWidth="1"/>
    <col min="421" max="421" width="23.5703125" bestFit="1" customWidth="1"/>
    <col min="422" max="422" width="81.140625" bestFit="1" customWidth="1"/>
    <col min="423" max="423" width="84.28515625" bestFit="1" customWidth="1"/>
    <col min="424" max="424" width="80.140625" bestFit="1" customWidth="1"/>
    <col min="425" max="425" width="83.28515625" bestFit="1" customWidth="1"/>
    <col min="426" max="426" width="41.140625" bestFit="1" customWidth="1"/>
    <col min="427" max="427" width="44.28515625" bestFit="1" customWidth="1"/>
    <col min="428" max="428" width="17.42578125" bestFit="1" customWidth="1"/>
    <col min="429" max="429" width="20.5703125" bestFit="1" customWidth="1"/>
    <col min="430" max="430" width="72.140625" bestFit="1" customWidth="1"/>
    <col min="431" max="431" width="75.28515625" bestFit="1" customWidth="1"/>
    <col min="432" max="432" width="26.42578125" bestFit="1" customWidth="1"/>
    <col min="433" max="433" width="29.5703125" bestFit="1" customWidth="1"/>
    <col min="434" max="434" width="40.85546875" bestFit="1" customWidth="1"/>
    <col min="435" max="435" width="44" bestFit="1" customWidth="1"/>
    <col min="436" max="436" width="43.140625" bestFit="1" customWidth="1"/>
    <col min="437" max="437" width="46.28515625" bestFit="1" customWidth="1"/>
    <col min="438" max="438" width="20.7109375" bestFit="1" customWidth="1"/>
    <col min="439" max="439" width="23.85546875" bestFit="1" customWidth="1"/>
    <col min="440" max="440" width="56.85546875" bestFit="1" customWidth="1"/>
    <col min="441" max="441" width="60" bestFit="1" customWidth="1"/>
    <col min="442" max="442" width="56.42578125" bestFit="1" customWidth="1"/>
    <col min="443" max="443" width="59.5703125" bestFit="1" customWidth="1"/>
    <col min="444" max="444" width="50" bestFit="1" customWidth="1"/>
    <col min="445" max="445" width="53.140625" bestFit="1" customWidth="1"/>
    <col min="446" max="446" width="38.5703125" bestFit="1" customWidth="1"/>
    <col min="447" max="447" width="41.5703125" bestFit="1" customWidth="1"/>
    <col min="448" max="448" width="38.140625" bestFit="1" customWidth="1"/>
    <col min="449" max="449" width="41.28515625" bestFit="1" customWidth="1"/>
    <col min="450" max="450" width="45.7109375" bestFit="1" customWidth="1"/>
    <col min="451" max="451" width="48.85546875" bestFit="1" customWidth="1"/>
    <col min="452" max="452" width="15.140625" bestFit="1" customWidth="1"/>
    <col min="453" max="453" width="18.28515625" bestFit="1" customWidth="1"/>
    <col min="454" max="454" width="23.42578125" bestFit="1" customWidth="1"/>
    <col min="455" max="455" width="26.5703125" bestFit="1" customWidth="1"/>
    <col min="456" max="456" width="25.28515625" bestFit="1" customWidth="1"/>
    <col min="457" max="457" width="28.42578125" bestFit="1" customWidth="1"/>
    <col min="458" max="458" width="28.5703125" bestFit="1" customWidth="1"/>
    <col min="459" max="459" width="31.7109375" bestFit="1" customWidth="1"/>
    <col min="460" max="460" width="40.140625" bestFit="1" customWidth="1"/>
    <col min="461" max="461" width="43.28515625" bestFit="1" customWidth="1"/>
    <col min="462" max="462" width="24" bestFit="1" customWidth="1"/>
    <col min="463" max="463" width="27.140625" bestFit="1" customWidth="1"/>
    <col min="464" max="464" width="24" bestFit="1" customWidth="1"/>
    <col min="465" max="465" width="27.140625" bestFit="1" customWidth="1"/>
    <col min="466" max="466" width="24.7109375" bestFit="1" customWidth="1"/>
    <col min="467" max="467" width="27.85546875" bestFit="1" customWidth="1"/>
    <col min="468" max="468" width="24.140625" bestFit="1" customWidth="1"/>
    <col min="469" max="469" width="27.28515625" bestFit="1" customWidth="1"/>
    <col min="470" max="470" width="49.85546875" bestFit="1" customWidth="1"/>
    <col min="471" max="471" width="53" bestFit="1" customWidth="1"/>
    <col min="472" max="472" width="84.140625" bestFit="1" customWidth="1"/>
    <col min="473" max="473" width="87.28515625" bestFit="1" customWidth="1"/>
    <col min="474" max="474" width="91" bestFit="1" customWidth="1"/>
    <col min="475" max="475" width="94.140625" bestFit="1" customWidth="1"/>
    <col min="476" max="476" width="63.140625" bestFit="1" customWidth="1"/>
    <col min="477" max="477" width="66.28515625" bestFit="1" customWidth="1"/>
    <col min="478" max="478" width="50.28515625" bestFit="1" customWidth="1"/>
    <col min="479" max="479" width="53.42578125" bestFit="1" customWidth="1"/>
    <col min="480" max="480" width="69.5703125" bestFit="1" customWidth="1"/>
    <col min="481" max="481" width="72.7109375" bestFit="1" customWidth="1"/>
    <col min="482" max="482" width="43" bestFit="1" customWidth="1"/>
    <col min="483" max="483" width="46.140625" bestFit="1" customWidth="1"/>
    <col min="484" max="484" width="57.7109375" bestFit="1" customWidth="1"/>
    <col min="485" max="485" width="60.85546875" bestFit="1" customWidth="1"/>
    <col min="486" max="486" width="89.28515625" bestFit="1" customWidth="1"/>
    <col min="487" max="487" width="92.42578125" bestFit="1" customWidth="1"/>
    <col min="488" max="488" width="37.28515625" bestFit="1" customWidth="1"/>
    <col min="489" max="489" width="40.42578125" bestFit="1" customWidth="1"/>
    <col min="490" max="490" width="36.28515625" bestFit="1" customWidth="1"/>
    <col min="491" max="491" width="39.42578125" bestFit="1" customWidth="1"/>
    <col min="492" max="492" width="53" bestFit="1" customWidth="1"/>
    <col min="493" max="493" width="56.140625" bestFit="1" customWidth="1"/>
    <col min="494" max="494" width="38.7109375" bestFit="1" customWidth="1"/>
    <col min="495" max="495" width="41.85546875" bestFit="1" customWidth="1"/>
    <col min="496" max="496" width="20.42578125" bestFit="1" customWidth="1"/>
    <col min="497" max="497" width="23.5703125" bestFit="1" customWidth="1"/>
    <col min="498" max="498" width="81.140625" bestFit="1" customWidth="1"/>
    <col min="499" max="499" width="84.28515625" bestFit="1" customWidth="1"/>
    <col min="500" max="500" width="80.140625" bestFit="1" customWidth="1"/>
    <col min="501" max="501" width="83.28515625" bestFit="1" customWidth="1"/>
    <col min="502" max="502" width="41.140625" bestFit="1" customWidth="1"/>
    <col min="503" max="503" width="44.28515625" bestFit="1" customWidth="1"/>
    <col min="504" max="504" width="17.42578125" bestFit="1" customWidth="1"/>
    <col min="505" max="505" width="20.5703125" bestFit="1" customWidth="1"/>
    <col min="506" max="506" width="72.140625" bestFit="1" customWidth="1"/>
    <col min="507" max="507" width="75.28515625" bestFit="1" customWidth="1"/>
    <col min="508" max="508" width="26.42578125" bestFit="1" customWidth="1"/>
    <col min="509" max="509" width="29.5703125" bestFit="1" customWidth="1"/>
    <col min="510" max="510" width="40.85546875" bestFit="1" customWidth="1"/>
    <col min="511" max="511" width="44" bestFit="1" customWidth="1"/>
    <col min="512" max="512" width="43.140625" bestFit="1" customWidth="1"/>
    <col min="513" max="513" width="46.28515625" bestFit="1" customWidth="1"/>
    <col min="514" max="514" width="20.7109375" bestFit="1" customWidth="1"/>
    <col min="515" max="515" width="23.85546875" bestFit="1" customWidth="1"/>
    <col min="516" max="516" width="56.85546875" bestFit="1" customWidth="1"/>
    <col min="517" max="517" width="60" bestFit="1" customWidth="1"/>
    <col min="518" max="518" width="56.42578125" bestFit="1" customWidth="1"/>
    <col min="519" max="519" width="59.5703125" bestFit="1" customWidth="1"/>
    <col min="520" max="520" width="50" bestFit="1" customWidth="1"/>
    <col min="521" max="521" width="53.140625" bestFit="1" customWidth="1"/>
    <col min="522" max="522" width="38.5703125" bestFit="1" customWidth="1"/>
    <col min="523" max="523" width="41.5703125" bestFit="1" customWidth="1"/>
    <col min="524" max="524" width="38.140625" bestFit="1" customWidth="1"/>
    <col min="525" max="525" width="41.28515625" bestFit="1" customWidth="1"/>
    <col min="526" max="526" width="45.7109375" bestFit="1" customWidth="1"/>
    <col min="527" max="527" width="48.85546875" bestFit="1" customWidth="1"/>
    <col min="528" max="528" width="15.140625" bestFit="1" customWidth="1"/>
    <col min="529" max="529" width="18.28515625" bestFit="1" customWidth="1"/>
    <col min="530" max="530" width="23.42578125" bestFit="1" customWidth="1"/>
    <col min="531" max="531" width="26.5703125" bestFit="1" customWidth="1"/>
    <col min="532" max="532" width="25.28515625" bestFit="1" customWidth="1"/>
    <col min="533" max="533" width="28.42578125" bestFit="1" customWidth="1"/>
    <col min="534" max="534" width="19" bestFit="1" customWidth="1"/>
    <col min="535" max="535" width="20.85546875" bestFit="1" customWidth="1"/>
    <col min="536" max="536" width="19.7109375" bestFit="1" customWidth="1"/>
    <col min="537" max="537" width="18" bestFit="1" customWidth="1"/>
    <col min="538" max="538" width="18.7109375" bestFit="1" customWidth="1"/>
    <col min="539" max="539" width="18.5703125" bestFit="1" customWidth="1"/>
    <col min="540" max="540" width="18" bestFit="1" customWidth="1"/>
  </cols>
  <sheetData>
    <row r="2" spans="2:9" ht="15.75" thickBot="1" x14ac:dyDescent="0.3"/>
    <row r="3" spans="2:9" ht="30.75" thickBot="1" x14ac:dyDescent="0.3">
      <c r="B3" s="235" t="s">
        <v>510</v>
      </c>
      <c r="C3" s="239" t="s">
        <v>503</v>
      </c>
      <c r="D3" s="240" t="s">
        <v>504</v>
      </c>
      <c r="E3" s="240" t="s">
        <v>505</v>
      </c>
      <c r="F3" s="240" t="s">
        <v>506</v>
      </c>
      <c r="G3" s="240" t="s">
        <v>507</v>
      </c>
      <c r="H3" s="240" t="s">
        <v>508</v>
      </c>
      <c r="I3" s="241" t="s">
        <v>509</v>
      </c>
    </row>
    <row r="4" spans="2:9" x14ac:dyDescent="0.25">
      <c r="B4" s="236" t="s">
        <v>468</v>
      </c>
      <c r="C4" s="242">
        <v>3517.23</v>
      </c>
      <c r="D4" s="242">
        <v>325.04000000000002</v>
      </c>
      <c r="E4" s="242">
        <v>1579.4565217391305</v>
      </c>
      <c r="F4" s="242">
        <v>3648.6388888888887</v>
      </c>
      <c r="G4" s="242">
        <v>2919.0909090909086</v>
      </c>
      <c r="H4" s="242">
        <v>5921.8333333333339</v>
      </c>
      <c r="I4" s="243">
        <v>2411.5</v>
      </c>
    </row>
    <row r="5" spans="2:9" x14ac:dyDescent="0.25">
      <c r="B5" s="236" t="s">
        <v>469</v>
      </c>
      <c r="C5" s="242">
        <v>4950.88</v>
      </c>
      <c r="D5" s="242">
        <v>4950.4000000000005</v>
      </c>
      <c r="E5" s="242">
        <v>4950</v>
      </c>
      <c r="F5" s="242">
        <v>5807.6388888888887</v>
      </c>
      <c r="G5" s="242">
        <v>7406.704545454545</v>
      </c>
      <c r="H5" s="242">
        <v>6116.1904761904771</v>
      </c>
      <c r="I5" s="242">
        <v>6770</v>
      </c>
    </row>
    <row r="6" spans="2:9" x14ac:dyDescent="0.25">
      <c r="B6" s="236" t="s">
        <v>470</v>
      </c>
      <c r="C6" s="242">
        <v>1999.36</v>
      </c>
      <c r="D6" s="242">
        <v>2000</v>
      </c>
      <c r="E6" s="242">
        <v>2000</v>
      </c>
      <c r="F6" s="242">
        <v>3187.5</v>
      </c>
      <c r="G6" s="242">
        <v>2253.9772727272725</v>
      </c>
      <c r="H6" s="242">
        <v>2200</v>
      </c>
      <c r="I6" s="242">
        <v>2200</v>
      </c>
    </row>
    <row r="7" spans="2:9" x14ac:dyDescent="0.25">
      <c r="B7" s="236" t="s">
        <v>471</v>
      </c>
      <c r="C7" s="242">
        <v>2474.56</v>
      </c>
      <c r="D7" s="242">
        <v>2475.2000000000003</v>
      </c>
      <c r="E7" s="242">
        <v>2975</v>
      </c>
      <c r="F7" s="242">
        <v>3502.7777777777778</v>
      </c>
      <c r="G7" s="242">
        <v>3028.9772727272725</v>
      </c>
      <c r="H7" s="242">
        <v>2975</v>
      </c>
      <c r="I7" s="242">
        <v>2975</v>
      </c>
    </row>
    <row r="8" spans="2:9" x14ac:dyDescent="0.25">
      <c r="B8" s="236" t="s">
        <v>472</v>
      </c>
      <c r="C8" s="242">
        <v>176196.73000000004</v>
      </c>
      <c r="D8" s="242">
        <v>169822.42499999999</v>
      </c>
      <c r="E8" s="242">
        <v>170676.60869565216</v>
      </c>
      <c r="F8" s="242">
        <v>167126.75</v>
      </c>
      <c r="G8" s="242">
        <v>156017.07954545456</v>
      </c>
      <c r="H8" s="242">
        <v>144510.92857142855</v>
      </c>
      <c r="I8" s="242">
        <v>147064.5625</v>
      </c>
    </row>
    <row r="9" spans="2:9" x14ac:dyDescent="0.25">
      <c r="B9" s="236" t="s">
        <v>473</v>
      </c>
      <c r="C9" s="242">
        <v>13262.154999999999</v>
      </c>
      <c r="D9" s="242">
        <v>19998.72</v>
      </c>
      <c r="E9" s="242">
        <v>33104.835597826081</v>
      </c>
      <c r="F9" s="242">
        <v>37204.694444444445</v>
      </c>
      <c r="G9" s="242">
        <v>7849.136363636364</v>
      </c>
      <c r="H9" s="242">
        <v>2818.0952380952381</v>
      </c>
      <c r="I9" s="242">
        <v>13216.125</v>
      </c>
    </row>
    <row r="10" spans="2:9" x14ac:dyDescent="0.25">
      <c r="B10" s="236" t="s">
        <v>474</v>
      </c>
      <c r="C10" s="242">
        <v>10940.64</v>
      </c>
      <c r="D10" s="242">
        <v>14185.8025</v>
      </c>
      <c r="E10" s="242">
        <v>0</v>
      </c>
      <c r="F10" s="242">
        <v>0</v>
      </c>
      <c r="G10" s="242">
        <v>0</v>
      </c>
      <c r="H10" s="242">
        <v>0</v>
      </c>
      <c r="I10" s="242">
        <v>0</v>
      </c>
    </row>
    <row r="11" spans="2:9" x14ac:dyDescent="0.25">
      <c r="B11" s="236" t="s">
        <v>475</v>
      </c>
      <c r="C11" s="242">
        <v>16080.18</v>
      </c>
      <c r="D11" s="242">
        <v>0</v>
      </c>
      <c r="E11" s="242">
        <v>0</v>
      </c>
      <c r="F11" s="242">
        <v>0</v>
      </c>
      <c r="G11" s="242">
        <v>0</v>
      </c>
      <c r="H11" s="242">
        <v>0</v>
      </c>
      <c r="I11" s="242">
        <v>0</v>
      </c>
    </row>
    <row r="12" spans="2:9" x14ac:dyDescent="0.25">
      <c r="B12" s="236" t="s">
        <v>476</v>
      </c>
      <c r="C12" s="242">
        <v>3170.7</v>
      </c>
      <c r="D12" s="242">
        <v>17375</v>
      </c>
      <c r="E12" s="242">
        <v>0</v>
      </c>
      <c r="F12" s="242">
        <v>0</v>
      </c>
      <c r="G12" s="242">
        <v>0</v>
      </c>
      <c r="H12" s="242">
        <v>0</v>
      </c>
      <c r="I12" s="242">
        <v>0</v>
      </c>
    </row>
    <row r="13" spans="2:9" x14ac:dyDescent="0.25">
      <c r="B13" s="236" t="s">
        <v>477</v>
      </c>
      <c r="C13" s="242">
        <v>0</v>
      </c>
      <c r="D13" s="242">
        <v>4850.5</v>
      </c>
      <c r="E13" s="242">
        <v>13373.125</v>
      </c>
      <c r="F13" s="242">
        <v>5949.6944444444453</v>
      </c>
      <c r="G13" s="242">
        <v>4588.909090909091</v>
      </c>
      <c r="H13" s="242">
        <v>3562.5</v>
      </c>
      <c r="I13" s="242">
        <v>7858.75</v>
      </c>
    </row>
    <row r="14" spans="2:9" x14ac:dyDescent="0.25">
      <c r="B14" s="236" t="s">
        <v>478</v>
      </c>
      <c r="C14" s="242">
        <v>7439.42</v>
      </c>
      <c r="D14" s="242">
        <v>87.5</v>
      </c>
      <c r="E14" s="242">
        <v>0</v>
      </c>
      <c r="F14" s="242">
        <v>0</v>
      </c>
      <c r="G14" s="242">
        <v>0</v>
      </c>
      <c r="H14" s="242">
        <v>0</v>
      </c>
      <c r="I14" s="242">
        <v>47.5</v>
      </c>
    </row>
    <row r="15" spans="2:9" x14ac:dyDescent="0.25">
      <c r="B15" s="236" t="s">
        <v>479</v>
      </c>
      <c r="C15" s="242">
        <v>2461.46</v>
      </c>
      <c r="D15" s="242">
        <v>0</v>
      </c>
      <c r="E15" s="242">
        <v>586.95652173913049</v>
      </c>
      <c r="F15" s="242">
        <v>1750</v>
      </c>
      <c r="G15" s="242">
        <v>0</v>
      </c>
      <c r="H15" s="242">
        <v>542.85714285714289</v>
      </c>
      <c r="I15" s="242">
        <v>0</v>
      </c>
    </row>
    <row r="16" spans="2:9" x14ac:dyDescent="0.25">
      <c r="B16" s="236" t="s">
        <v>480</v>
      </c>
      <c r="C16" s="242">
        <v>0</v>
      </c>
      <c r="D16" s="242">
        <v>7605.1399999999994</v>
      </c>
      <c r="E16" s="242">
        <v>6539.472826086956</v>
      </c>
      <c r="F16" s="242">
        <v>777.77777777777783</v>
      </c>
      <c r="G16" s="242">
        <v>172.72727272727272</v>
      </c>
      <c r="H16" s="242">
        <v>0</v>
      </c>
      <c r="I16" s="242">
        <v>0</v>
      </c>
    </row>
    <row r="17" spans="2:9" x14ac:dyDescent="0.25">
      <c r="B17" s="236" t="s">
        <v>481</v>
      </c>
      <c r="C17" s="242">
        <v>0</v>
      </c>
      <c r="D17" s="242">
        <v>0</v>
      </c>
      <c r="E17" s="242">
        <v>0</v>
      </c>
      <c r="F17" s="242">
        <v>1822.2222222222222</v>
      </c>
      <c r="G17" s="242">
        <v>5150</v>
      </c>
      <c r="H17" s="242">
        <v>4657.1904761904761</v>
      </c>
      <c r="I17" s="242">
        <v>0</v>
      </c>
    </row>
    <row r="18" spans="2:9" x14ac:dyDescent="0.25">
      <c r="B18" s="236" t="s">
        <v>482</v>
      </c>
      <c r="C18" s="242">
        <v>2990.24</v>
      </c>
      <c r="D18" s="242">
        <v>2990.4</v>
      </c>
      <c r="E18" s="242">
        <v>390</v>
      </c>
      <c r="F18" s="242">
        <v>3319.8611111111113</v>
      </c>
      <c r="G18" s="242">
        <v>2772.1590909090905</v>
      </c>
      <c r="H18" s="242">
        <v>455.71428571428567</v>
      </c>
      <c r="I18" s="242">
        <v>0</v>
      </c>
    </row>
    <row r="19" spans="2:9" x14ac:dyDescent="0.25">
      <c r="B19" s="236" t="s">
        <v>483</v>
      </c>
      <c r="C19" s="242">
        <v>10843.8</v>
      </c>
      <c r="D19" s="242">
        <v>7687.4375</v>
      </c>
      <c r="E19" s="242">
        <v>284.45652173913044</v>
      </c>
      <c r="F19" s="242">
        <v>0</v>
      </c>
      <c r="G19" s="242">
        <v>0</v>
      </c>
      <c r="H19" s="242">
        <v>0</v>
      </c>
      <c r="I19" s="242">
        <v>0</v>
      </c>
    </row>
    <row r="20" spans="2:9" x14ac:dyDescent="0.25">
      <c r="B20" s="236" t="s">
        <v>484</v>
      </c>
      <c r="C20" s="242">
        <v>0</v>
      </c>
      <c r="D20" s="242">
        <v>0</v>
      </c>
      <c r="E20" s="242">
        <v>0</v>
      </c>
      <c r="F20" s="242">
        <v>5980</v>
      </c>
      <c r="G20" s="242">
        <v>4485</v>
      </c>
      <c r="H20" s="242">
        <v>3986.6666666666665</v>
      </c>
      <c r="I20" s="242">
        <v>0</v>
      </c>
    </row>
    <row r="21" spans="2:9" x14ac:dyDescent="0.25">
      <c r="B21" s="236" t="s">
        <v>485</v>
      </c>
      <c r="C21" s="242">
        <v>0</v>
      </c>
      <c r="D21" s="242">
        <v>0</v>
      </c>
      <c r="E21" s="242">
        <v>0</v>
      </c>
      <c r="F21" s="242">
        <v>1925.6944444444446</v>
      </c>
      <c r="G21" s="242">
        <v>26411.818181818184</v>
      </c>
      <c r="H21" s="242">
        <v>25484.285714285714</v>
      </c>
      <c r="I21" s="242">
        <v>1755</v>
      </c>
    </row>
    <row r="22" spans="2:9" x14ac:dyDescent="0.25">
      <c r="B22" s="236" t="s">
        <v>486</v>
      </c>
      <c r="C22" s="242">
        <v>0</v>
      </c>
      <c r="D22" s="242">
        <v>0</v>
      </c>
      <c r="E22" s="242">
        <v>1239.1304347826087</v>
      </c>
      <c r="F22" s="242">
        <v>131.94444444444446</v>
      </c>
      <c r="G22" s="242">
        <v>0</v>
      </c>
      <c r="H22" s="242">
        <v>0</v>
      </c>
      <c r="I22" s="242">
        <v>0</v>
      </c>
    </row>
    <row r="23" spans="2:9" x14ac:dyDescent="0.25">
      <c r="B23" s="236" t="s">
        <v>487</v>
      </c>
      <c r="C23" s="242">
        <v>0</v>
      </c>
      <c r="D23" s="242">
        <v>0</v>
      </c>
      <c r="E23" s="242">
        <v>0</v>
      </c>
      <c r="F23" s="242">
        <v>0</v>
      </c>
      <c r="G23" s="242">
        <v>0</v>
      </c>
      <c r="H23" s="242">
        <v>2785.7142857142858</v>
      </c>
      <c r="I23" s="242">
        <v>0</v>
      </c>
    </row>
    <row r="24" spans="2:9" x14ac:dyDescent="0.25">
      <c r="B24" s="236" t="s">
        <v>488</v>
      </c>
      <c r="C24" s="242">
        <v>0</v>
      </c>
      <c r="D24" s="242">
        <v>0</v>
      </c>
      <c r="E24" s="242">
        <v>0</v>
      </c>
      <c r="F24" s="242">
        <v>0</v>
      </c>
      <c r="G24" s="242">
        <v>1295.4545454545455</v>
      </c>
      <c r="H24" s="242">
        <v>3619.0476190476193</v>
      </c>
      <c r="I24" s="242">
        <v>3414.0625</v>
      </c>
    </row>
    <row r="25" spans="2:9" x14ac:dyDescent="0.25">
      <c r="B25" s="236" t="s">
        <v>489</v>
      </c>
      <c r="C25" s="242">
        <v>0</v>
      </c>
      <c r="D25" s="242">
        <v>0</v>
      </c>
      <c r="E25" s="242">
        <v>13000</v>
      </c>
      <c r="F25" s="242">
        <v>10055.555555555555</v>
      </c>
      <c r="G25" s="242">
        <v>9788.068181818182</v>
      </c>
      <c r="H25" s="242">
        <v>5814.2857142857138</v>
      </c>
      <c r="I25" s="242">
        <v>1136.05</v>
      </c>
    </row>
    <row r="26" spans="2:9" x14ac:dyDescent="0.25">
      <c r="B26" s="236" t="s">
        <v>490</v>
      </c>
      <c r="C26" s="242">
        <v>0</v>
      </c>
      <c r="D26" s="242">
        <v>0</v>
      </c>
      <c r="E26" s="242">
        <v>0</v>
      </c>
      <c r="F26" s="242">
        <v>0</v>
      </c>
      <c r="G26" s="242">
        <v>0</v>
      </c>
      <c r="H26" s="242">
        <v>0</v>
      </c>
      <c r="I26" s="242">
        <v>0</v>
      </c>
    </row>
    <row r="27" spans="2:9" x14ac:dyDescent="0.25">
      <c r="B27" s="236" t="s">
        <v>491</v>
      </c>
      <c r="C27" s="242">
        <v>14278.25</v>
      </c>
      <c r="D27" s="242">
        <v>14126.72</v>
      </c>
      <c r="E27" s="242">
        <v>5711.80027173913</v>
      </c>
      <c r="F27" s="242">
        <v>972.22222222222229</v>
      </c>
      <c r="G27" s="242">
        <v>3627.272727272727</v>
      </c>
      <c r="H27" s="242">
        <v>2171.4285714285716</v>
      </c>
      <c r="I27" s="242">
        <v>1260</v>
      </c>
    </row>
    <row r="28" spans="2:9" x14ac:dyDescent="0.25">
      <c r="B28" s="236" t="s">
        <v>492</v>
      </c>
      <c r="C28" s="242">
        <v>0</v>
      </c>
      <c r="D28" s="242">
        <v>0</v>
      </c>
      <c r="E28" s="242">
        <v>0</v>
      </c>
      <c r="F28" s="242">
        <v>0</v>
      </c>
      <c r="G28" s="242">
        <v>0</v>
      </c>
      <c r="H28" s="242">
        <v>4000</v>
      </c>
      <c r="I28" s="242">
        <v>6000</v>
      </c>
    </row>
    <row r="29" spans="2:9" x14ac:dyDescent="0.25">
      <c r="B29" s="236" t="s">
        <v>493</v>
      </c>
      <c r="C29" s="242">
        <v>0</v>
      </c>
      <c r="D29" s="242">
        <v>0</v>
      </c>
      <c r="E29" s="242">
        <v>0</v>
      </c>
      <c r="F29" s="242">
        <v>0</v>
      </c>
      <c r="G29" s="242">
        <v>0</v>
      </c>
      <c r="H29" s="242">
        <v>4888.0238095238092</v>
      </c>
      <c r="I29" s="242">
        <v>9458.0750000000007</v>
      </c>
    </row>
    <row r="30" spans="2:9" x14ac:dyDescent="0.25">
      <c r="B30" s="236" t="s">
        <v>494</v>
      </c>
      <c r="C30" s="242">
        <v>0</v>
      </c>
      <c r="D30" s="242">
        <v>0</v>
      </c>
      <c r="E30" s="242">
        <v>0</v>
      </c>
      <c r="F30" s="242">
        <v>0</v>
      </c>
      <c r="G30" s="242">
        <v>0</v>
      </c>
      <c r="H30" s="242">
        <v>2152.3809523809523</v>
      </c>
      <c r="I30" s="242">
        <v>712.5</v>
      </c>
    </row>
    <row r="31" spans="2:9" x14ac:dyDescent="0.25">
      <c r="B31" s="236" t="s">
        <v>495</v>
      </c>
      <c r="C31" s="242">
        <v>0</v>
      </c>
      <c r="D31" s="242">
        <v>0</v>
      </c>
      <c r="E31" s="242">
        <v>0</v>
      </c>
      <c r="F31" s="242">
        <v>0</v>
      </c>
      <c r="G31" s="242">
        <v>0</v>
      </c>
      <c r="H31" s="242">
        <v>0</v>
      </c>
      <c r="I31" s="242">
        <v>0</v>
      </c>
    </row>
    <row r="32" spans="2:9" x14ac:dyDescent="0.25">
      <c r="B32" s="236" t="s">
        <v>496</v>
      </c>
      <c r="C32" s="242">
        <v>0</v>
      </c>
      <c r="D32" s="242">
        <v>0</v>
      </c>
      <c r="E32" s="242">
        <v>0</v>
      </c>
      <c r="F32" s="242">
        <v>0</v>
      </c>
      <c r="G32" s="242">
        <v>0</v>
      </c>
      <c r="H32" s="242">
        <v>0</v>
      </c>
      <c r="I32" s="242">
        <v>3443.75</v>
      </c>
    </row>
    <row r="33" spans="2:9" x14ac:dyDescent="0.25">
      <c r="B33" s="236" t="s">
        <v>497</v>
      </c>
      <c r="C33" s="242">
        <v>0</v>
      </c>
      <c r="D33" s="242">
        <v>0</v>
      </c>
      <c r="E33" s="242">
        <v>0</v>
      </c>
      <c r="F33" s="242">
        <v>0</v>
      </c>
      <c r="G33" s="242">
        <v>0</v>
      </c>
      <c r="H33" s="242">
        <v>0</v>
      </c>
      <c r="I33" s="242">
        <v>2337.625</v>
      </c>
    </row>
    <row r="34" spans="2:9" x14ac:dyDescent="0.25">
      <c r="B34" s="236" t="s">
        <v>498</v>
      </c>
      <c r="C34" s="242">
        <v>0</v>
      </c>
      <c r="D34" s="242">
        <v>0</v>
      </c>
      <c r="E34" s="242">
        <v>6350.54347826087</v>
      </c>
      <c r="F34" s="242">
        <v>1187.5</v>
      </c>
      <c r="G34" s="242">
        <v>0</v>
      </c>
      <c r="H34" s="242">
        <v>0</v>
      </c>
      <c r="I34" s="242">
        <v>0</v>
      </c>
    </row>
    <row r="35" spans="2:9" x14ac:dyDescent="0.25">
      <c r="B35" s="236" t="s">
        <v>499</v>
      </c>
      <c r="C35" s="242">
        <v>0</v>
      </c>
      <c r="D35" s="242">
        <v>0</v>
      </c>
      <c r="E35" s="242">
        <v>0</v>
      </c>
      <c r="F35" s="242">
        <v>0</v>
      </c>
      <c r="G35" s="242">
        <v>3272.727272727273</v>
      </c>
      <c r="H35" s="242">
        <v>6000</v>
      </c>
      <c r="I35" s="242">
        <v>14662.5</v>
      </c>
    </row>
    <row r="36" spans="2:9" x14ac:dyDescent="0.25">
      <c r="B36" s="236" t="s">
        <v>500</v>
      </c>
      <c r="C36" s="242">
        <v>0</v>
      </c>
      <c r="D36" s="242">
        <v>0</v>
      </c>
      <c r="E36" s="242">
        <v>0</v>
      </c>
      <c r="F36" s="242">
        <v>0</v>
      </c>
      <c r="G36" s="242">
        <v>0</v>
      </c>
      <c r="H36" s="242">
        <v>0</v>
      </c>
      <c r="I36" s="242">
        <v>1495</v>
      </c>
    </row>
    <row r="37" spans="2:9" x14ac:dyDescent="0.25">
      <c r="B37" s="236" t="s">
        <v>501</v>
      </c>
      <c r="C37" s="242">
        <v>2966.875</v>
      </c>
      <c r="D37" s="242">
        <v>1833.6799999999998</v>
      </c>
      <c r="E37" s="242">
        <v>2062.3097826086955</v>
      </c>
      <c r="F37" s="242">
        <v>3111.8055555555557</v>
      </c>
      <c r="G37" s="242">
        <v>12816.477272727272</v>
      </c>
      <c r="H37" s="242">
        <v>11994.642857142857</v>
      </c>
      <c r="I37" s="242">
        <v>6085</v>
      </c>
    </row>
    <row r="38" spans="2:9" x14ac:dyDescent="0.25">
      <c r="B38" s="236" t="s">
        <v>502</v>
      </c>
      <c r="C38" s="242">
        <v>8543.44</v>
      </c>
      <c r="D38" s="242">
        <v>5021.875</v>
      </c>
      <c r="E38" s="242">
        <v>0</v>
      </c>
      <c r="F38" s="242">
        <v>794.44444444444446</v>
      </c>
      <c r="G38" s="242">
        <v>485.96590909090912</v>
      </c>
      <c r="H38" s="242">
        <v>991.90476190476193</v>
      </c>
      <c r="I38" s="242">
        <v>3345</v>
      </c>
    </row>
    <row r="39" spans="2:9" ht="15.75" thickBot="1" x14ac:dyDescent="0.3">
      <c r="B39" s="238" t="s">
        <v>622</v>
      </c>
      <c r="C39" s="242">
        <v>0</v>
      </c>
      <c r="D39" s="242">
        <v>0</v>
      </c>
      <c r="E39" s="242">
        <v>0</v>
      </c>
      <c r="F39" s="242">
        <v>0</v>
      </c>
      <c r="G39" s="242">
        <v>0</v>
      </c>
      <c r="H39" s="242">
        <v>0</v>
      </c>
      <c r="I39" s="242">
        <v>87.5</v>
      </c>
    </row>
    <row r="40" spans="2:9" ht="15.75" thickBot="1" x14ac:dyDescent="0.3">
      <c r="B40" s="237" t="s">
        <v>153</v>
      </c>
      <c r="C40" s="244">
        <v>282115.92000000004</v>
      </c>
      <c r="D40" s="244">
        <v>275335.83999999997</v>
      </c>
      <c r="E40" s="244">
        <v>264823.69565217395</v>
      </c>
      <c r="F40" s="244">
        <v>258256.72222222222</v>
      </c>
      <c r="G40" s="244">
        <v>254341.54545454544</v>
      </c>
      <c r="H40" s="244">
        <v>247648.69047619047</v>
      </c>
      <c r="I40" s="245">
        <v>237735.5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5" tint="-0.249977111117893"/>
  </sheetPr>
  <dimension ref="B1:BJ113"/>
  <sheetViews>
    <sheetView showGridLines="0" tabSelected="1" zoomScale="90" zoomScaleNormal="90" zoomScaleSheetLayoutView="70" workbookViewId="0">
      <pane xSplit="2" ySplit="14" topLeftCell="AT15" activePane="bottomRight" state="frozen"/>
      <selection pane="topRight" activeCell="C1" sqref="C1"/>
      <selection pane="bottomLeft" activeCell="A15" sqref="A15"/>
      <selection pane="bottomRight" activeCell="P55" sqref="P55"/>
    </sheetView>
  </sheetViews>
  <sheetFormatPr baseColWidth="10" defaultRowHeight="12.75" x14ac:dyDescent="0.2"/>
  <cols>
    <col min="1" max="1" width="1.5703125" style="1" customWidth="1"/>
    <col min="2" max="2" width="28" style="1" customWidth="1"/>
    <col min="3" max="11" width="11.42578125" style="21"/>
    <col min="12" max="13" width="13" style="21" bestFit="1" customWidth="1"/>
    <col min="14" max="16" width="11.42578125" style="21"/>
    <col min="17" max="17" width="9.28515625" style="1" customWidth="1"/>
    <col min="18" max="18" width="13.140625" style="1" customWidth="1"/>
    <col min="19" max="19" width="13" style="1" customWidth="1"/>
    <col min="20" max="49" width="11.42578125" style="1"/>
    <col min="50" max="50" width="11.28515625" style="1" customWidth="1"/>
    <col min="51" max="54" width="14.28515625" style="1" bestFit="1" customWidth="1"/>
    <col min="55" max="55" width="11.42578125" style="1"/>
    <col min="56" max="56" width="11.5703125" style="1" customWidth="1"/>
    <col min="57" max="57" width="11.140625" style="1" customWidth="1"/>
    <col min="58" max="59" width="11.7109375" style="1" customWidth="1"/>
    <col min="60" max="60" width="12" style="1" customWidth="1"/>
    <col min="61" max="61" width="11" style="1" customWidth="1"/>
    <col min="62" max="16384" width="11.42578125" style="1"/>
  </cols>
  <sheetData>
    <row r="1" spans="2:62" ht="15.75" thickBot="1" x14ac:dyDescent="0.3">
      <c r="R1" s="351" t="s">
        <v>178</v>
      </c>
      <c r="S1" s="350"/>
    </row>
    <row r="2" spans="2:62" ht="13.5" thickBot="1" x14ac:dyDescent="0.25"/>
    <row r="3" spans="2:62" ht="15.75" thickBot="1" x14ac:dyDescent="0.3">
      <c r="P3" s="21" t="s">
        <v>917</v>
      </c>
      <c r="R3" s="635" t="s">
        <v>867</v>
      </c>
      <c r="S3" s="636"/>
    </row>
    <row r="5" spans="2:62" x14ac:dyDescent="0.2">
      <c r="BF5" s="644"/>
      <c r="BG5" s="644"/>
      <c r="BH5" s="644"/>
      <c r="BI5" s="644"/>
      <c r="BJ5" s="644"/>
    </row>
    <row r="6" spans="2:62" x14ac:dyDescent="0.2">
      <c r="BF6" s="644"/>
      <c r="BG6" s="644"/>
      <c r="BH6" s="644"/>
      <c r="BI6" s="644"/>
      <c r="BJ6" s="644"/>
    </row>
    <row r="7" spans="2:62" x14ac:dyDescent="0.2">
      <c r="BF7" s="644"/>
      <c r="BG7" s="644"/>
      <c r="BH7" s="644"/>
      <c r="BI7" s="645"/>
      <c r="BJ7" s="644"/>
    </row>
    <row r="8" spans="2:62" x14ac:dyDescent="0.2">
      <c r="BF8" s="644"/>
      <c r="BG8" s="644"/>
      <c r="BH8" s="644"/>
      <c r="BI8" s="644"/>
      <c r="BJ8" s="644"/>
    </row>
    <row r="9" spans="2:62" x14ac:dyDescent="0.2">
      <c r="BF9" s="644"/>
      <c r="BG9" s="645"/>
      <c r="BH9" s="644"/>
      <c r="BI9" s="644"/>
      <c r="BJ9" s="644"/>
    </row>
    <row r="13" spans="2:62" ht="4.5" customHeight="1" thickBot="1" x14ac:dyDescent="0.25"/>
    <row r="14" spans="2:62" ht="24.75" thickBot="1" x14ac:dyDescent="0.25">
      <c r="B14" s="57" t="s">
        <v>179</v>
      </c>
      <c r="C14" s="68" t="s">
        <v>283</v>
      </c>
      <c r="D14" s="68" t="s">
        <v>284</v>
      </c>
      <c r="E14" s="68" t="s">
        <v>285</v>
      </c>
      <c r="F14" s="68" t="s">
        <v>286</v>
      </c>
      <c r="G14" s="69" t="s">
        <v>287</v>
      </c>
      <c r="H14" s="210" t="s">
        <v>400</v>
      </c>
      <c r="I14" s="68" t="s">
        <v>288</v>
      </c>
      <c r="J14" s="68" t="s">
        <v>289</v>
      </c>
      <c r="K14" s="68" t="s">
        <v>290</v>
      </c>
      <c r="L14" s="68" t="s">
        <v>291</v>
      </c>
      <c r="M14" s="69" t="s">
        <v>292</v>
      </c>
      <c r="N14" s="210" t="s">
        <v>401</v>
      </c>
      <c r="O14" s="68" t="s">
        <v>293</v>
      </c>
      <c r="P14" s="68" t="s">
        <v>294</v>
      </c>
      <c r="Q14" s="68" t="s">
        <v>295</v>
      </c>
      <c r="R14" s="68" t="s">
        <v>296</v>
      </c>
      <c r="S14" s="69" t="s">
        <v>297</v>
      </c>
      <c r="T14" s="210" t="s">
        <v>407</v>
      </c>
      <c r="U14" s="59" t="s">
        <v>167</v>
      </c>
      <c r="V14" s="60" t="s">
        <v>168</v>
      </c>
      <c r="W14" s="60" t="s">
        <v>169</v>
      </c>
      <c r="X14" s="61" t="s">
        <v>170</v>
      </c>
      <c r="Y14" s="210" t="s">
        <v>403</v>
      </c>
      <c r="Z14" s="59" t="s">
        <v>171</v>
      </c>
      <c r="AA14" s="60" t="s">
        <v>172</v>
      </c>
      <c r="AB14" s="60" t="s">
        <v>173</v>
      </c>
      <c r="AC14" s="60" t="s">
        <v>174</v>
      </c>
      <c r="AD14" s="61" t="s">
        <v>175</v>
      </c>
      <c r="AE14" s="210" t="s">
        <v>404</v>
      </c>
      <c r="AF14" s="68" t="s">
        <v>185</v>
      </c>
      <c r="AG14" s="68" t="s">
        <v>194</v>
      </c>
      <c r="AH14" s="68" t="s">
        <v>202</v>
      </c>
      <c r="AI14" s="68" t="s">
        <v>205</v>
      </c>
      <c r="AJ14" s="69" t="s">
        <v>216</v>
      </c>
      <c r="AK14" s="214" t="s">
        <v>406</v>
      </c>
      <c r="AL14" s="176" t="s">
        <v>232</v>
      </c>
      <c r="AM14" s="177" t="s">
        <v>233</v>
      </c>
      <c r="AN14" s="177" t="s">
        <v>303</v>
      </c>
      <c r="AO14" s="177" t="s">
        <v>301</v>
      </c>
      <c r="AP14" s="178" t="s">
        <v>368</v>
      </c>
      <c r="AQ14" s="213" t="s">
        <v>405</v>
      </c>
      <c r="AR14" s="176" t="s">
        <v>511</v>
      </c>
      <c r="AS14" s="177" t="s">
        <v>512</v>
      </c>
      <c r="AT14" s="177" t="s">
        <v>513</v>
      </c>
      <c r="AU14" s="177" t="s">
        <v>514</v>
      </c>
      <c r="AV14" s="178" t="s">
        <v>515</v>
      </c>
      <c r="AW14" s="466" t="s">
        <v>561</v>
      </c>
      <c r="AX14" s="468" t="s">
        <v>938</v>
      </c>
      <c r="AY14" s="469" t="s">
        <v>939</v>
      </c>
      <c r="AZ14" s="469" t="s">
        <v>940</v>
      </c>
      <c r="BA14" s="469" t="s">
        <v>941</v>
      </c>
      <c r="BB14" s="469" t="s">
        <v>942</v>
      </c>
      <c r="BC14" s="643" t="s">
        <v>943</v>
      </c>
      <c r="BD14" s="468" t="s">
        <v>989</v>
      </c>
      <c r="BE14" s="469" t="s">
        <v>991</v>
      </c>
      <c r="BF14" s="469" t="s">
        <v>992</v>
      </c>
      <c r="BG14" s="469" t="s">
        <v>993</v>
      </c>
      <c r="BH14" s="469" t="s">
        <v>994</v>
      </c>
      <c r="BI14" s="665" t="s">
        <v>995</v>
      </c>
      <c r="BJ14" s="210" t="s">
        <v>414</v>
      </c>
    </row>
    <row r="15" spans="2:62" x14ac:dyDescent="0.2">
      <c r="B15" s="450" t="s">
        <v>28</v>
      </c>
      <c r="C15" s="54">
        <v>40</v>
      </c>
      <c r="D15" s="55">
        <v>40</v>
      </c>
      <c r="E15" s="55">
        <v>40</v>
      </c>
      <c r="F15" s="55">
        <v>40</v>
      </c>
      <c r="G15" s="56">
        <v>16</v>
      </c>
      <c r="H15" s="211">
        <v>176</v>
      </c>
      <c r="I15" s="55">
        <v>24</v>
      </c>
      <c r="J15" s="55">
        <v>40</v>
      </c>
      <c r="K15" s="55">
        <v>40</v>
      </c>
      <c r="L15" s="55">
        <v>40</v>
      </c>
      <c r="M15" s="56">
        <v>16</v>
      </c>
      <c r="N15" s="211">
        <v>160</v>
      </c>
      <c r="O15" s="55">
        <v>24</v>
      </c>
      <c r="P15" s="55">
        <v>40</v>
      </c>
      <c r="Q15" s="55">
        <v>40</v>
      </c>
      <c r="R15" s="55">
        <v>40</v>
      </c>
      <c r="S15" s="56">
        <v>40</v>
      </c>
      <c r="T15" s="211">
        <v>184</v>
      </c>
      <c r="U15" s="55">
        <v>40</v>
      </c>
      <c r="V15" s="55">
        <v>24</v>
      </c>
      <c r="W15" s="55">
        <v>40</v>
      </c>
      <c r="X15" s="55">
        <v>40</v>
      </c>
      <c r="Y15" s="211">
        <v>144</v>
      </c>
      <c r="Z15" s="54">
        <v>32</v>
      </c>
      <c r="AA15" s="55">
        <v>40</v>
      </c>
      <c r="AB15" s="55">
        <v>40</v>
      </c>
      <c r="AC15" s="55">
        <v>40</v>
      </c>
      <c r="AD15" s="56">
        <v>24</v>
      </c>
      <c r="AE15" s="211">
        <v>176</v>
      </c>
      <c r="AF15" s="55">
        <v>16</v>
      </c>
      <c r="AG15" s="55">
        <v>40</v>
      </c>
      <c r="AH15" s="55">
        <v>40</v>
      </c>
      <c r="AI15" s="55">
        <v>40</v>
      </c>
      <c r="AJ15" s="56">
        <v>32</v>
      </c>
      <c r="AK15" s="216">
        <v>168</v>
      </c>
      <c r="AL15" s="173">
        <v>40</v>
      </c>
      <c r="AM15" s="174">
        <v>40</v>
      </c>
      <c r="AN15" s="174">
        <v>40</v>
      </c>
      <c r="AO15" s="174">
        <v>32</v>
      </c>
      <c r="AP15" s="175">
        <v>8</v>
      </c>
      <c r="AQ15" s="215">
        <v>160</v>
      </c>
      <c r="AR15" s="55">
        <v>32</v>
      </c>
      <c r="AS15" s="55">
        <v>40</v>
      </c>
      <c r="AT15" s="55">
        <v>40</v>
      </c>
      <c r="AU15" s="55">
        <v>40</v>
      </c>
      <c r="AV15" s="55">
        <v>24</v>
      </c>
      <c r="AW15" s="465">
        <v>176</v>
      </c>
      <c r="AX15" s="55">
        <v>8</v>
      </c>
      <c r="AY15" s="55">
        <v>40</v>
      </c>
      <c r="AZ15" s="55">
        <v>40</v>
      </c>
      <c r="BA15" s="55">
        <v>40</v>
      </c>
      <c r="BB15" s="55">
        <v>40</v>
      </c>
      <c r="BC15" s="659">
        <v>168</v>
      </c>
      <c r="BD15" s="55">
        <v>0</v>
      </c>
      <c r="BE15" s="55">
        <v>0</v>
      </c>
      <c r="BF15" s="55">
        <v>0</v>
      </c>
      <c r="BG15" s="55">
        <v>0</v>
      </c>
      <c r="BH15" s="55">
        <v>0</v>
      </c>
      <c r="BI15" s="467">
        <v>0</v>
      </c>
      <c r="BJ15" s="461">
        <v>1512</v>
      </c>
    </row>
    <row r="16" spans="2:62" x14ac:dyDescent="0.2">
      <c r="B16" s="451" t="s">
        <v>29</v>
      </c>
      <c r="C16" s="449">
        <v>40</v>
      </c>
      <c r="D16" s="447">
        <v>40</v>
      </c>
      <c r="E16" s="447">
        <v>40</v>
      </c>
      <c r="F16" s="447">
        <v>40</v>
      </c>
      <c r="G16" s="448">
        <v>16</v>
      </c>
      <c r="H16" s="458">
        <v>176</v>
      </c>
      <c r="I16" s="447">
        <v>24</v>
      </c>
      <c r="J16" s="447">
        <v>40</v>
      </c>
      <c r="K16" s="447">
        <v>40</v>
      </c>
      <c r="L16" s="447">
        <v>40</v>
      </c>
      <c r="M16" s="448">
        <v>16</v>
      </c>
      <c r="N16" s="458">
        <v>160</v>
      </c>
      <c r="O16" s="447">
        <v>24</v>
      </c>
      <c r="P16" s="447">
        <v>40</v>
      </c>
      <c r="Q16" s="447">
        <v>40</v>
      </c>
      <c r="R16" s="447">
        <v>40</v>
      </c>
      <c r="S16" s="448">
        <v>40</v>
      </c>
      <c r="T16" s="458">
        <v>184</v>
      </c>
      <c r="U16" s="447">
        <v>40</v>
      </c>
      <c r="V16" s="447">
        <v>24</v>
      </c>
      <c r="W16" s="447">
        <v>40</v>
      </c>
      <c r="X16" s="447">
        <v>40</v>
      </c>
      <c r="Y16" s="458">
        <v>144</v>
      </c>
      <c r="Z16" s="449">
        <v>32</v>
      </c>
      <c r="AA16" s="447">
        <v>40</v>
      </c>
      <c r="AB16" s="447">
        <v>40</v>
      </c>
      <c r="AC16" s="447">
        <v>40</v>
      </c>
      <c r="AD16" s="448">
        <v>24</v>
      </c>
      <c r="AE16" s="458">
        <v>176</v>
      </c>
      <c r="AF16" s="447">
        <v>16</v>
      </c>
      <c r="AG16" s="447">
        <v>40</v>
      </c>
      <c r="AH16" s="447">
        <v>40</v>
      </c>
      <c r="AI16" s="447">
        <v>40</v>
      </c>
      <c r="AJ16" s="448">
        <v>32</v>
      </c>
      <c r="AK16" s="460">
        <v>168</v>
      </c>
      <c r="AL16" s="456">
        <v>40</v>
      </c>
      <c r="AM16" s="447">
        <v>40</v>
      </c>
      <c r="AN16" s="447">
        <v>40</v>
      </c>
      <c r="AO16" s="447">
        <v>32</v>
      </c>
      <c r="AP16" s="457">
        <v>8</v>
      </c>
      <c r="AQ16" s="459">
        <v>160</v>
      </c>
      <c r="AR16" s="447">
        <v>32</v>
      </c>
      <c r="AS16" s="447">
        <v>40</v>
      </c>
      <c r="AT16" s="447">
        <v>40</v>
      </c>
      <c r="AU16" s="447">
        <v>40</v>
      </c>
      <c r="AV16" s="447">
        <v>24</v>
      </c>
      <c r="AW16" s="458">
        <v>176</v>
      </c>
      <c r="AX16" s="447">
        <v>8</v>
      </c>
      <c r="AY16" s="447">
        <v>40</v>
      </c>
      <c r="AZ16" s="447">
        <v>40</v>
      </c>
      <c r="BA16" s="447">
        <v>40</v>
      </c>
      <c r="BB16" s="447">
        <v>40</v>
      </c>
      <c r="BC16" s="458">
        <v>168</v>
      </c>
      <c r="BD16" s="447">
        <v>40</v>
      </c>
      <c r="BE16" s="447">
        <v>0</v>
      </c>
      <c r="BF16" s="447">
        <v>0</v>
      </c>
      <c r="BG16" s="447">
        <v>0</v>
      </c>
      <c r="BH16" s="447">
        <v>0</v>
      </c>
      <c r="BI16" s="460">
        <v>40</v>
      </c>
      <c r="BJ16" s="462">
        <v>1552</v>
      </c>
    </row>
    <row r="17" spans="2:62" x14ac:dyDescent="0.2">
      <c r="B17" s="451" t="s">
        <v>30</v>
      </c>
      <c r="C17" s="449">
        <v>40</v>
      </c>
      <c r="D17" s="447">
        <v>40</v>
      </c>
      <c r="E17" s="447">
        <v>40</v>
      </c>
      <c r="F17" s="447">
        <v>40</v>
      </c>
      <c r="G17" s="448">
        <v>16</v>
      </c>
      <c r="H17" s="458">
        <v>176</v>
      </c>
      <c r="I17" s="447">
        <v>24</v>
      </c>
      <c r="J17" s="447">
        <v>40</v>
      </c>
      <c r="K17" s="447">
        <v>40</v>
      </c>
      <c r="L17" s="447">
        <v>40</v>
      </c>
      <c r="M17" s="448">
        <v>16</v>
      </c>
      <c r="N17" s="458">
        <v>160</v>
      </c>
      <c r="O17" s="447">
        <v>24</v>
      </c>
      <c r="P17" s="447">
        <v>40</v>
      </c>
      <c r="Q17" s="447">
        <v>40</v>
      </c>
      <c r="R17" s="447">
        <v>40</v>
      </c>
      <c r="S17" s="448">
        <v>40</v>
      </c>
      <c r="T17" s="458">
        <v>184</v>
      </c>
      <c r="U17" s="447">
        <v>40</v>
      </c>
      <c r="V17" s="447">
        <v>24</v>
      </c>
      <c r="W17" s="447">
        <v>40</v>
      </c>
      <c r="X17" s="447">
        <v>40</v>
      </c>
      <c r="Y17" s="458">
        <v>144</v>
      </c>
      <c r="Z17" s="449">
        <v>32</v>
      </c>
      <c r="AA17" s="447">
        <v>40</v>
      </c>
      <c r="AB17" s="447">
        <v>40</v>
      </c>
      <c r="AC17" s="447">
        <v>40</v>
      </c>
      <c r="AD17" s="448">
        <v>24</v>
      </c>
      <c r="AE17" s="458">
        <v>176</v>
      </c>
      <c r="AF17" s="447">
        <v>16</v>
      </c>
      <c r="AG17" s="447">
        <v>40</v>
      </c>
      <c r="AH17" s="447">
        <v>40</v>
      </c>
      <c r="AI17" s="447">
        <v>40</v>
      </c>
      <c r="AJ17" s="448">
        <v>32</v>
      </c>
      <c r="AK17" s="460">
        <v>168</v>
      </c>
      <c r="AL17" s="456">
        <v>40</v>
      </c>
      <c r="AM17" s="447">
        <v>40</v>
      </c>
      <c r="AN17" s="447">
        <v>40</v>
      </c>
      <c r="AO17" s="447">
        <v>32</v>
      </c>
      <c r="AP17" s="457">
        <v>8</v>
      </c>
      <c r="AQ17" s="459">
        <v>160</v>
      </c>
      <c r="AR17" s="447">
        <v>32</v>
      </c>
      <c r="AS17" s="447">
        <v>40</v>
      </c>
      <c r="AT17" s="447">
        <v>40</v>
      </c>
      <c r="AU17" s="447">
        <v>40</v>
      </c>
      <c r="AV17" s="447">
        <v>24</v>
      </c>
      <c r="AW17" s="458">
        <v>176</v>
      </c>
      <c r="AX17" s="447">
        <v>8</v>
      </c>
      <c r="AY17" s="447">
        <v>40</v>
      </c>
      <c r="AZ17" s="447">
        <v>40</v>
      </c>
      <c r="BA17" s="447">
        <v>40</v>
      </c>
      <c r="BB17" s="447">
        <v>40</v>
      </c>
      <c r="BC17" s="458">
        <v>168</v>
      </c>
      <c r="BD17" s="447">
        <v>0</v>
      </c>
      <c r="BE17" s="447">
        <v>0</v>
      </c>
      <c r="BF17" s="447">
        <v>0</v>
      </c>
      <c r="BG17" s="447">
        <v>0</v>
      </c>
      <c r="BH17" s="447">
        <v>0</v>
      </c>
      <c r="BI17" s="460">
        <v>0</v>
      </c>
      <c r="BJ17" s="462">
        <v>1512</v>
      </c>
    </row>
    <row r="18" spans="2:62" x14ac:dyDescent="0.2">
      <c r="B18" s="451" t="s">
        <v>31</v>
      </c>
      <c r="C18" s="449">
        <v>40</v>
      </c>
      <c r="D18" s="447">
        <v>40</v>
      </c>
      <c r="E18" s="447">
        <v>40</v>
      </c>
      <c r="F18" s="447">
        <v>40</v>
      </c>
      <c r="G18" s="448">
        <v>16</v>
      </c>
      <c r="H18" s="458">
        <v>176</v>
      </c>
      <c r="I18" s="447">
        <v>24</v>
      </c>
      <c r="J18" s="447">
        <v>40</v>
      </c>
      <c r="K18" s="447">
        <v>40</v>
      </c>
      <c r="L18" s="447">
        <v>40</v>
      </c>
      <c r="M18" s="448">
        <v>16</v>
      </c>
      <c r="N18" s="458">
        <v>160</v>
      </c>
      <c r="O18" s="447">
        <v>24</v>
      </c>
      <c r="P18" s="447">
        <v>40</v>
      </c>
      <c r="Q18" s="447">
        <v>40</v>
      </c>
      <c r="R18" s="447">
        <v>40</v>
      </c>
      <c r="S18" s="448">
        <v>40</v>
      </c>
      <c r="T18" s="458">
        <v>184</v>
      </c>
      <c r="U18" s="447">
        <v>40</v>
      </c>
      <c r="V18" s="447">
        <v>24</v>
      </c>
      <c r="W18" s="447">
        <v>40</v>
      </c>
      <c r="X18" s="447">
        <v>40</v>
      </c>
      <c r="Y18" s="458">
        <v>144</v>
      </c>
      <c r="Z18" s="449">
        <v>32</v>
      </c>
      <c r="AA18" s="447">
        <v>40</v>
      </c>
      <c r="AB18" s="447">
        <v>40</v>
      </c>
      <c r="AC18" s="447">
        <v>40</v>
      </c>
      <c r="AD18" s="448">
        <v>24</v>
      </c>
      <c r="AE18" s="458">
        <v>176</v>
      </c>
      <c r="AF18" s="447">
        <v>16</v>
      </c>
      <c r="AG18" s="447">
        <v>32</v>
      </c>
      <c r="AH18" s="447">
        <v>40</v>
      </c>
      <c r="AI18" s="447">
        <v>40</v>
      </c>
      <c r="AJ18" s="448">
        <v>0</v>
      </c>
      <c r="AK18" s="460">
        <v>128</v>
      </c>
      <c r="AL18" s="456">
        <v>0</v>
      </c>
      <c r="AM18" s="447">
        <v>0</v>
      </c>
      <c r="AN18" s="447">
        <v>0</v>
      </c>
      <c r="AO18" s="447">
        <v>0</v>
      </c>
      <c r="AP18" s="457">
        <v>0</v>
      </c>
      <c r="AQ18" s="459">
        <v>0</v>
      </c>
      <c r="AR18" s="447">
        <v>0</v>
      </c>
      <c r="AS18" s="447">
        <v>0</v>
      </c>
      <c r="AT18" s="447">
        <v>40</v>
      </c>
      <c r="AU18" s="447">
        <v>40</v>
      </c>
      <c r="AV18" s="447">
        <v>24</v>
      </c>
      <c r="AW18" s="458">
        <v>104</v>
      </c>
      <c r="AX18" s="447">
        <v>8</v>
      </c>
      <c r="AY18" s="447">
        <v>40</v>
      </c>
      <c r="AZ18" s="447">
        <v>40</v>
      </c>
      <c r="BA18" s="447">
        <v>40</v>
      </c>
      <c r="BB18" s="447">
        <v>40</v>
      </c>
      <c r="BC18" s="458">
        <v>168</v>
      </c>
      <c r="BD18" s="447">
        <v>40</v>
      </c>
      <c r="BE18" s="447">
        <v>0</v>
      </c>
      <c r="BF18" s="447">
        <v>0</v>
      </c>
      <c r="BG18" s="447">
        <v>0</v>
      </c>
      <c r="BH18" s="447">
        <v>0</v>
      </c>
      <c r="BI18" s="460">
        <v>40</v>
      </c>
      <c r="BJ18" s="462">
        <v>1280</v>
      </c>
    </row>
    <row r="19" spans="2:62" x14ac:dyDescent="0.2">
      <c r="B19" s="451" t="s">
        <v>134</v>
      </c>
      <c r="C19" s="449">
        <v>0</v>
      </c>
      <c r="D19" s="447">
        <v>0</v>
      </c>
      <c r="E19" s="447">
        <v>0</v>
      </c>
      <c r="F19" s="447">
        <v>0</v>
      </c>
      <c r="G19" s="448">
        <v>0</v>
      </c>
      <c r="H19" s="458">
        <v>0</v>
      </c>
      <c r="I19" s="447">
        <v>0</v>
      </c>
      <c r="J19" s="447">
        <v>0</v>
      </c>
      <c r="K19" s="447">
        <v>0</v>
      </c>
      <c r="L19" s="447">
        <v>0</v>
      </c>
      <c r="M19" s="448">
        <v>0</v>
      </c>
      <c r="N19" s="458">
        <v>0</v>
      </c>
      <c r="O19" s="447">
        <v>0</v>
      </c>
      <c r="P19" s="447">
        <v>0</v>
      </c>
      <c r="Q19" s="447">
        <v>0</v>
      </c>
      <c r="R19" s="447">
        <v>0</v>
      </c>
      <c r="S19" s="448">
        <v>0</v>
      </c>
      <c r="T19" s="458">
        <v>0</v>
      </c>
      <c r="U19" s="447">
        <v>0</v>
      </c>
      <c r="V19" s="447">
        <v>0</v>
      </c>
      <c r="W19" s="447">
        <v>0</v>
      </c>
      <c r="X19" s="447">
        <v>40</v>
      </c>
      <c r="Y19" s="458">
        <v>40</v>
      </c>
      <c r="Z19" s="449">
        <v>32</v>
      </c>
      <c r="AA19" s="447">
        <v>40</v>
      </c>
      <c r="AB19" s="447">
        <v>40</v>
      </c>
      <c r="AC19" s="447">
        <v>40</v>
      </c>
      <c r="AD19" s="448">
        <v>24</v>
      </c>
      <c r="AE19" s="458">
        <v>176</v>
      </c>
      <c r="AF19" s="447">
        <v>16</v>
      </c>
      <c r="AG19" s="447">
        <v>40</v>
      </c>
      <c r="AH19" s="447">
        <v>40</v>
      </c>
      <c r="AI19" s="447">
        <v>40</v>
      </c>
      <c r="AJ19" s="448">
        <v>32</v>
      </c>
      <c r="AK19" s="460">
        <v>168</v>
      </c>
      <c r="AL19" s="456">
        <v>40</v>
      </c>
      <c r="AM19" s="447">
        <v>40</v>
      </c>
      <c r="AN19" s="447">
        <v>40</v>
      </c>
      <c r="AO19" s="447">
        <v>32</v>
      </c>
      <c r="AP19" s="457">
        <v>8</v>
      </c>
      <c r="AQ19" s="459">
        <v>160</v>
      </c>
      <c r="AR19" s="447">
        <v>32</v>
      </c>
      <c r="AS19" s="447">
        <v>40</v>
      </c>
      <c r="AT19" s="447">
        <v>40</v>
      </c>
      <c r="AU19" s="447">
        <v>40</v>
      </c>
      <c r="AV19" s="447">
        <v>24</v>
      </c>
      <c r="AW19" s="458">
        <v>176</v>
      </c>
      <c r="AX19" s="447">
        <v>8</v>
      </c>
      <c r="AY19" s="447">
        <v>40</v>
      </c>
      <c r="AZ19" s="447">
        <v>40</v>
      </c>
      <c r="BA19" s="447">
        <v>40</v>
      </c>
      <c r="BB19" s="447">
        <v>40</v>
      </c>
      <c r="BC19" s="458">
        <v>168</v>
      </c>
      <c r="BD19" s="447">
        <v>40</v>
      </c>
      <c r="BE19" s="447">
        <v>0</v>
      </c>
      <c r="BF19" s="447">
        <v>0</v>
      </c>
      <c r="BG19" s="447">
        <v>0</v>
      </c>
      <c r="BH19" s="447">
        <v>0</v>
      </c>
      <c r="BI19" s="460">
        <v>40</v>
      </c>
      <c r="BJ19" s="462">
        <v>928</v>
      </c>
    </row>
    <row r="20" spans="2:62" x14ac:dyDescent="0.2">
      <c r="B20" s="451" t="s">
        <v>32</v>
      </c>
      <c r="C20" s="449">
        <v>40</v>
      </c>
      <c r="D20" s="447">
        <v>40</v>
      </c>
      <c r="E20" s="447">
        <v>40</v>
      </c>
      <c r="F20" s="447">
        <v>40</v>
      </c>
      <c r="G20" s="448">
        <v>16</v>
      </c>
      <c r="H20" s="458">
        <v>176</v>
      </c>
      <c r="I20" s="447">
        <v>24</v>
      </c>
      <c r="J20" s="447">
        <v>40</v>
      </c>
      <c r="K20" s="447">
        <v>40</v>
      </c>
      <c r="L20" s="447">
        <v>40</v>
      </c>
      <c r="M20" s="448">
        <v>16</v>
      </c>
      <c r="N20" s="458">
        <v>160</v>
      </c>
      <c r="O20" s="447">
        <v>24</v>
      </c>
      <c r="P20" s="447">
        <v>40</v>
      </c>
      <c r="Q20" s="447">
        <v>40</v>
      </c>
      <c r="R20" s="447">
        <v>40</v>
      </c>
      <c r="S20" s="448">
        <v>40</v>
      </c>
      <c r="T20" s="458">
        <v>184</v>
      </c>
      <c r="U20" s="447">
        <v>40</v>
      </c>
      <c r="V20" s="447">
        <v>24</v>
      </c>
      <c r="W20" s="447">
        <v>40</v>
      </c>
      <c r="X20" s="447">
        <v>40</v>
      </c>
      <c r="Y20" s="458">
        <v>144</v>
      </c>
      <c r="Z20" s="449">
        <v>32</v>
      </c>
      <c r="AA20" s="447">
        <v>0</v>
      </c>
      <c r="AB20" s="447">
        <v>0</v>
      </c>
      <c r="AC20" s="447">
        <v>0</v>
      </c>
      <c r="AD20" s="448">
        <v>0</v>
      </c>
      <c r="AE20" s="458">
        <v>32</v>
      </c>
      <c r="AF20" s="447">
        <v>0</v>
      </c>
      <c r="AG20" s="447">
        <v>0</v>
      </c>
      <c r="AH20" s="447">
        <v>0</v>
      </c>
      <c r="AI20" s="447">
        <v>0</v>
      </c>
      <c r="AJ20" s="448">
        <v>0</v>
      </c>
      <c r="AK20" s="460">
        <v>0</v>
      </c>
      <c r="AL20" s="456">
        <v>0</v>
      </c>
      <c r="AM20" s="447">
        <v>0</v>
      </c>
      <c r="AN20" s="447">
        <v>0</v>
      </c>
      <c r="AO20" s="447">
        <v>0</v>
      </c>
      <c r="AP20" s="457">
        <v>0</v>
      </c>
      <c r="AQ20" s="459">
        <v>0</v>
      </c>
      <c r="AR20" s="447">
        <v>0</v>
      </c>
      <c r="AS20" s="447">
        <v>0</v>
      </c>
      <c r="AT20" s="447">
        <v>0</v>
      </c>
      <c r="AU20" s="447">
        <v>0</v>
      </c>
      <c r="AV20" s="447">
        <v>0</v>
      </c>
      <c r="AW20" s="458">
        <v>0</v>
      </c>
      <c r="AX20" s="447">
        <v>0</v>
      </c>
      <c r="AY20" s="447">
        <v>0</v>
      </c>
      <c r="AZ20" s="447">
        <v>0</v>
      </c>
      <c r="BA20" s="447">
        <v>0</v>
      </c>
      <c r="BB20" s="447">
        <v>0</v>
      </c>
      <c r="BC20" s="458">
        <v>0</v>
      </c>
      <c r="BD20" s="447">
        <v>0</v>
      </c>
      <c r="BE20" s="447">
        <v>0</v>
      </c>
      <c r="BF20" s="447">
        <v>0</v>
      </c>
      <c r="BG20" s="447">
        <v>0</v>
      </c>
      <c r="BH20" s="447">
        <v>0</v>
      </c>
      <c r="BI20" s="460">
        <v>0</v>
      </c>
      <c r="BJ20" s="462">
        <v>696</v>
      </c>
    </row>
    <row r="21" spans="2:62" x14ac:dyDescent="0.2">
      <c r="B21" s="451" t="s">
        <v>107</v>
      </c>
      <c r="C21" s="449">
        <v>0</v>
      </c>
      <c r="D21" s="447">
        <v>0</v>
      </c>
      <c r="E21" s="447">
        <v>0</v>
      </c>
      <c r="F21" s="447">
        <v>0</v>
      </c>
      <c r="G21" s="448">
        <v>0</v>
      </c>
      <c r="H21" s="458">
        <v>0</v>
      </c>
      <c r="I21" s="447">
        <v>0</v>
      </c>
      <c r="J21" s="447">
        <v>0</v>
      </c>
      <c r="K21" s="447">
        <v>0</v>
      </c>
      <c r="L21" s="447">
        <v>0</v>
      </c>
      <c r="M21" s="448">
        <v>0</v>
      </c>
      <c r="N21" s="458">
        <v>0</v>
      </c>
      <c r="O21" s="447">
        <v>0</v>
      </c>
      <c r="P21" s="447">
        <v>0</v>
      </c>
      <c r="Q21" s="447">
        <v>0</v>
      </c>
      <c r="R21" s="447">
        <v>0</v>
      </c>
      <c r="S21" s="448">
        <v>0</v>
      </c>
      <c r="T21" s="458">
        <v>0</v>
      </c>
      <c r="U21" s="447">
        <v>0</v>
      </c>
      <c r="V21" s="447">
        <v>0</v>
      </c>
      <c r="W21" s="447">
        <v>0</v>
      </c>
      <c r="X21" s="447">
        <v>0</v>
      </c>
      <c r="Y21" s="458">
        <v>0</v>
      </c>
      <c r="Z21" s="449">
        <v>24</v>
      </c>
      <c r="AA21" s="447">
        <v>40</v>
      </c>
      <c r="AB21" s="447">
        <v>40</v>
      </c>
      <c r="AC21" s="447">
        <v>40</v>
      </c>
      <c r="AD21" s="448">
        <v>24</v>
      </c>
      <c r="AE21" s="458">
        <v>168</v>
      </c>
      <c r="AF21" s="447">
        <v>16</v>
      </c>
      <c r="AG21" s="447">
        <v>40</v>
      </c>
      <c r="AH21" s="447">
        <v>40</v>
      </c>
      <c r="AI21" s="447">
        <v>40</v>
      </c>
      <c r="AJ21" s="448">
        <v>32</v>
      </c>
      <c r="AK21" s="460">
        <v>168</v>
      </c>
      <c r="AL21" s="456">
        <v>40</v>
      </c>
      <c r="AM21" s="447">
        <v>40</v>
      </c>
      <c r="AN21" s="447">
        <v>40</v>
      </c>
      <c r="AO21" s="447">
        <v>32</v>
      </c>
      <c r="AP21" s="457">
        <v>8</v>
      </c>
      <c r="AQ21" s="459">
        <v>160</v>
      </c>
      <c r="AR21" s="447">
        <v>16</v>
      </c>
      <c r="AS21" s="447">
        <v>0</v>
      </c>
      <c r="AT21" s="447">
        <v>0</v>
      </c>
      <c r="AU21" s="447">
        <v>0</v>
      </c>
      <c r="AV21" s="447">
        <v>0</v>
      </c>
      <c r="AW21" s="458">
        <v>16</v>
      </c>
      <c r="AX21" s="447">
        <v>0</v>
      </c>
      <c r="AY21" s="447">
        <v>0</v>
      </c>
      <c r="AZ21" s="447">
        <v>0</v>
      </c>
      <c r="BA21" s="447">
        <v>0</v>
      </c>
      <c r="BB21" s="447">
        <v>0</v>
      </c>
      <c r="BC21" s="458">
        <v>0</v>
      </c>
      <c r="BD21" s="447">
        <v>0</v>
      </c>
      <c r="BE21" s="447">
        <v>0</v>
      </c>
      <c r="BF21" s="447">
        <v>0</v>
      </c>
      <c r="BG21" s="447">
        <v>0</v>
      </c>
      <c r="BH21" s="447">
        <v>0</v>
      </c>
      <c r="BI21" s="460">
        <v>0</v>
      </c>
      <c r="BJ21" s="462">
        <v>512</v>
      </c>
    </row>
    <row r="22" spans="2:62" x14ac:dyDescent="0.2">
      <c r="B22" s="451" t="s">
        <v>33</v>
      </c>
      <c r="C22" s="449">
        <v>40</v>
      </c>
      <c r="D22" s="447">
        <v>40</v>
      </c>
      <c r="E22" s="447">
        <v>40</v>
      </c>
      <c r="F22" s="447">
        <v>40</v>
      </c>
      <c r="G22" s="448">
        <v>16</v>
      </c>
      <c r="H22" s="458">
        <v>176</v>
      </c>
      <c r="I22" s="447">
        <v>24</v>
      </c>
      <c r="J22" s="447">
        <v>40</v>
      </c>
      <c r="K22" s="447">
        <v>40</v>
      </c>
      <c r="L22" s="447">
        <v>40</v>
      </c>
      <c r="M22" s="448">
        <v>16</v>
      </c>
      <c r="N22" s="458">
        <v>160</v>
      </c>
      <c r="O22" s="447">
        <v>24</v>
      </c>
      <c r="P22" s="447">
        <v>40</v>
      </c>
      <c r="Q22" s="447">
        <v>40</v>
      </c>
      <c r="R22" s="447">
        <v>40</v>
      </c>
      <c r="S22" s="448">
        <v>40</v>
      </c>
      <c r="T22" s="458">
        <v>184</v>
      </c>
      <c r="U22" s="447">
        <v>40</v>
      </c>
      <c r="V22" s="447">
        <v>24</v>
      </c>
      <c r="W22" s="447">
        <v>40</v>
      </c>
      <c r="X22" s="447">
        <v>40</v>
      </c>
      <c r="Y22" s="458">
        <v>144</v>
      </c>
      <c r="Z22" s="449">
        <v>32</v>
      </c>
      <c r="AA22" s="447">
        <v>40</v>
      </c>
      <c r="AB22" s="447">
        <v>40</v>
      </c>
      <c r="AC22" s="447">
        <v>40</v>
      </c>
      <c r="AD22" s="448">
        <v>24</v>
      </c>
      <c r="AE22" s="458">
        <v>176</v>
      </c>
      <c r="AF22" s="447">
        <v>16</v>
      </c>
      <c r="AG22" s="447">
        <v>40</v>
      </c>
      <c r="AH22" s="447">
        <v>40</v>
      </c>
      <c r="AI22" s="447">
        <v>40</v>
      </c>
      <c r="AJ22" s="448">
        <v>32</v>
      </c>
      <c r="AK22" s="460">
        <v>168</v>
      </c>
      <c r="AL22" s="456">
        <v>40</v>
      </c>
      <c r="AM22" s="447">
        <v>40</v>
      </c>
      <c r="AN22" s="447">
        <v>40</v>
      </c>
      <c r="AO22" s="447">
        <v>32</v>
      </c>
      <c r="AP22" s="457">
        <v>8</v>
      </c>
      <c r="AQ22" s="459">
        <v>160</v>
      </c>
      <c r="AR22" s="447">
        <v>32</v>
      </c>
      <c r="AS22" s="447">
        <v>40</v>
      </c>
      <c r="AT22" s="447">
        <v>40</v>
      </c>
      <c r="AU22" s="447">
        <v>40</v>
      </c>
      <c r="AV22" s="447">
        <v>24</v>
      </c>
      <c r="AW22" s="458">
        <v>176</v>
      </c>
      <c r="AX22" s="447">
        <v>8</v>
      </c>
      <c r="AY22" s="447">
        <v>40</v>
      </c>
      <c r="AZ22" s="447">
        <v>40</v>
      </c>
      <c r="BA22" s="447">
        <v>40</v>
      </c>
      <c r="BB22" s="447">
        <v>40</v>
      </c>
      <c r="BC22" s="458">
        <v>168</v>
      </c>
      <c r="BD22" s="447">
        <v>40</v>
      </c>
      <c r="BE22" s="447">
        <v>0</v>
      </c>
      <c r="BF22" s="447">
        <v>0</v>
      </c>
      <c r="BG22" s="447">
        <v>0</v>
      </c>
      <c r="BH22" s="447">
        <v>0</v>
      </c>
      <c r="BI22" s="460">
        <v>40</v>
      </c>
      <c r="BJ22" s="462">
        <v>1552</v>
      </c>
    </row>
    <row r="23" spans="2:62" x14ac:dyDescent="0.2">
      <c r="B23" s="451" t="s">
        <v>34</v>
      </c>
      <c r="C23" s="449">
        <v>40</v>
      </c>
      <c r="D23" s="447">
        <v>40</v>
      </c>
      <c r="E23" s="447">
        <v>40</v>
      </c>
      <c r="F23" s="447">
        <v>40</v>
      </c>
      <c r="G23" s="448">
        <v>16</v>
      </c>
      <c r="H23" s="458">
        <v>176</v>
      </c>
      <c r="I23" s="447">
        <v>24</v>
      </c>
      <c r="J23" s="447">
        <v>40</v>
      </c>
      <c r="K23" s="447">
        <v>40</v>
      </c>
      <c r="L23" s="447">
        <v>40</v>
      </c>
      <c r="M23" s="448">
        <v>16</v>
      </c>
      <c r="N23" s="458">
        <v>160</v>
      </c>
      <c r="O23" s="447">
        <v>24</v>
      </c>
      <c r="P23" s="447">
        <v>40</v>
      </c>
      <c r="Q23" s="447">
        <v>40</v>
      </c>
      <c r="R23" s="447">
        <v>40</v>
      </c>
      <c r="S23" s="448">
        <v>40</v>
      </c>
      <c r="T23" s="458">
        <v>184</v>
      </c>
      <c r="U23" s="447">
        <v>40</v>
      </c>
      <c r="V23" s="447">
        <v>24</v>
      </c>
      <c r="W23" s="447">
        <v>40</v>
      </c>
      <c r="X23" s="447">
        <v>40</v>
      </c>
      <c r="Y23" s="458">
        <v>144</v>
      </c>
      <c r="Z23" s="449">
        <v>32</v>
      </c>
      <c r="AA23" s="447">
        <v>40</v>
      </c>
      <c r="AB23" s="447">
        <v>40</v>
      </c>
      <c r="AC23" s="447">
        <v>40</v>
      </c>
      <c r="AD23" s="448">
        <v>24</v>
      </c>
      <c r="AE23" s="458">
        <v>176</v>
      </c>
      <c r="AF23" s="447">
        <v>16</v>
      </c>
      <c r="AG23" s="447">
        <v>40</v>
      </c>
      <c r="AH23" s="447">
        <v>40</v>
      </c>
      <c r="AI23" s="447">
        <v>40</v>
      </c>
      <c r="AJ23" s="448">
        <v>32</v>
      </c>
      <c r="AK23" s="460">
        <v>168</v>
      </c>
      <c r="AL23" s="456">
        <v>40</v>
      </c>
      <c r="AM23" s="447">
        <v>40</v>
      </c>
      <c r="AN23" s="447">
        <v>40</v>
      </c>
      <c r="AO23" s="447">
        <v>32</v>
      </c>
      <c r="AP23" s="457">
        <v>8</v>
      </c>
      <c r="AQ23" s="459">
        <v>160</v>
      </c>
      <c r="AR23" s="447">
        <v>32</v>
      </c>
      <c r="AS23" s="447">
        <v>40</v>
      </c>
      <c r="AT23" s="447">
        <v>40</v>
      </c>
      <c r="AU23" s="447">
        <v>40</v>
      </c>
      <c r="AV23" s="447">
        <v>24</v>
      </c>
      <c r="AW23" s="458">
        <v>176</v>
      </c>
      <c r="AX23" s="447">
        <v>8</v>
      </c>
      <c r="AY23" s="447">
        <v>40</v>
      </c>
      <c r="AZ23" s="447">
        <v>40</v>
      </c>
      <c r="BA23" s="447">
        <v>40</v>
      </c>
      <c r="BB23" s="447">
        <v>40</v>
      </c>
      <c r="BC23" s="458">
        <v>168</v>
      </c>
      <c r="BD23" s="447">
        <v>40</v>
      </c>
      <c r="BE23" s="447">
        <v>0</v>
      </c>
      <c r="BF23" s="447">
        <v>0</v>
      </c>
      <c r="BG23" s="447">
        <v>0</v>
      </c>
      <c r="BH23" s="447">
        <v>0</v>
      </c>
      <c r="BI23" s="460">
        <v>40</v>
      </c>
      <c r="BJ23" s="462">
        <v>1552</v>
      </c>
    </row>
    <row r="24" spans="2:62" x14ac:dyDescent="0.2">
      <c r="B24" s="451" t="s">
        <v>35</v>
      </c>
      <c r="C24" s="449">
        <v>40</v>
      </c>
      <c r="D24" s="447">
        <v>40</v>
      </c>
      <c r="E24" s="447">
        <v>40</v>
      </c>
      <c r="F24" s="447">
        <v>40</v>
      </c>
      <c r="G24" s="448">
        <v>16</v>
      </c>
      <c r="H24" s="458">
        <v>176</v>
      </c>
      <c r="I24" s="447">
        <v>24</v>
      </c>
      <c r="J24" s="447">
        <v>40</v>
      </c>
      <c r="K24" s="447">
        <v>40</v>
      </c>
      <c r="L24" s="447">
        <v>40</v>
      </c>
      <c r="M24" s="448">
        <v>16</v>
      </c>
      <c r="N24" s="458">
        <v>160</v>
      </c>
      <c r="O24" s="447">
        <v>24</v>
      </c>
      <c r="P24" s="447">
        <v>40</v>
      </c>
      <c r="Q24" s="447">
        <v>40</v>
      </c>
      <c r="R24" s="447">
        <v>40</v>
      </c>
      <c r="S24" s="448">
        <v>40</v>
      </c>
      <c r="T24" s="458">
        <v>184</v>
      </c>
      <c r="U24" s="447">
        <v>40</v>
      </c>
      <c r="V24" s="447">
        <v>24</v>
      </c>
      <c r="W24" s="447">
        <v>40</v>
      </c>
      <c r="X24" s="447">
        <v>40</v>
      </c>
      <c r="Y24" s="458">
        <v>144</v>
      </c>
      <c r="Z24" s="449">
        <v>32</v>
      </c>
      <c r="AA24" s="447">
        <v>40</v>
      </c>
      <c r="AB24" s="447">
        <v>40</v>
      </c>
      <c r="AC24" s="447">
        <v>40</v>
      </c>
      <c r="AD24" s="448">
        <v>24</v>
      </c>
      <c r="AE24" s="458">
        <v>176</v>
      </c>
      <c r="AF24" s="447">
        <v>16</v>
      </c>
      <c r="AG24" s="447">
        <v>40</v>
      </c>
      <c r="AH24" s="447">
        <v>40</v>
      </c>
      <c r="AI24" s="447">
        <v>40</v>
      </c>
      <c r="AJ24" s="448">
        <v>32</v>
      </c>
      <c r="AK24" s="460">
        <v>168</v>
      </c>
      <c r="AL24" s="456">
        <v>40</v>
      </c>
      <c r="AM24" s="447">
        <v>40</v>
      </c>
      <c r="AN24" s="447">
        <v>40</v>
      </c>
      <c r="AO24" s="447">
        <v>32</v>
      </c>
      <c r="AP24" s="457">
        <v>8</v>
      </c>
      <c r="AQ24" s="459">
        <v>160</v>
      </c>
      <c r="AR24" s="447">
        <v>32</v>
      </c>
      <c r="AS24" s="447">
        <v>40</v>
      </c>
      <c r="AT24" s="447">
        <v>40</v>
      </c>
      <c r="AU24" s="447">
        <v>40</v>
      </c>
      <c r="AV24" s="447">
        <v>24</v>
      </c>
      <c r="AW24" s="458">
        <v>176</v>
      </c>
      <c r="AX24" s="447">
        <v>8</v>
      </c>
      <c r="AY24" s="447">
        <v>40</v>
      </c>
      <c r="AZ24" s="447">
        <v>40</v>
      </c>
      <c r="BA24" s="447">
        <v>40</v>
      </c>
      <c r="BB24" s="447">
        <v>40</v>
      </c>
      <c r="BC24" s="458">
        <v>168</v>
      </c>
      <c r="BD24" s="447">
        <v>40</v>
      </c>
      <c r="BE24" s="447">
        <v>0</v>
      </c>
      <c r="BF24" s="447">
        <v>0</v>
      </c>
      <c r="BG24" s="447">
        <v>0</v>
      </c>
      <c r="BH24" s="447">
        <v>0</v>
      </c>
      <c r="BI24" s="460">
        <v>40</v>
      </c>
      <c r="BJ24" s="462">
        <v>1552</v>
      </c>
    </row>
    <row r="25" spans="2:62" x14ac:dyDescent="0.2">
      <c r="B25" s="451" t="s">
        <v>36</v>
      </c>
      <c r="C25" s="449">
        <v>40</v>
      </c>
      <c r="D25" s="447">
        <v>40</v>
      </c>
      <c r="E25" s="447">
        <v>40</v>
      </c>
      <c r="F25" s="447">
        <v>40</v>
      </c>
      <c r="G25" s="448">
        <v>16</v>
      </c>
      <c r="H25" s="458">
        <v>176</v>
      </c>
      <c r="I25" s="447">
        <v>24</v>
      </c>
      <c r="J25" s="447">
        <v>40</v>
      </c>
      <c r="K25" s="447">
        <v>40</v>
      </c>
      <c r="L25" s="447">
        <v>40</v>
      </c>
      <c r="M25" s="448">
        <v>16</v>
      </c>
      <c r="N25" s="458">
        <v>160</v>
      </c>
      <c r="O25" s="447">
        <v>24</v>
      </c>
      <c r="P25" s="447">
        <v>40</v>
      </c>
      <c r="Q25" s="447">
        <v>40</v>
      </c>
      <c r="R25" s="447">
        <v>40</v>
      </c>
      <c r="S25" s="448">
        <v>40</v>
      </c>
      <c r="T25" s="458">
        <v>184</v>
      </c>
      <c r="U25" s="447">
        <v>40</v>
      </c>
      <c r="V25" s="447">
        <v>24</v>
      </c>
      <c r="W25" s="447">
        <v>40</v>
      </c>
      <c r="X25" s="447">
        <v>40</v>
      </c>
      <c r="Y25" s="458">
        <v>144</v>
      </c>
      <c r="Z25" s="449">
        <v>32</v>
      </c>
      <c r="AA25" s="447">
        <v>40</v>
      </c>
      <c r="AB25" s="447">
        <v>40</v>
      </c>
      <c r="AC25" s="447">
        <v>40</v>
      </c>
      <c r="AD25" s="448">
        <v>24</v>
      </c>
      <c r="AE25" s="458">
        <v>176</v>
      </c>
      <c r="AF25" s="447">
        <v>16</v>
      </c>
      <c r="AG25" s="447">
        <v>40</v>
      </c>
      <c r="AH25" s="447">
        <v>40</v>
      </c>
      <c r="AI25" s="447">
        <v>40</v>
      </c>
      <c r="AJ25" s="448">
        <v>32</v>
      </c>
      <c r="AK25" s="460">
        <v>168</v>
      </c>
      <c r="AL25" s="456">
        <v>40</v>
      </c>
      <c r="AM25" s="447">
        <v>40</v>
      </c>
      <c r="AN25" s="447">
        <v>40</v>
      </c>
      <c r="AO25" s="447">
        <v>32</v>
      </c>
      <c r="AP25" s="457">
        <v>8</v>
      </c>
      <c r="AQ25" s="459">
        <v>160</v>
      </c>
      <c r="AR25" s="447">
        <v>32</v>
      </c>
      <c r="AS25" s="447">
        <v>40</v>
      </c>
      <c r="AT25" s="447">
        <v>40</v>
      </c>
      <c r="AU25" s="447">
        <v>40</v>
      </c>
      <c r="AV25" s="447">
        <v>24</v>
      </c>
      <c r="AW25" s="458">
        <v>176</v>
      </c>
      <c r="AX25" s="447">
        <v>8</v>
      </c>
      <c r="AY25" s="447">
        <v>40</v>
      </c>
      <c r="AZ25" s="447">
        <v>40</v>
      </c>
      <c r="BA25" s="447">
        <v>40</v>
      </c>
      <c r="BB25" s="447">
        <v>40</v>
      </c>
      <c r="BC25" s="458">
        <v>168</v>
      </c>
      <c r="BD25" s="447">
        <v>40</v>
      </c>
      <c r="BE25" s="447">
        <v>0</v>
      </c>
      <c r="BF25" s="447">
        <v>0</v>
      </c>
      <c r="BG25" s="447">
        <v>0</v>
      </c>
      <c r="BH25" s="447">
        <v>0</v>
      </c>
      <c r="BI25" s="460">
        <v>40</v>
      </c>
      <c r="BJ25" s="462">
        <v>1552</v>
      </c>
    </row>
    <row r="26" spans="2:62" x14ac:dyDescent="0.2">
      <c r="B26" s="451" t="s">
        <v>37</v>
      </c>
      <c r="C26" s="449">
        <v>40</v>
      </c>
      <c r="D26" s="447">
        <v>40</v>
      </c>
      <c r="E26" s="447">
        <v>40</v>
      </c>
      <c r="F26" s="447">
        <v>40</v>
      </c>
      <c r="G26" s="448">
        <v>16</v>
      </c>
      <c r="H26" s="458">
        <v>176</v>
      </c>
      <c r="I26" s="447">
        <v>24</v>
      </c>
      <c r="J26" s="447">
        <v>40</v>
      </c>
      <c r="K26" s="447">
        <v>40</v>
      </c>
      <c r="L26" s="447">
        <v>40</v>
      </c>
      <c r="M26" s="448">
        <v>16</v>
      </c>
      <c r="N26" s="458">
        <v>160</v>
      </c>
      <c r="O26" s="447">
        <v>24</v>
      </c>
      <c r="P26" s="447">
        <v>40</v>
      </c>
      <c r="Q26" s="447">
        <v>40</v>
      </c>
      <c r="R26" s="447">
        <v>40</v>
      </c>
      <c r="S26" s="448">
        <v>40</v>
      </c>
      <c r="T26" s="458">
        <v>184</v>
      </c>
      <c r="U26" s="447">
        <v>40</v>
      </c>
      <c r="V26" s="447">
        <v>24</v>
      </c>
      <c r="W26" s="447">
        <v>40</v>
      </c>
      <c r="X26" s="447">
        <v>40</v>
      </c>
      <c r="Y26" s="458">
        <v>144</v>
      </c>
      <c r="Z26" s="449">
        <v>32</v>
      </c>
      <c r="AA26" s="447">
        <v>40</v>
      </c>
      <c r="AB26" s="447">
        <v>40</v>
      </c>
      <c r="AC26" s="447">
        <v>40</v>
      </c>
      <c r="AD26" s="448">
        <v>24</v>
      </c>
      <c r="AE26" s="458">
        <v>176</v>
      </c>
      <c r="AF26" s="447">
        <v>16</v>
      </c>
      <c r="AG26" s="447">
        <v>40</v>
      </c>
      <c r="AH26" s="447">
        <v>40</v>
      </c>
      <c r="AI26" s="447">
        <v>40</v>
      </c>
      <c r="AJ26" s="448">
        <v>32</v>
      </c>
      <c r="AK26" s="460">
        <v>168</v>
      </c>
      <c r="AL26" s="456">
        <v>40</v>
      </c>
      <c r="AM26" s="447">
        <v>40</v>
      </c>
      <c r="AN26" s="447">
        <v>40</v>
      </c>
      <c r="AO26" s="447">
        <v>32</v>
      </c>
      <c r="AP26" s="457">
        <v>8</v>
      </c>
      <c r="AQ26" s="459">
        <v>160</v>
      </c>
      <c r="AR26" s="447">
        <v>32</v>
      </c>
      <c r="AS26" s="447">
        <v>40</v>
      </c>
      <c r="AT26" s="447">
        <v>40</v>
      </c>
      <c r="AU26" s="447">
        <v>40</v>
      </c>
      <c r="AV26" s="447">
        <v>24</v>
      </c>
      <c r="AW26" s="458">
        <v>176</v>
      </c>
      <c r="AX26" s="447">
        <v>8</v>
      </c>
      <c r="AY26" s="447">
        <v>40</v>
      </c>
      <c r="AZ26" s="447">
        <v>40</v>
      </c>
      <c r="BA26" s="447">
        <v>40</v>
      </c>
      <c r="BB26" s="447">
        <v>40</v>
      </c>
      <c r="BC26" s="458">
        <v>168</v>
      </c>
      <c r="BD26" s="447">
        <v>40</v>
      </c>
      <c r="BE26" s="447">
        <v>0</v>
      </c>
      <c r="BF26" s="447">
        <v>0</v>
      </c>
      <c r="BG26" s="447">
        <v>0</v>
      </c>
      <c r="BH26" s="447">
        <v>0</v>
      </c>
      <c r="BI26" s="460">
        <v>40</v>
      </c>
      <c r="BJ26" s="462">
        <v>1552</v>
      </c>
    </row>
    <row r="27" spans="2:62" x14ac:dyDescent="0.2">
      <c r="B27" s="451" t="s">
        <v>38</v>
      </c>
      <c r="C27" s="449">
        <v>40</v>
      </c>
      <c r="D27" s="447">
        <v>40</v>
      </c>
      <c r="E27" s="447">
        <v>40</v>
      </c>
      <c r="F27" s="447">
        <v>40</v>
      </c>
      <c r="G27" s="448">
        <v>16</v>
      </c>
      <c r="H27" s="458">
        <v>176</v>
      </c>
      <c r="I27" s="447">
        <v>24</v>
      </c>
      <c r="J27" s="447">
        <v>40</v>
      </c>
      <c r="K27" s="447">
        <v>40</v>
      </c>
      <c r="L27" s="447">
        <v>40</v>
      </c>
      <c r="M27" s="448">
        <v>16</v>
      </c>
      <c r="N27" s="458">
        <v>160</v>
      </c>
      <c r="O27" s="447">
        <v>24</v>
      </c>
      <c r="P27" s="447">
        <v>40</v>
      </c>
      <c r="Q27" s="447">
        <v>40</v>
      </c>
      <c r="R27" s="447">
        <v>40</v>
      </c>
      <c r="S27" s="448">
        <v>40</v>
      </c>
      <c r="T27" s="458">
        <v>184</v>
      </c>
      <c r="U27" s="447">
        <v>40</v>
      </c>
      <c r="V27" s="447">
        <v>24</v>
      </c>
      <c r="W27" s="447">
        <v>40</v>
      </c>
      <c r="X27" s="447">
        <v>40</v>
      </c>
      <c r="Y27" s="458">
        <v>144</v>
      </c>
      <c r="Z27" s="449">
        <v>40</v>
      </c>
      <c r="AA27" s="447">
        <v>40</v>
      </c>
      <c r="AB27" s="447">
        <v>32</v>
      </c>
      <c r="AC27" s="447">
        <v>40</v>
      </c>
      <c r="AD27" s="448">
        <v>24</v>
      </c>
      <c r="AE27" s="458">
        <v>176</v>
      </c>
      <c r="AF27" s="447">
        <v>16</v>
      </c>
      <c r="AG27" s="447">
        <v>0</v>
      </c>
      <c r="AH27" s="447">
        <v>0</v>
      </c>
      <c r="AI27" s="447">
        <v>0</v>
      </c>
      <c r="AJ27" s="448">
        <v>0</v>
      </c>
      <c r="AK27" s="460">
        <v>16</v>
      </c>
      <c r="AL27" s="456">
        <v>0</v>
      </c>
      <c r="AM27" s="447">
        <v>0</v>
      </c>
      <c r="AN27" s="447">
        <v>0</v>
      </c>
      <c r="AO27" s="447">
        <v>0</v>
      </c>
      <c r="AP27" s="457">
        <v>0</v>
      </c>
      <c r="AQ27" s="459">
        <v>0</v>
      </c>
      <c r="AR27" s="447">
        <v>0</v>
      </c>
      <c r="AS27" s="447">
        <v>0</v>
      </c>
      <c r="AT27" s="447">
        <v>0</v>
      </c>
      <c r="AU27" s="447">
        <v>0</v>
      </c>
      <c r="AV27" s="447">
        <v>0</v>
      </c>
      <c r="AW27" s="458">
        <v>0</v>
      </c>
      <c r="AX27" s="447">
        <v>0</v>
      </c>
      <c r="AY27" s="447">
        <v>0</v>
      </c>
      <c r="AZ27" s="447">
        <v>0</v>
      </c>
      <c r="BA27" s="447">
        <v>0</v>
      </c>
      <c r="BB27" s="447">
        <v>0</v>
      </c>
      <c r="BC27" s="458">
        <v>0</v>
      </c>
      <c r="BD27" s="447">
        <v>0</v>
      </c>
      <c r="BE27" s="447">
        <v>0</v>
      </c>
      <c r="BF27" s="447">
        <v>0</v>
      </c>
      <c r="BG27" s="447">
        <v>0</v>
      </c>
      <c r="BH27" s="447">
        <v>0</v>
      </c>
      <c r="BI27" s="460">
        <v>0</v>
      </c>
      <c r="BJ27" s="462">
        <v>856</v>
      </c>
    </row>
    <row r="28" spans="2:62" x14ac:dyDescent="0.2">
      <c r="B28" s="451" t="s">
        <v>39</v>
      </c>
      <c r="C28" s="449">
        <v>40</v>
      </c>
      <c r="D28" s="447">
        <v>40</v>
      </c>
      <c r="E28" s="447">
        <v>40</v>
      </c>
      <c r="F28" s="447">
        <v>40</v>
      </c>
      <c r="G28" s="448">
        <v>16</v>
      </c>
      <c r="H28" s="458">
        <v>176</v>
      </c>
      <c r="I28" s="447">
        <v>24</v>
      </c>
      <c r="J28" s="447">
        <v>40</v>
      </c>
      <c r="K28" s="447">
        <v>40</v>
      </c>
      <c r="L28" s="447">
        <v>40</v>
      </c>
      <c r="M28" s="448">
        <v>16</v>
      </c>
      <c r="N28" s="458">
        <v>160</v>
      </c>
      <c r="O28" s="447">
        <v>24</v>
      </c>
      <c r="P28" s="447">
        <v>40</v>
      </c>
      <c r="Q28" s="447">
        <v>40</v>
      </c>
      <c r="R28" s="447">
        <v>40</v>
      </c>
      <c r="S28" s="448">
        <v>40</v>
      </c>
      <c r="T28" s="458">
        <v>184</v>
      </c>
      <c r="U28" s="447">
        <v>40</v>
      </c>
      <c r="V28" s="447">
        <v>24</v>
      </c>
      <c r="W28" s="447">
        <v>40</v>
      </c>
      <c r="X28" s="447">
        <v>40</v>
      </c>
      <c r="Y28" s="458">
        <v>144</v>
      </c>
      <c r="Z28" s="449">
        <v>40</v>
      </c>
      <c r="AA28" s="447">
        <v>40</v>
      </c>
      <c r="AB28" s="447">
        <v>40</v>
      </c>
      <c r="AC28" s="447">
        <v>40</v>
      </c>
      <c r="AD28" s="448">
        <v>16</v>
      </c>
      <c r="AE28" s="458">
        <v>176</v>
      </c>
      <c r="AF28" s="447">
        <v>16</v>
      </c>
      <c r="AG28" s="447">
        <v>40</v>
      </c>
      <c r="AH28" s="447">
        <v>40</v>
      </c>
      <c r="AI28" s="447">
        <v>40</v>
      </c>
      <c r="AJ28" s="448">
        <v>32</v>
      </c>
      <c r="AK28" s="460">
        <v>168</v>
      </c>
      <c r="AL28" s="456">
        <v>40</v>
      </c>
      <c r="AM28" s="447">
        <v>40</v>
      </c>
      <c r="AN28" s="447">
        <v>40</v>
      </c>
      <c r="AO28" s="447">
        <v>32</v>
      </c>
      <c r="AP28" s="457">
        <v>8</v>
      </c>
      <c r="AQ28" s="459">
        <v>160</v>
      </c>
      <c r="AR28" s="447">
        <v>32</v>
      </c>
      <c r="AS28" s="447">
        <v>40</v>
      </c>
      <c r="AT28" s="447">
        <v>40</v>
      </c>
      <c r="AU28" s="447">
        <v>24</v>
      </c>
      <c r="AV28" s="447">
        <v>0</v>
      </c>
      <c r="AW28" s="458">
        <v>136</v>
      </c>
      <c r="AX28" s="447">
        <v>0</v>
      </c>
      <c r="AY28" s="447">
        <v>0</v>
      </c>
      <c r="AZ28" s="447">
        <v>0</v>
      </c>
      <c r="BA28" s="447">
        <v>0</v>
      </c>
      <c r="BB28" s="447">
        <v>0</v>
      </c>
      <c r="BC28" s="458">
        <v>0</v>
      </c>
      <c r="BD28" s="447">
        <v>0</v>
      </c>
      <c r="BE28" s="447">
        <v>0</v>
      </c>
      <c r="BF28" s="447">
        <v>0</v>
      </c>
      <c r="BG28" s="447">
        <v>0</v>
      </c>
      <c r="BH28" s="447">
        <v>0</v>
      </c>
      <c r="BI28" s="460">
        <v>0</v>
      </c>
      <c r="BJ28" s="462">
        <v>1304</v>
      </c>
    </row>
    <row r="29" spans="2:62" x14ac:dyDescent="0.2">
      <c r="B29" s="451" t="s">
        <v>230</v>
      </c>
      <c r="C29" s="449">
        <v>0</v>
      </c>
      <c r="D29" s="447">
        <v>0</v>
      </c>
      <c r="E29" s="447">
        <v>0</v>
      </c>
      <c r="F29" s="447">
        <v>0</v>
      </c>
      <c r="G29" s="448">
        <v>0</v>
      </c>
      <c r="H29" s="458">
        <v>0</v>
      </c>
      <c r="I29" s="447">
        <v>0</v>
      </c>
      <c r="J29" s="447">
        <v>0</v>
      </c>
      <c r="K29" s="447">
        <v>0</v>
      </c>
      <c r="L29" s="447">
        <v>0</v>
      </c>
      <c r="M29" s="448">
        <v>0</v>
      </c>
      <c r="N29" s="458">
        <v>0</v>
      </c>
      <c r="O29" s="447">
        <v>0</v>
      </c>
      <c r="P29" s="447">
        <v>0</v>
      </c>
      <c r="Q29" s="447">
        <v>0</v>
      </c>
      <c r="R29" s="447">
        <v>0</v>
      </c>
      <c r="S29" s="448">
        <v>0</v>
      </c>
      <c r="T29" s="458">
        <v>0</v>
      </c>
      <c r="U29" s="447">
        <v>0</v>
      </c>
      <c r="V29" s="447">
        <v>0</v>
      </c>
      <c r="W29" s="447">
        <v>0</v>
      </c>
      <c r="X29" s="447">
        <v>0</v>
      </c>
      <c r="Y29" s="458">
        <v>0</v>
      </c>
      <c r="Z29" s="449">
        <v>0</v>
      </c>
      <c r="AA29" s="447">
        <v>0</v>
      </c>
      <c r="AB29" s="447">
        <v>0</v>
      </c>
      <c r="AC29" s="447">
        <v>0</v>
      </c>
      <c r="AD29" s="448">
        <v>0</v>
      </c>
      <c r="AE29" s="458">
        <v>0</v>
      </c>
      <c r="AF29" s="447">
        <v>0</v>
      </c>
      <c r="AG29" s="447">
        <v>40</v>
      </c>
      <c r="AH29" s="447">
        <v>40</v>
      </c>
      <c r="AI29" s="447">
        <v>40</v>
      </c>
      <c r="AJ29" s="448">
        <v>32</v>
      </c>
      <c r="AK29" s="460">
        <v>152</v>
      </c>
      <c r="AL29" s="456">
        <v>40</v>
      </c>
      <c r="AM29" s="447">
        <v>40</v>
      </c>
      <c r="AN29" s="447">
        <v>40</v>
      </c>
      <c r="AO29" s="447">
        <v>32</v>
      </c>
      <c r="AP29" s="457">
        <v>0</v>
      </c>
      <c r="AQ29" s="459">
        <v>152</v>
      </c>
      <c r="AR29" s="447">
        <v>0</v>
      </c>
      <c r="AS29" s="447">
        <v>0</v>
      </c>
      <c r="AT29" s="447">
        <v>0</v>
      </c>
      <c r="AU29" s="447">
        <v>0</v>
      </c>
      <c r="AV29" s="447">
        <v>0</v>
      </c>
      <c r="AW29" s="458">
        <v>0</v>
      </c>
      <c r="AX29" s="447">
        <v>0</v>
      </c>
      <c r="AY29" s="447">
        <v>0</v>
      </c>
      <c r="AZ29" s="447">
        <v>0</v>
      </c>
      <c r="BA29" s="447">
        <v>0</v>
      </c>
      <c r="BB29" s="447">
        <v>0</v>
      </c>
      <c r="BC29" s="458">
        <v>0</v>
      </c>
      <c r="BD29" s="447">
        <v>0</v>
      </c>
      <c r="BE29" s="447">
        <v>0</v>
      </c>
      <c r="BF29" s="447">
        <v>0</v>
      </c>
      <c r="BG29" s="447">
        <v>0</v>
      </c>
      <c r="BH29" s="447">
        <v>0</v>
      </c>
      <c r="BI29" s="460">
        <v>0</v>
      </c>
      <c r="BJ29" s="462">
        <v>304</v>
      </c>
    </row>
    <row r="30" spans="2:62" x14ac:dyDescent="0.2">
      <c r="B30" s="451" t="s">
        <v>13</v>
      </c>
      <c r="C30" s="449">
        <v>40</v>
      </c>
      <c r="D30" s="447">
        <v>40</v>
      </c>
      <c r="E30" s="447">
        <v>40</v>
      </c>
      <c r="F30" s="447">
        <v>40</v>
      </c>
      <c r="G30" s="448">
        <v>16</v>
      </c>
      <c r="H30" s="458">
        <v>176</v>
      </c>
      <c r="I30" s="447">
        <v>24</v>
      </c>
      <c r="J30" s="447">
        <v>40</v>
      </c>
      <c r="K30" s="447">
        <v>40</v>
      </c>
      <c r="L30" s="447">
        <v>40</v>
      </c>
      <c r="M30" s="448">
        <v>16</v>
      </c>
      <c r="N30" s="458">
        <v>160</v>
      </c>
      <c r="O30" s="447">
        <v>24</v>
      </c>
      <c r="P30" s="447">
        <v>40</v>
      </c>
      <c r="Q30" s="447">
        <v>40</v>
      </c>
      <c r="R30" s="447">
        <v>40</v>
      </c>
      <c r="S30" s="448">
        <v>40</v>
      </c>
      <c r="T30" s="458">
        <v>184</v>
      </c>
      <c r="U30" s="447">
        <v>40</v>
      </c>
      <c r="V30" s="447">
        <v>24</v>
      </c>
      <c r="W30" s="447">
        <v>40</v>
      </c>
      <c r="X30" s="447">
        <v>40</v>
      </c>
      <c r="Y30" s="458">
        <v>144</v>
      </c>
      <c r="Z30" s="449">
        <v>32</v>
      </c>
      <c r="AA30" s="447">
        <v>40</v>
      </c>
      <c r="AB30" s="447">
        <v>40</v>
      </c>
      <c r="AC30" s="447">
        <v>40</v>
      </c>
      <c r="AD30" s="448">
        <v>24</v>
      </c>
      <c r="AE30" s="458">
        <v>176</v>
      </c>
      <c r="AF30" s="447">
        <v>16</v>
      </c>
      <c r="AG30" s="447">
        <v>40</v>
      </c>
      <c r="AH30" s="447">
        <v>40</v>
      </c>
      <c r="AI30" s="447">
        <v>40</v>
      </c>
      <c r="AJ30" s="448">
        <v>32</v>
      </c>
      <c r="AK30" s="460">
        <v>168</v>
      </c>
      <c r="AL30" s="456">
        <v>40</v>
      </c>
      <c r="AM30" s="447">
        <v>40</v>
      </c>
      <c r="AN30" s="447">
        <v>40</v>
      </c>
      <c r="AO30" s="447">
        <v>32</v>
      </c>
      <c r="AP30" s="457">
        <v>8</v>
      </c>
      <c r="AQ30" s="459">
        <v>160</v>
      </c>
      <c r="AR30" s="447">
        <v>32</v>
      </c>
      <c r="AS30" s="447">
        <v>40</v>
      </c>
      <c r="AT30" s="447">
        <v>40</v>
      </c>
      <c r="AU30" s="447">
        <v>40</v>
      </c>
      <c r="AV30" s="447">
        <v>24</v>
      </c>
      <c r="AW30" s="458">
        <v>176</v>
      </c>
      <c r="AX30" s="447">
        <v>8</v>
      </c>
      <c r="AY30" s="447">
        <v>40</v>
      </c>
      <c r="AZ30" s="447">
        <v>40</v>
      </c>
      <c r="BA30" s="447">
        <v>40</v>
      </c>
      <c r="BB30" s="447">
        <v>40</v>
      </c>
      <c r="BC30" s="458">
        <v>168</v>
      </c>
      <c r="BD30" s="447">
        <v>40</v>
      </c>
      <c r="BE30" s="447">
        <v>0</v>
      </c>
      <c r="BF30" s="447">
        <v>0</v>
      </c>
      <c r="BG30" s="447">
        <v>0</v>
      </c>
      <c r="BH30" s="447">
        <v>0</v>
      </c>
      <c r="BI30" s="460">
        <v>40</v>
      </c>
      <c r="BJ30" s="462">
        <v>1552</v>
      </c>
    </row>
    <row r="31" spans="2:62" x14ac:dyDescent="0.2">
      <c r="B31" s="451" t="s">
        <v>197</v>
      </c>
      <c r="C31" s="449">
        <v>0</v>
      </c>
      <c r="D31" s="447">
        <v>0</v>
      </c>
      <c r="E31" s="447">
        <v>0</v>
      </c>
      <c r="F31" s="447">
        <v>0</v>
      </c>
      <c r="G31" s="448">
        <v>0</v>
      </c>
      <c r="H31" s="458">
        <v>0</v>
      </c>
      <c r="I31" s="447">
        <v>0</v>
      </c>
      <c r="J31" s="447">
        <v>0</v>
      </c>
      <c r="K31" s="447">
        <v>0</v>
      </c>
      <c r="L31" s="447">
        <v>0</v>
      </c>
      <c r="M31" s="448">
        <v>0</v>
      </c>
      <c r="N31" s="458">
        <v>0</v>
      </c>
      <c r="O31" s="447">
        <v>0</v>
      </c>
      <c r="P31" s="447">
        <v>0</v>
      </c>
      <c r="Q31" s="447">
        <v>0</v>
      </c>
      <c r="R31" s="447">
        <v>0</v>
      </c>
      <c r="S31" s="448">
        <v>0</v>
      </c>
      <c r="T31" s="458">
        <v>0</v>
      </c>
      <c r="U31" s="447">
        <v>0</v>
      </c>
      <c r="V31" s="447">
        <v>0</v>
      </c>
      <c r="W31" s="447">
        <v>0</v>
      </c>
      <c r="X31" s="447">
        <v>0</v>
      </c>
      <c r="Y31" s="458">
        <v>0</v>
      </c>
      <c r="Z31" s="449">
        <v>0</v>
      </c>
      <c r="AA31" s="447">
        <v>0</v>
      </c>
      <c r="AB31" s="447">
        <v>0</v>
      </c>
      <c r="AC31" s="447">
        <v>0</v>
      </c>
      <c r="AD31" s="448">
        <v>0</v>
      </c>
      <c r="AE31" s="458">
        <v>0</v>
      </c>
      <c r="AF31" s="447">
        <v>0</v>
      </c>
      <c r="AG31" s="447">
        <v>0</v>
      </c>
      <c r="AH31" s="447">
        <v>40</v>
      </c>
      <c r="AI31" s="447">
        <v>40</v>
      </c>
      <c r="AJ31" s="448">
        <v>32</v>
      </c>
      <c r="AK31" s="460">
        <v>112</v>
      </c>
      <c r="AL31" s="456">
        <v>40</v>
      </c>
      <c r="AM31" s="447">
        <v>40</v>
      </c>
      <c r="AN31" s="447">
        <v>40</v>
      </c>
      <c r="AO31" s="447">
        <v>32</v>
      </c>
      <c r="AP31" s="457">
        <v>8</v>
      </c>
      <c r="AQ31" s="459">
        <v>160</v>
      </c>
      <c r="AR31" s="447">
        <v>32</v>
      </c>
      <c r="AS31" s="447">
        <v>40</v>
      </c>
      <c r="AT31" s="447">
        <v>40</v>
      </c>
      <c r="AU31" s="447">
        <v>40</v>
      </c>
      <c r="AV31" s="447">
        <v>24</v>
      </c>
      <c r="AW31" s="458">
        <v>176</v>
      </c>
      <c r="AX31" s="447">
        <v>8</v>
      </c>
      <c r="AY31" s="447">
        <v>40</v>
      </c>
      <c r="AZ31" s="447">
        <v>40</v>
      </c>
      <c r="BA31" s="447">
        <v>40</v>
      </c>
      <c r="BB31" s="447">
        <v>40</v>
      </c>
      <c r="BC31" s="458">
        <v>168</v>
      </c>
      <c r="BD31" s="447">
        <v>40</v>
      </c>
      <c r="BE31" s="447">
        <v>0</v>
      </c>
      <c r="BF31" s="447">
        <v>0</v>
      </c>
      <c r="BG31" s="447">
        <v>0</v>
      </c>
      <c r="BH31" s="447">
        <v>0</v>
      </c>
      <c r="BI31" s="460">
        <v>40</v>
      </c>
      <c r="BJ31" s="462">
        <v>656</v>
      </c>
    </row>
    <row r="32" spans="2:62" x14ac:dyDescent="0.2">
      <c r="B32" s="451" t="s">
        <v>195</v>
      </c>
      <c r="C32" s="449">
        <v>0</v>
      </c>
      <c r="D32" s="447">
        <v>0</v>
      </c>
      <c r="E32" s="447">
        <v>0</v>
      </c>
      <c r="F32" s="447">
        <v>0</v>
      </c>
      <c r="G32" s="448">
        <v>0</v>
      </c>
      <c r="H32" s="458">
        <v>0</v>
      </c>
      <c r="I32" s="447">
        <v>0</v>
      </c>
      <c r="J32" s="447">
        <v>0</v>
      </c>
      <c r="K32" s="447">
        <v>0</v>
      </c>
      <c r="L32" s="447">
        <v>0</v>
      </c>
      <c r="M32" s="448">
        <v>0</v>
      </c>
      <c r="N32" s="458">
        <v>0</v>
      </c>
      <c r="O32" s="447">
        <v>0</v>
      </c>
      <c r="P32" s="447">
        <v>0</v>
      </c>
      <c r="Q32" s="447">
        <v>0</v>
      </c>
      <c r="R32" s="447">
        <v>0</v>
      </c>
      <c r="S32" s="448">
        <v>0</v>
      </c>
      <c r="T32" s="458">
        <v>0</v>
      </c>
      <c r="U32" s="447">
        <v>0</v>
      </c>
      <c r="V32" s="447">
        <v>0</v>
      </c>
      <c r="W32" s="447">
        <v>0</v>
      </c>
      <c r="X32" s="447">
        <v>0</v>
      </c>
      <c r="Y32" s="458">
        <v>0</v>
      </c>
      <c r="Z32" s="449">
        <v>0</v>
      </c>
      <c r="AA32" s="447">
        <v>0</v>
      </c>
      <c r="AB32" s="447">
        <v>32</v>
      </c>
      <c r="AC32" s="447">
        <v>40</v>
      </c>
      <c r="AD32" s="448">
        <v>24</v>
      </c>
      <c r="AE32" s="458">
        <v>96</v>
      </c>
      <c r="AF32" s="447">
        <v>16</v>
      </c>
      <c r="AG32" s="447">
        <v>40</v>
      </c>
      <c r="AH32" s="447">
        <v>40</v>
      </c>
      <c r="AI32" s="447">
        <v>40</v>
      </c>
      <c r="AJ32" s="448">
        <v>32</v>
      </c>
      <c r="AK32" s="460">
        <v>168</v>
      </c>
      <c r="AL32" s="456">
        <v>40</v>
      </c>
      <c r="AM32" s="447">
        <v>40</v>
      </c>
      <c r="AN32" s="447">
        <v>40</v>
      </c>
      <c r="AO32" s="447">
        <v>32</v>
      </c>
      <c r="AP32" s="457">
        <v>8</v>
      </c>
      <c r="AQ32" s="459">
        <v>160</v>
      </c>
      <c r="AR32" s="447">
        <v>32</v>
      </c>
      <c r="AS32" s="447">
        <v>40</v>
      </c>
      <c r="AT32" s="447">
        <v>40</v>
      </c>
      <c r="AU32" s="447">
        <v>40</v>
      </c>
      <c r="AV32" s="447">
        <v>24</v>
      </c>
      <c r="AW32" s="458">
        <v>176</v>
      </c>
      <c r="AX32" s="447">
        <v>8</v>
      </c>
      <c r="AY32" s="447">
        <v>40</v>
      </c>
      <c r="AZ32" s="447">
        <v>40</v>
      </c>
      <c r="BA32" s="447">
        <v>40</v>
      </c>
      <c r="BB32" s="447">
        <v>40</v>
      </c>
      <c r="BC32" s="458">
        <v>168</v>
      </c>
      <c r="BD32" s="447">
        <v>40</v>
      </c>
      <c r="BE32" s="447">
        <v>0</v>
      </c>
      <c r="BF32" s="447">
        <v>0</v>
      </c>
      <c r="BG32" s="447">
        <v>0</v>
      </c>
      <c r="BH32" s="447">
        <v>0</v>
      </c>
      <c r="BI32" s="460">
        <v>40</v>
      </c>
      <c r="BJ32" s="462">
        <v>808</v>
      </c>
    </row>
    <row r="33" spans="2:62" x14ac:dyDescent="0.2">
      <c r="B33" s="451" t="s">
        <v>200</v>
      </c>
      <c r="C33" s="449">
        <v>0</v>
      </c>
      <c r="D33" s="447">
        <v>0</v>
      </c>
      <c r="E33" s="447">
        <v>0</v>
      </c>
      <c r="F33" s="447">
        <v>0</v>
      </c>
      <c r="G33" s="448">
        <v>0</v>
      </c>
      <c r="H33" s="458">
        <v>0</v>
      </c>
      <c r="I33" s="447">
        <v>0</v>
      </c>
      <c r="J33" s="447">
        <v>0</v>
      </c>
      <c r="K33" s="447">
        <v>0</v>
      </c>
      <c r="L33" s="447">
        <v>0</v>
      </c>
      <c r="M33" s="448">
        <v>0</v>
      </c>
      <c r="N33" s="458">
        <v>0</v>
      </c>
      <c r="O33" s="447">
        <v>0</v>
      </c>
      <c r="P33" s="447">
        <v>0</v>
      </c>
      <c r="Q33" s="447">
        <v>0</v>
      </c>
      <c r="R33" s="447">
        <v>0</v>
      </c>
      <c r="S33" s="448">
        <v>0</v>
      </c>
      <c r="T33" s="458">
        <v>0</v>
      </c>
      <c r="U33" s="447">
        <v>0</v>
      </c>
      <c r="V33" s="447">
        <v>0</v>
      </c>
      <c r="W33" s="447">
        <v>0</v>
      </c>
      <c r="X33" s="447">
        <v>0</v>
      </c>
      <c r="Y33" s="458">
        <v>0</v>
      </c>
      <c r="Z33" s="449">
        <v>0</v>
      </c>
      <c r="AA33" s="447">
        <v>0</v>
      </c>
      <c r="AB33" s="447">
        <v>0</v>
      </c>
      <c r="AC33" s="447">
        <v>0</v>
      </c>
      <c r="AD33" s="448">
        <v>0</v>
      </c>
      <c r="AE33" s="458">
        <v>0</v>
      </c>
      <c r="AF33" s="447">
        <v>0</v>
      </c>
      <c r="AG33" s="447">
        <v>8</v>
      </c>
      <c r="AH33" s="447">
        <v>40</v>
      </c>
      <c r="AI33" s="447">
        <v>40</v>
      </c>
      <c r="AJ33" s="448">
        <v>32</v>
      </c>
      <c r="AK33" s="460">
        <v>120</v>
      </c>
      <c r="AL33" s="456">
        <v>0</v>
      </c>
      <c r="AM33" s="447">
        <v>0</v>
      </c>
      <c r="AN33" s="447">
        <v>0</v>
      </c>
      <c r="AO33" s="447">
        <v>0</v>
      </c>
      <c r="AP33" s="457">
        <v>0</v>
      </c>
      <c r="AQ33" s="459">
        <v>0</v>
      </c>
      <c r="AR33" s="447">
        <v>0</v>
      </c>
      <c r="AS33" s="447">
        <v>0</v>
      </c>
      <c r="AT33" s="447">
        <v>0</v>
      </c>
      <c r="AU33" s="447">
        <v>0</v>
      </c>
      <c r="AV33" s="447">
        <v>0</v>
      </c>
      <c r="AW33" s="458">
        <v>0</v>
      </c>
      <c r="AX33" s="447">
        <v>0</v>
      </c>
      <c r="AY33" s="447">
        <v>0</v>
      </c>
      <c r="AZ33" s="447">
        <v>0</v>
      </c>
      <c r="BA33" s="447">
        <v>0</v>
      </c>
      <c r="BB33" s="447">
        <v>0</v>
      </c>
      <c r="BC33" s="458">
        <v>0</v>
      </c>
      <c r="BD33" s="447">
        <v>0</v>
      </c>
      <c r="BE33" s="447">
        <v>0</v>
      </c>
      <c r="BF33" s="447">
        <v>0</v>
      </c>
      <c r="BG33" s="447">
        <v>0</v>
      </c>
      <c r="BH33" s="447">
        <v>0</v>
      </c>
      <c r="BI33" s="460">
        <v>0</v>
      </c>
      <c r="BJ33" s="462">
        <v>120</v>
      </c>
    </row>
    <row r="34" spans="2:62" x14ac:dyDescent="0.2">
      <c r="B34" s="451" t="s">
        <v>282</v>
      </c>
      <c r="C34" s="449">
        <v>0</v>
      </c>
      <c r="D34" s="447">
        <v>0</v>
      </c>
      <c r="E34" s="447">
        <v>0</v>
      </c>
      <c r="F34" s="447">
        <v>0</v>
      </c>
      <c r="G34" s="448">
        <v>0</v>
      </c>
      <c r="H34" s="458">
        <v>0</v>
      </c>
      <c r="I34" s="447">
        <v>0</v>
      </c>
      <c r="J34" s="447">
        <v>0</v>
      </c>
      <c r="K34" s="447">
        <v>0</v>
      </c>
      <c r="L34" s="447">
        <v>0</v>
      </c>
      <c r="M34" s="448">
        <v>0</v>
      </c>
      <c r="N34" s="458">
        <v>0</v>
      </c>
      <c r="O34" s="447">
        <v>0</v>
      </c>
      <c r="P34" s="447">
        <v>0</v>
      </c>
      <c r="Q34" s="447">
        <v>0</v>
      </c>
      <c r="R34" s="447">
        <v>0</v>
      </c>
      <c r="S34" s="448">
        <v>0</v>
      </c>
      <c r="T34" s="458">
        <v>0</v>
      </c>
      <c r="U34" s="447">
        <v>0</v>
      </c>
      <c r="V34" s="447">
        <v>0</v>
      </c>
      <c r="W34" s="447">
        <v>0</v>
      </c>
      <c r="X34" s="447">
        <v>0</v>
      </c>
      <c r="Y34" s="458">
        <v>0</v>
      </c>
      <c r="Z34" s="449">
        <v>0</v>
      </c>
      <c r="AA34" s="447">
        <v>18.5</v>
      </c>
      <c r="AB34" s="447">
        <v>40</v>
      </c>
      <c r="AC34" s="447">
        <v>40</v>
      </c>
      <c r="AD34" s="448">
        <v>24</v>
      </c>
      <c r="AE34" s="458">
        <v>122.5</v>
      </c>
      <c r="AF34" s="447">
        <v>16</v>
      </c>
      <c r="AG34" s="447">
        <v>40</v>
      </c>
      <c r="AH34" s="447">
        <v>40</v>
      </c>
      <c r="AI34" s="447">
        <v>40</v>
      </c>
      <c r="AJ34" s="448">
        <v>32</v>
      </c>
      <c r="AK34" s="460">
        <v>168</v>
      </c>
      <c r="AL34" s="456">
        <v>0</v>
      </c>
      <c r="AM34" s="447">
        <v>0</v>
      </c>
      <c r="AN34" s="447">
        <v>0</v>
      </c>
      <c r="AO34" s="447">
        <v>0</v>
      </c>
      <c r="AP34" s="457">
        <v>0</v>
      </c>
      <c r="AQ34" s="459">
        <v>0</v>
      </c>
      <c r="AR34" s="447">
        <v>0</v>
      </c>
      <c r="AS34" s="447">
        <v>0</v>
      </c>
      <c r="AT34" s="447">
        <v>0</v>
      </c>
      <c r="AU34" s="447">
        <v>0</v>
      </c>
      <c r="AV34" s="447">
        <v>0</v>
      </c>
      <c r="AW34" s="458">
        <v>0</v>
      </c>
      <c r="AX34" s="447">
        <v>0</v>
      </c>
      <c r="AY34" s="447">
        <v>0</v>
      </c>
      <c r="AZ34" s="447">
        <v>0</v>
      </c>
      <c r="BA34" s="447">
        <v>0</v>
      </c>
      <c r="BB34" s="447">
        <v>0</v>
      </c>
      <c r="BC34" s="458">
        <v>0</v>
      </c>
      <c r="BD34" s="447">
        <v>0</v>
      </c>
      <c r="BE34" s="447">
        <v>0</v>
      </c>
      <c r="BF34" s="447">
        <v>0</v>
      </c>
      <c r="BG34" s="447">
        <v>0</v>
      </c>
      <c r="BH34" s="447">
        <v>0</v>
      </c>
      <c r="BI34" s="460">
        <v>0</v>
      </c>
      <c r="BJ34" s="462">
        <v>290.5</v>
      </c>
    </row>
    <row r="35" spans="2:62" x14ac:dyDescent="0.2">
      <c r="B35" s="451" t="s">
        <v>17</v>
      </c>
      <c r="C35" s="449">
        <v>0</v>
      </c>
      <c r="D35" s="447">
        <v>0</v>
      </c>
      <c r="E35" s="447">
        <v>0</v>
      </c>
      <c r="F35" s="447">
        <v>0</v>
      </c>
      <c r="G35" s="448">
        <v>0</v>
      </c>
      <c r="H35" s="458">
        <v>0</v>
      </c>
      <c r="I35" s="447">
        <v>0</v>
      </c>
      <c r="J35" s="447">
        <v>0</v>
      </c>
      <c r="K35" s="447">
        <v>0</v>
      </c>
      <c r="L35" s="447">
        <v>0</v>
      </c>
      <c r="M35" s="448">
        <v>0</v>
      </c>
      <c r="N35" s="458">
        <v>0</v>
      </c>
      <c r="O35" s="447">
        <v>0</v>
      </c>
      <c r="P35" s="447">
        <v>0</v>
      </c>
      <c r="Q35" s="447">
        <v>0</v>
      </c>
      <c r="R35" s="447">
        <v>0</v>
      </c>
      <c r="S35" s="448">
        <v>0</v>
      </c>
      <c r="T35" s="458">
        <v>0</v>
      </c>
      <c r="U35" s="447">
        <v>8</v>
      </c>
      <c r="V35" s="447">
        <v>40</v>
      </c>
      <c r="W35" s="447">
        <v>40</v>
      </c>
      <c r="X35" s="447">
        <v>40</v>
      </c>
      <c r="Y35" s="458">
        <v>128</v>
      </c>
      <c r="Z35" s="449">
        <v>32</v>
      </c>
      <c r="AA35" s="447">
        <v>40</v>
      </c>
      <c r="AB35" s="447">
        <v>40</v>
      </c>
      <c r="AC35" s="447">
        <v>40</v>
      </c>
      <c r="AD35" s="448">
        <v>24</v>
      </c>
      <c r="AE35" s="458">
        <v>176</v>
      </c>
      <c r="AF35" s="447">
        <v>16</v>
      </c>
      <c r="AG35" s="447">
        <v>40</v>
      </c>
      <c r="AH35" s="447">
        <v>40</v>
      </c>
      <c r="AI35" s="447">
        <v>40</v>
      </c>
      <c r="AJ35" s="448">
        <v>32</v>
      </c>
      <c r="AK35" s="460">
        <v>168</v>
      </c>
      <c r="AL35" s="456">
        <v>8</v>
      </c>
      <c r="AM35" s="447">
        <v>0</v>
      </c>
      <c r="AN35" s="447">
        <v>0</v>
      </c>
      <c r="AO35" s="447">
        <v>0</v>
      </c>
      <c r="AP35" s="457">
        <v>0</v>
      </c>
      <c r="AQ35" s="459">
        <v>8</v>
      </c>
      <c r="AR35" s="447">
        <v>0</v>
      </c>
      <c r="AS35" s="447">
        <v>0</v>
      </c>
      <c r="AT35" s="447">
        <v>0</v>
      </c>
      <c r="AU35" s="447">
        <v>0</v>
      </c>
      <c r="AV35" s="447">
        <v>0</v>
      </c>
      <c r="AW35" s="458">
        <v>0</v>
      </c>
      <c r="AX35" s="447">
        <v>0</v>
      </c>
      <c r="AY35" s="447">
        <v>0</v>
      </c>
      <c r="AZ35" s="447">
        <v>0</v>
      </c>
      <c r="BA35" s="447">
        <v>0</v>
      </c>
      <c r="BB35" s="447">
        <v>0</v>
      </c>
      <c r="BC35" s="458">
        <v>0</v>
      </c>
      <c r="BD35" s="447">
        <v>0</v>
      </c>
      <c r="BE35" s="447">
        <v>0</v>
      </c>
      <c r="BF35" s="447">
        <v>0</v>
      </c>
      <c r="BG35" s="447">
        <v>0</v>
      </c>
      <c r="BH35" s="447">
        <v>0</v>
      </c>
      <c r="BI35" s="460">
        <v>0</v>
      </c>
      <c r="BJ35" s="462">
        <v>480</v>
      </c>
    </row>
    <row r="36" spans="2:62" x14ac:dyDescent="0.2">
      <c r="B36" s="451" t="s">
        <v>12</v>
      </c>
      <c r="C36" s="449">
        <v>40</v>
      </c>
      <c r="D36" s="447">
        <v>40</v>
      </c>
      <c r="E36" s="447">
        <v>40</v>
      </c>
      <c r="F36" s="447">
        <v>40</v>
      </c>
      <c r="G36" s="448">
        <v>16</v>
      </c>
      <c r="H36" s="458">
        <v>176</v>
      </c>
      <c r="I36" s="447">
        <v>24</v>
      </c>
      <c r="J36" s="447">
        <v>40</v>
      </c>
      <c r="K36" s="447">
        <v>40</v>
      </c>
      <c r="L36" s="447">
        <v>40</v>
      </c>
      <c r="M36" s="448">
        <v>16</v>
      </c>
      <c r="N36" s="458">
        <v>160</v>
      </c>
      <c r="O36" s="447">
        <v>24</v>
      </c>
      <c r="P36" s="447">
        <v>40</v>
      </c>
      <c r="Q36" s="447">
        <v>40</v>
      </c>
      <c r="R36" s="447">
        <v>40</v>
      </c>
      <c r="S36" s="448">
        <v>40</v>
      </c>
      <c r="T36" s="458">
        <v>184</v>
      </c>
      <c r="U36" s="447">
        <v>40</v>
      </c>
      <c r="V36" s="447">
        <v>24</v>
      </c>
      <c r="W36" s="447">
        <v>40</v>
      </c>
      <c r="X36" s="447">
        <v>40</v>
      </c>
      <c r="Y36" s="458">
        <v>144</v>
      </c>
      <c r="Z36" s="449">
        <v>32</v>
      </c>
      <c r="AA36" s="447">
        <v>40</v>
      </c>
      <c r="AB36" s="447">
        <v>40</v>
      </c>
      <c r="AC36" s="447">
        <v>40</v>
      </c>
      <c r="AD36" s="448">
        <v>24</v>
      </c>
      <c r="AE36" s="458">
        <v>176</v>
      </c>
      <c r="AF36" s="447">
        <v>16</v>
      </c>
      <c r="AG36" s="447">
        <v>40</v>
      </c>
      <c r="AH36" s="447">
        <v>40</v>
      </c>
      <c r="AI36" s="447">
        <v>40</v>
      </c>
      <c r="AJ36" s="448">
        <v>32</v>
      </c>
      <c r="AK36" s="460">
        <v>168</v>
      </c>
      <c r="AL36" s="456">
        <v>40</v>
      </c>
      <c r="AM36" s="447">
        <v>40</v>
      </c>
      <c r="AN36" s="447">
        <v>40</v>
      </c>
      <c r="AO36" s="447">
        <v>32</v>
      </c>
      <c r="AP36" s="457">
        <v>8</v>
      </c>
      <c r="AQ36" s="459">
        <v>160</v>
      </c>
      <c r="AR36" s="447">
        <v>32</v>
      </c>
      <c r="AS36" s="447">
        <v>40</v>
      </c>
      <c r="AT36" s="447">
        <v>40</v>
      </c>
      <c r="AU36" s="447">
        <v>40</v>
      </c>
      <c r="AV36" s="447">
        <v>24</v>
      </c>
      <c r="AW36" s="458">
        <v>176</v>
      </c>
      <c r="AX36" s="447">
        <v>8</v>
      </c>
      <c r="AY36" s="447">
        <v>40</v>
      </c>
      <c r="AZ36" s="447">
        <v>40</v>
      </c>
      <c r="BA36" s="447">
        <v>40</v>
      </c>
      <c r="BB36" s="447">
        <v>40</v>
      </c>
      <c r="BC36" s="458">
        <v>168</v>
      </c>
      <c r="BD36" s="447">
        <v>40</v>
      </c>
      <c r="BE36" s="447">
        <v>0</v>
      </c>
      <c r="BF36" s="447">
        <v>0</v>
      </c>
      <c r="BG36" s="447">
        <v>0</v>
      </c>
      <c r="BH36" s="447">
        <v>0</v>
      </c>
      <c r="BI36" s="460">
        <v>40</v>
      </c>
      <c r="BJ36" s="462">
        <v>1552</v>
      </c>
    </row>
    <row r="37" spans="2:62" x14ac:dyDescent="0.2">
      <c r="B37" s="451" t="s">
        <v>14</v>
      </c>
      <c r="C37" s="449">
        <v>40</v>
      </c>
      <c r="D37" s="447">
        <v>40</v>
      </c>
      <c r="E37" s="447">
        <v>40</v>
      </c>
      <c r="F37" s="447">
        <v>40</v>
      </c>
      <c r="G37" s="448">
        <v>16</v>
      </c>
      <c r="H37" s="458">
        <v>176</v>
      </c>
      <c r="I37" s="447">
        <v>24</v>
      </c>
      <c r="J37" s="447">
        <v>40</v>
      </c>
      <c r="K37" s="447">
        <v>40</v>
      </c>
      <c r="L37" s="447">
        <v>40</v>
      </c>
      <c r="M37" s="448">
        <v>16</v>
      </c>
      <c r="N37" s="458">
        <v>160</v>
      </c>
      <c r="O37" s="447">
        <v>24</v>
      </c>
      <c r="P37" s="447">
        <v>40</v>
      </c>
      <c r="Q37" s="447">
        <v>40</v>
      </c>
      <c r="R37" s="447">
        <v>40</v>
      </c>
      <c r="S37" s="448">
        <v>40</v>
      </c>
      <c r="T37" s="458">
        <v>184</v>
      </c>
      <c r="U37" s="447">
        <v>40</v>
      </c>
      <c r="V37" s="447">
        <v>24</v>
      </c>
      <c r="W37" s="447">
        <v>40</v>
      </c>
      <c r="X37" s="447">
        <v>40</v>
      </c>
      <c r="Y37" s="458">
        <v>144</v>
      </c>
      <c r="Z37" s="449">
        <v>32</v>
      </c>
      <c r="AA37" s="447">
        <v>40</v>
      </c>
      <c r="AB37" s="447">
        <v>40</v>
      </c>
      <c r="AC37" s="447">
        <v>40</v>
      </c>
      <c r="AD37" s="448">
        <v>24</v>
      </c>
      <c r="AE37" s="458">
        <v>176</v>
      </c>
      <c r="AF37" s="447">
        <v>16</v>
      </c>
      <c r="AG37" s="447">
        <v>40</v>
      </c>
      <c r="AH37" s="447">
        <v>40</v>
      </c>
      <c r="AI37" s="447">
        <v>32</v>
      </c>
      <c r="AJ37" s="448">
        <v>40</v>
      </c>
      <c r="AK37" s="460">
        <v>168</v>
      </c>
      <c r="AL37" s="456">
        <v>40</v>
      </c>
      <c r="AM37" s="447">
        <v>40</v>
      </c>
      <c r="AN37" s="447">
        <v>40</v>
      </c>
      <c r="AO37" s="447">
        <v>32</v>
      </c>
      <c r="AP37" s="457">
        <v>8</v>
      </c>
      <c r="AQ37" s="459">
        <v>160</v>
      </c>
      <c r="AR37" s="447">
        <v>32</v>
      </c>
      <c r="AS37" s="447">
        <v>40</v>
      </c>
      <c r="AT37" s="447">
        <v>40</v>
      </c>
      <c r="AU37" s="447">
        <v>40</v>
      </c>
      <c r="AV37" s="447">
        <v>24</v>
      </c>
      <c r="AW37" s="458">
        <v>176</v>
      </c>
      <c r="AX37" s="447">
        <v>8</v>
      </c>
      <c r="AY37" s="447">
        <v>40</v>
      </c>
      <c r="AZ37" s="447">
        <v>40</v>
      </c>
      <c r="BA37" s="447">
        <v>40</v>
      </c>
      <c r="BB37" s="447">
        <v>40</v>
      </c>
      <c r="BC37" s="458">
        <v>168</v>
      </c>
      <c r="BD37" s="447">
        <v>40</v>
      </c>
      <c r="BE37" s="447">
        <v>0</v>
      </c>
      <c r="BF37" s="447">
        <v>0</v>
      </c>
      <c r="BG37" s="447">
        <v>0</v>
      </c>
      <c r="BH37" s="447">
        <v>0</v>
      </c>
      <c r="BI37" s="460">
        <v>40</v>
      </c>
      <c r="BJ37" s="462">
        <v>1552</v>
      </c>
    </row>
    <row r="38" spans="2:62" x14ac:dyDescent="0.2">
      <c r="B38" s="451" t="s">
        <v>18</v>
      </c>
      <c r="C38" s="449">
        <v>40</v>
      </c>
      <c r="D38" s="447">
        <v>40</v>
      </c>
      <c r="E38" s="447">
        <v>40</v>
      </c>
      <c r="F38" s="447">
        <v>40</v>
      </c>
      <c r="G38" s="448">
        <v>16</v>
      </c>
      <c r="H38" s="458">
        <v>176</v>
      </c>
      <c r="I38" s="447">
        <v>24</v>
      </c>
      <c r="J38" s="447">
        <v>40</v>
      </c>
      <c r="K38" s="447">
        <v>40</v>
      </c>
      <c r="L38" s="447">
        <v>40</v>
      </c>
      <c r="M38" s="448">
        <v>16</v>
      </c>
      <c r="N38" s="458">
        <v>160</v>
      </c>
      <c r="O38" s="447">
        <v>24</v>
      </c>
      <c r="P38" s="447">
        <v>40</v>
      </c>
      <c r="Q38" s="447">
        <v>40</v>
      </c>
      <c r="R38" s="447">
        <v>40</v>
      </c>
      <c r="S38" s="448">
        <v>40</v>
      </c>
      <c r="T38" s="458">
        <v>184</v>
      </c>
      <c r="U38" s="447">
        <v>40</v>
      </c>
      <c r="V38" s="447">
        <v>24</v>
      </c>
      <c r="W38" s="447">
        <v>40</v>
      </c>
      <c r="X38" s="447">
        <v>40</v>
      </c>
      <c r="Y38" s="458">
        <v>144</v>
      </c>
      <c r="Z38" s="449">
        <v>32</v>
      </c>
      <c r="AA38" s="447">
        <v>40</v>
      </c>
      <c r="AB38" s="447">
        <v>40</v>
      </c>
      <c r="AC38" s="447">
        <v>40</v>
      </c>
      <c r="AD38" s="448">
        <v>24</v>
      </c>
      <c r="AE38" s="458">
        <v>176</v>
      </c>
      <c r="AF38" s="447">
        <v>16</v>
      </c>
      <c r="AG38" s="447">
        <v>40</v>
      </c>
      <c r="AH38" s="447">
        <v>40</v>
      </c>
      <c r="AI38" s="447">
        <v>40</v>
      </c>
      <c r="AJ38" s="448">
        <v>32</v>
      </c>
      <c r="AK38" s="460">
        <v>168</v>
      </c>
      <c r="AL38" s="456">
        <v>40</v>
      </c>
      <c r="AM38" s="447">
        <v>40</v>
      </c>
      <c r="AN38" s="447">
        <v>40</v>
      </c>
      <c r="AO38" s="447">
        <v>32</v>
      </c>
      <c r="AP38" s="457">
        <v>8</v>
      </c>
      <c r="AQ38" s="459">
        <v>160</v>
      </c>
      <c r="AR38" s="447">
        <v>32</v>
      </c>
      <c r="AS38" s="447">
        <v>40</v>
      </c>
      <c r="AT38" s="447">
        <v>40</v>
      </c>
      <c r="AU38" s="447">
        <v>40</v>
      </c>
      <c r="AV38" s="447">
        <v>24</v>
      </c>
      <c r="AW38" s="458">
        <v>176</v>
      </c>
      <c r="AX38" s="447">
        <v>8</v>
      </c>
      <c r="AY38" s="447">
        <v>40</v>
      </c>
      <c r="AZ38" s="447">
        <v>40</v>
      </c>
      <c r="BA38" s="447">
        <v>40</v>
      </c>
      <c r="BB38" s="447">
        <v>40</v>
      </c>
      <c r="BC38" s="458">
        <v>168</v>
      </c>
      <c r="BD38" s="447">
        <v>40</v>
      </c>
      <c r="BE38" s="447">
        <v>0</v>
      </c>
      <c r="BF38" s="447">
        <v>0</v>
      </c>
      <c r="BG38" s="447">
        <v>0</v>
      </c>
      <c r="BH38" s="447">
        <v>0</v>
      </c>
      <c r="BI38" s="460">
        <v>40</v>
      </c>
      <c r="BJ38" s="462">
        <v>1552</v>
      </c>
    </row>
    <row r="39" spans="2:62" x14ac:dyDescent="0.2">
      <c r="B39" s="451" t="s">
        <v>272</v>
      </c>
      <c r="C39" s="449">
        <v>0</v>
      </c>
      <c r="D39" s="447">
        <v>0</v>
      </c>
      <c r="E39" s="447">
        <v>0</v>
      </c>
      <c r="F39" s="447">
        <v>0</v>
      </c>
      <c r="G39" s="448">
        <v>0</v>
      </c>
      <c r="H39" s="458">
        <v>0</v>
      </c>
      <c r="I39" s="447">
        <v>0</v>
      </c>
      <c r="J39" s="447">
        <v>0</v>
      </c>
      <c r="K39" s="447">
        <v>0</v>
      </c>
      <c r="L39" s="447">
        <v>40</v>
      </c>
      <c r="M39" s="448">
        <v>16</v>
      </c>
      <c r="N39" s="458">
        <v>56</v>
      </c>
      <c r="O39" s="447">
        <v>24</v>
      </c>
      <c r="P39" s="447">
        <v>40</v>
      </c>
      <c r="Q39" s="447">
        <v>40</v>
      </c>
      <c r="R39" s="447">
        <v>40</v>
      </c>
      <c r="S39" s="448">
        <v>40</v>
      </c>
      <c r="T39" s="458">
        <v>184</v>
      </c>
      <c r="U39" s="447">
        <v>40</v>
      </c>
      <c r="V39" s="447">
        <v>24</v>
      </c>
      <c r="W39" s="447">
        <v>40</v>
      </c>
      <c r="X39" s="447">
        <v>40</v>
      </c>
      <c r="Y39" s="458">
        <v>144</v>
      </c>
      <c r="Z39" s="449">
        <v>32</v>
      </c>
      <c r="AA39" s="447">
        <v>40</v>
      </c>
      <c r="AB39" s="447">
        <v>40</v>
      </c>
      <c r="AC39" s="447">
        <v>40</v>
      </c>
      <c r="AD39" s="448">
        <v>24</v>
      </c>
      <c r="AE39" s="458">
        <v>176</v>
      </c>
      <c r="AF39" s="447">
        <v>16</v>
      </c>
      <c r="AG39" s="447">
        <v>40</v>
      </c>
      <c r="AH39" s="447">
        <v>40</v>
      </c>
      <c r="AI39" s="447">
        <v>24</v>
      </c>
      <c r="AJ39" s="448">
        <v>24</v>
      </c>
      <c r="AK39" s="460">
        <v>144</v>
      </c>
      <c r="AL39" s="456">
        <v>0</v>
      </c>
      <c r="AM39" s="447">
        <v>0</v>
      </c>
      <c r="AN39" s="447">
        <v>0</v>
      </c>
      <c r="AO39" s="447">
        <v>0</v>
      </c>
      <c r="AP39" s="457">
        <v>0</v>
      </c>
      <c r="AQ39" s="459">
        <v>0</v>
      </c>
      <c r="AR39" s="447">
        <v>0</v>
      </c>
      <c r="AS39" s="447">
        <v>0</v>
      </c>
      <c r="AT39" s="447">
        <v>0</v>
      </c>
      <c r="AU39" s="447">
        <v>0</v>
      </c>
      <c r="AV39" s="447">
        <v>0</v>
      </c>
      <c r="AW39" s="458">
        <v>0</v>
      </c>
      <c r="AX39" s="447">
        <v>0</v>
      </c>
      <c r="AY39" s="447">
        <v>0</v>
      </c>
      <c r="AZ39" s="447">
        <v>0</v>
      </c>
      <c r="BA39" s="447">
        <v>0</v>
      </c>
      <c r="BB39" s="447">
        <v>0</v>
      </c>
      <c r="BC39" s="458">
        <v>0</v>
      </c>
      <c r="BD39" s="447">
        <v>0</v>
      </c>
      <c r="BE39" s="447">
        <v>0</v>
      </c>
      <c r="BF39" s="447">
        <v>0</v>
      </c>
      <c r="BG39" s="447">
        <v>0</v>
      </c>
      <c r="BH39" s="447">
        <v>0</v>
      </c>
      <c r="BI39" s="460">
        <v>0</v>
      </c>
      <c r="BJ39" s="462">
        <v>704</v>
      </c>
    </row>
    <row r="40" spans="2:62" x14ac:dyDescent="0.2">
      <c r="B40" s="451" t="s">
        <v>3</v>
      </c>
      <c r="C40" s="449">
        <v>40</v>
      </c>
      <c r="D40" s="447">
        <v>40</v>
      </c>
      <c r="E40" s="447">
        <v>40</v>
      </c>
      <c r="F40" s="447">
        <v>40</v>
      </c>
      <c r="G40" s="448">
        <v>16</v>
      </c>
      <c r="H40" s="458">
        <v>176</v>
      </c>
      <c r="I40" s="447">
        <v>24</v>
      </c>
      <c r="J40" s="447">
        <v>40</v>
      </c>
      <c r="K40" s="447">
        <v>40</v>
      </c>
      <c r="L40" s="447">
        <v>40</v>
      </c>
      <c r="M40" s="448">
        <v>16</v>
      </c>
      <c r="N40" s="458">
        <v>160</v>
      </c>
      <c r="O40" s="447">
        <v>24</v>
      </c>
      <c r="P40" s="447">
        <v>40</v>
      </c>
      <c r="Q40" s="447">
        <v>40</v>
      </c>
      <c r="R40" s="447">
        <v>40</v>
      </c>
      <c r="S40" s="448">
        <v>40</v>
      </c>
      <c r="T40" s="458">
        <v>184</v>
      </c>
      <c r="U40" s="447">
        <v>40</v>
      </c>
      <c r="V40" s="447">
        <v>24</v>
      </c>
      <c r="W40" s="447">
        <v>40</v>
      </c>
      <c r="X40" s="447">
        <v>40</v>
      </c>
      <c r="Y40" s="458">
        <v>144</v>
      </c>
      <c r="Z40" s="449">
        <v>32</v>
      </c>
      <c r="AA40" s="447">
        <v>40</v>
      </c>
      <c r="AB40" s="447">
        <v>40</v>
      </c>
      <c r="AC40" s="447">
        <v>40</v>
      </c>
      <c r="AD40" s="448">
        <v>24</v>
      </c>
      <c r="AE40" s="458">
        <v>176</v>
      </c>
      <c r="AF40" s="447">
        <v>16</v>
      </c>
      <c r="AG40" s="447">
        <v>40</v>
      </c>
      <c r="AH40" s="447">
        <v>40</v>
      </c>
      <c r="AI40" s="447">
        <v>40</v>
      </c>
      <c r="AJ40" s="448">
        <v>32</v>
      </c>
      <c r="AK40" s="460">
        <v>168</v>
      </c>
      <c r="AL40" s="456">
        <v>40</v>
      </c>
      <c r="AM40" s="447">
        <v>40</v>
      </c>
      <c r="AN40" s="447">
        <v>40</v>
      </c>
      <c r="AO40" s="447">
        <v>32</v>
      </c>
      <c r="AP40" s="457">
        <v>8</v>
      </c>
      <c r="AQ40" s="459">
        <v>160</v>
      </c>
      <c r="AR40" s="447">
        <v>32</v>
      </c>
      <c r="AS40" s="447">
        <v>40</v>
      </c>
      <c r="AT40" s="447">
        <v>40</v>
      </c>
      <c r="AU40" s="447">
        <v>40</v>
      </c>
      <c r="AV40" s="447">
        <v>24</v>
      </c>
      <c r="AW40" s="458">
        <v>176</v>
      </c>
      <c r="AX40" s="447">
        <v>8</v>
      </c>
      <c r="AY40" s="447">
        <v>40</v>
      </c>
      <c r="AZ40" s="447">
        <v>40</v>
      </c>
      <c r="BA40" s="447">
        <v>40</v>
      </c>
      <c r="BB40" s="447">
        <v>40</v>
      </c>
      <c r="BC40" s="458">
        <v>168</v>
      </c>
      <c r="BD40" s="447">
        <v>40</v>
      </c>
      <c r="BE40" s="447">
        <v>0</v>
      </c>
      <c r="BF40" s="447">
        <v>0</v>
      </c>
      <c r="BG40" s="447">
        <v>0</v>
      </c>
      <c r="BH40" s="447">
        <v>0</v>
      </c>
      <c r="BI40" s="460">
        <v>40</v>
      </c>
      <c r="BJ40" s="462">
        <v>1552</v>
      </c>
    </row>
    <row r="41" spans="2:62" x14ac:dyDescent="0.2">
      <c r="B41" s="451" t="s">
        <v>10</v>
      </c>
      <c r="C41" s="449">
        <v>40</v>
      </c>
      <c r="D41" s="447">
        <v>40</v>
      </c>
      <c r="E41" s="447">
        <v>40</v>
      </c>
      <c r="F41" s="447">
        <v>40</v>
      </c>
      <c r="G41" s="448">
        <v>16</v>
      </c>
      <c r="H41" s="458">
        <v>176</v>
      </c>
      <c r="I41" s="447">
        <v>24</v>
      </c>
      <c r="J41" s="447">
        <v>40</v>
      </c>
      <c r="K41" s="447">
        <v>40</v>
      </c>
      <c r="L41" s="447">
        <v>40</v>
      </c>
      <c r="M41" s="448">
        <v>16</v>
      </c>
      <c r="N41" s="458">
        <v>160</v>
      </c>
      <c r="O41" s="447">
        <v>24</v>
      </c>
      <c r="P41" s="447">
        <v>40</v>
      </c>
      <c r="Q41" s="447">
        <v>40</v>
      </c>
      <c r="R41" s="447">
        <v>40</v>
      </c>
      <c r="S41" s="448">
        <v>40</v>
      </c>
      <c r="T41" s="458">
        <v>184</v>
      </c>
      <c r="U41" s="447">
        <v>40</v>
      </c>
      <c r="V41" s="447">
        <v>24</v>
      </c>
      <c r="W41" s="447">
        <v>40</v>
      </c>
      <c r="X41" s="447">
        <v>40</v>
      </c>
      <c r="Y41" s="458">
        <v>144</v>
      </c>
      <c r="Z41" s="449">
        <v>32</v>
      </c>
      <c r="AA41" s="447">
        <v>40</v>
      </c>
      <c r="AB41" s="447">
        <v>40</v>
      </c>
      <c r="AC41" s="447">
        <v>40</v>
      </c>
      <c r="AD41" s="448">
        <v>24</v>
      </c>
      <c r="AE41" s="458">
        <v>176</v>
      </c>
      <c r="AF41" s="447">
        <v>16</v>
      </c>
      <c r="AG41" s="447">
        <v>40</v>
      </c>
      <c r="AH41" s="447">
        <v>40</v>
      </c>
      <c r="AI41" s="447">
        <v>40</v>
      </c>
      <c r="AJ41" s="448">
        <v>32</v>
      </c>
      <c r="AK41" s="460">
        <v>168</v>
      </c>
      <c r="AL41" s="456">
        <v>40</v>
      </c>
      <c r="AM41" s="447">
        <v>40</v>
      </c>
      <c r="AN41" s="447">
        <v>40</v>
      </c>
      <c r="AO41" s="447">
        <v>32</v>
      </c>
      <c r="AP41" s="457">
        <v>8</v>
      </c>
      <c r="AQ41" s="459">
        <v>160</v>
      </c>
      <c r="AR41" s="447">
        <v>32</v>
      </c>
      <c r="AS41" s="447">
        <v>40</v>
      </c>
      <c r="AT41" s="447">
        <v>40</v>
      </c>
      <c r="AU41" s="447">
        <v>40</v>
      </c>
      <c r="AV41" s="447">
        <v>24</v>
      </c>
      <c r="AW41" s="458">
        <v>176</v>
      </c>
      <c r="AX41" s="447">
        <v>8</v>
      </c>
      <c r="AY41" s="447">
        <v>40</v>
      </c>
      <c r="AZ41" s="447">
        <v>40</v>
      </c>
      <c r="BA41" s="447">
        <v>40</v>
      </c>
      <c r="BB41" s="447">
        <v>40</v>
      </c>
      <c r="BC41" s="458">
        <v>168</v>
      </c>
      <c r="BD41" s="447">
        <v>40</v>
      </c>
      <c r="BE41" s="447">
        <v>0</v>
      </c>
      <c r="BF41" s="447">
        <v>0</v>
      </c>
      <c r="BG41" s="447">
        <v>0</v>
      </c>
      <c r="BH41" s="447">
        <v>0</v>
      </c>
      <c r="BI41" s="460">
        <v>40</v>
      </c>
      <c r="BJ41" s="462">
        <v>1552</v>
      </c>
    </row>
    <row r="42" spans="2:62" x14ac:dyDescent="0.2">
      <c r="B42" s="451" t="s">
        <v>5</v>
      </c>
      <c r="C42" s="449">
        <v>40</v>
      </c>
      <c r="D42" s="447">
        <v>40</v>
      </c>
      <c r="E42" s="447">
        <v>40</v>
      </c>
      <c r="F42" s="447">
        <v>40</v>
      </c>
      <c r="G42" s="448">
        <v>16</v>
      </c>
      <c r="H42" s="458">
        <v>176</v>
      </c>
      <c r="I42" s="447">
        <v>24</v>
      </c>
      <c r="J42" s="447">
        <v>40</v>
      </c>
      <c r="K42" s="447">
        <v>40</v>
      </c>
      <c r="L42" s="447">
        <v>40</v>
      </c>
      <c r="M42" s="448">
        <v>16</v>
      </c>
      <c r="N42" s="458">
        <v>160</v>
      </c>
      <c r="O42" s="447">
        <v>24</v>
      </c>
      <c r="P42" s="447">
        <v>40</v>
      </c>
      <c r="Q42" s="447">
        <v>40</v>
      </c>
      <c r="R42" s="447">
        <v>40</v>
      </c>
      <c r="S42" s="448">
        <v>40</v>
      </c>
      <c r="T42" s="458">
        <v>184</v>
      </c>
      <c r="U42" s="447">
        <v>40</v>
      </c>
      <c r="V42" s="447">
        <v>24</v>
      </c>
      <c r="W42" s="447">
        <v>40</v>
      </c>
      <c r="X42" s="447">
        <v>40</v>
      </c>
      <c r="Y42" s="458">
        <v>144</v>
      </c>
      <c r="Z42" s="449">
        <v>32</v>
      </c>
      <c r="AA42" s="447">
        <v>40</v>
      </c>
      <c r="AB42" s="447">
        <v>40</v>
      </c>
      <c r="AC42" s="447">
        <v>40</v>
      </c>
      <c r="AD42" s="448">
        <v>24</v>
      </c>
      <c r="AE42" s="458">
        <v>176</v>
      </c>
      <c r="AF42" s="447">
        <v>16</v>
      </c>
      <c r="AG42" s="447">
        <v>40</v>
      </c>
      <c r="AH42" s="447">
        <v>40</v>
      </c>
      <c r="AI42" s="447">
        <v>40</v>
      </c>
      <c r="AJ42" s="448">
        <v>32</v>
      </c>
      <c r="AK42" s="460">
        <v>168</v>
      </c>
      <c r="AL42" s="456">
        <v>40</v>
      </c>
      <c r="AM42" s="447">
        <v>40</v>
      </c>
      <c r="AN42" s="447">
        <v>40</v>
      </c>
      <c r="AO42" s="447">
        <v>32</v>
      </c>
      <c r="AP42" s="457">
        <v>8</v>
      </c>
      <c r="AQ42" s="459">
        <v>160</v>
      </c>
      <c r="AR42" s="447">
        <v>32</v>
      </c>
      <c r="AS42" s="447">
        <v>40</v>
      </c>
      <c r="AT42" s="447">
        <v>40</v>
      </c>
      <c r="AU42" s="447">
        <v>40</v>
      </c>
      <c r="AV42" s="447">
        <v>24</v>
      </c>
      <c r="AW42" s="458">
        <v>176</v>
      </c>
      <c r="AX42" s="447">
        <v>8</v>
      </c>
      <c r="AY42" s="447">
        <v>40</v>
      </c>
      <c r="AZ42" s="447">
        <v>40</v>
      </c>
      <c r="BA42" s="447">
        <v>40</v>
      </c>
      <c r="BB42" s="447">
        <v>40</v>
      </c>
      <c r="BC42" s="458">
        <v>168</v>
      </c>
      <c r="BD42" s="447">
        <v>40</v>
      </c>
      <c r="BE42" s="447">
        <v>0</v>
      </c>
      <c r="BF42" s="447">
        <v>0</v>
      </c>
      <c r="BG42" s="447">
        <v>0</v>
      </c>
      <c r="BH42" s="447">
        <v>0</v>
      </c>
      <c r="BI42" s="460">
        <v>40</v>
      </c>
      <c r="BJ42" s="462">
        <v>1552</v>
      </c>
    </row>
    <row r="43" spans="2:62" x14ac:dyDescent="0.2">
      <c r="B43" s="451" t="s">
        <v>19</v>
      </c>
      <c r="C43" s="449">
        <v>40</v>
      </c>
      <c r="D43" s="447">
        <v>40</v>
      </c>
      <c r="E43" s="447">
        <v>40</v>
      </c>
      <c r="F43" s="447">
        <v>40</v>
      </c>
      <c r="G43" s="448">
        <v>16</v>
      </c>
      <c r="H43" s="458">
        <v>176</v>
      </c>
      <c r="I43" s="447">
        <v>24</v>
      </c>
      <c r="J43" s="447">
        <v>40</v>
      </c>
      <c r="K43" s="447">
        <v>40</v>
      </c>
      <c r="L43" s="447">
        <v>40</v>
      </c>
      <c r="M43" s="448">
        <v>16</v>
      </c>
      <c r="N43" s="458">
        <v>160</v>
      </c>
      <c r="O43" s="447">
        <v>24</v>
      </c>
      <c r="P43" s="447">
        <v>40</v>
      </c>
      <c r="Q43" s="447">
        <v>40</v>
      </c>
      <c r="R43" s="447">
        <v>40</v>
      </c>
      <c r="S43" s="448">
        <v>40</v>
      </c>
      <c r="T43" s="458">
        <v>184</v>
      </c>
      <c r="U43" s="447">
        <v>40</v>
      </c>
      <c r="V43" s="447">
        <v>24</v>
      </c>
      <c r="W43" s="447">
        <v>40</v>
      </c>
      <c r="X43" s="447">
        <v>40</v>
      </c>
      <c r="Y43" s="458">
        <v>144</v>
      </c>
      <c r="Z43" s="449">
        <v>32</v>
      </c>
      <c r="AA43" s="447">
        <v>40</v>
      </c>
      <c r="AB43" s="447">
        <v>40</v>
      </c>
      <c r="AC43" s="447">
        <v>40</v>
      </c>
      <c r="AD43" s="448">
        <v>24</v>
      </c>
      <c r="AE43" s="458">
        <v>176</v>
      </c>
      <c r="AF43" s="447">
        <v>16</v>
      </c>
      <c r="AG43" s="447">
        <v>40</v>
      </c>
      <c r="AH43" s="447">
        <v>40</v>
      </c>
      <c r="AI43" s="447">
        <v>40</v>
      </c>
      <c r="AJ43" s="448">
        <v>32</v>
      </c>
      <c r="AK43" s="460">
        <v>168</v>
      </c>
      <c r="AL43" s="456">
        <v>40</v>
      </c>
      <c r="AM43" s="447">
        <v>40</v>
      </c>
      <c r="AN43" s="447">
        <v>40</v>
      </c>
      <c r="AO43" s="447">
        <v>32</v>
      </c>
      <c r="AP43" s="457">
        <v>8</v>
      </c>
      <c r="AQ43" s="459">
        <v>160</v>
      </c>
      <c r="AR43" s="447">
        <v>32</v>
      </c>
      <c r="AS43" s="447">
        <v>40</v>
      </c>
      <c r="AT43" s="447">
        <v>40</v>
      </c>
      <c r="AU43" s="447">
        <v>40</v>
      </c>
      <c r="AV43" s="447">
        <v>24</v>
      </c>
      <c r="AW43" s="458">
        <v>176</v>
      </c>
      <c r="AX43" s="447">
        <v>8</v>
      </c>
      <c r="AY43" s="447">
        <v>40</v>
      </c>
      <c r="AZ43" s="447">
        <v>0</v>
      </c>
      <c r="BA43" s="447">
        <v>0</v>
      </c>
      <c r="BB43" s="447">
        <v>0</v>
      </c>
      <c r="BC43" s="458">
        <v>48</v>
      </c>
      <c r="BD43" s="447">
        <v>0</v>
      </c>
      <c r="BE43" s="447">
        <v>0</v>
      </c>
      <c r="BF43" s="447">
        <v>0</v>
      </c>
      <c r="BG43" s="447">
        <v>0</v>
      </c>
      <c r="BH43" s="447">
        <v>0</v>
      </c>
      <c r="BI43" s="460">
        <v>0</v>
      </c>
      <c r="BJ43" s="462">
        <v>1392</v>
      </c>
    </row>
    <row r="44" spans="2:62" x14ac:dyDescent="0.2">
      <c r="B44" s="451" t="s">
        <v>265</v>
      </c>
      <c r="C44" s="449">
        <v>0</v>
      </c>
      <c r="D44" s="447">
        <v>10</v>
      </c>
      <c r="E44" s="447">
        <v>40</v>
      </c>
      <c r="F44" s="447">
        <v>40</v>
      </c>
      <c r="G44" s="448">
        <v>16</v>
      </c>
      <c r="H44" s="458">
        <v>106</v>
      </c>
      <c r="I44" s="447">
        <v>24</v>
      </c>
      <c r="J44" s="447">
        <v>40</v>
      </c>
      <c r="K44" s="447">
        <v>40</v>
      </c>
      <c r="L44" s="447">
        <v>40</v>
      </c>
      <c r="M44" s="448">
        <v>16</v>
      </c>
      <c r="N44" s="458">
        <v>160</v>
      </c>
      <c r="O44" s="447">
        <v>24</v>
      </c>
      <c r="P44" s="447">
        <v>40</v>
      </c>
      <c r="Q44" s="447">
        <v>40</v>
      </c>
      <c r="R44" s="447">
        <v>40</v>
      </c>
      <c r="S44" s="448">
        <v>40</v>
      </c>
      <c r="T44" s="458">
        <v>184</v>
      </c>
      <c r="U44" s="447">
        <v>40</v>
      </c>
      <c r="V44" s="447">
        <v>24</v>
      </c>
      <c r="W44" s="447">
        <v>40</v>
      </c>
      <c r="X44" s="447">
        <v>40</v>
      </c>
      <c r="Y44" s="458">
        <v>144</v>
      </c>
      <c r="Z44" s="449">
        <v>32</v>
      </c>
      <c r="AA44" s="447">
        <v>40</v>
      </c>
      <c r="AB44" s="447">
        <v>40</v>
      </c>
      <c r="AC44" s="447">
        <v>40</v>
      </c>
      <c r="AD44" s="448">
        <v>24</v>
      </c>
      <c r="AE44" s="458">
        <v>176</v>
      </c>
      <c r="AF44" s="447">
        <v>16</v>
      </c>
      <c r="AG44" s="447">
        <v>40</v>
      </c>
      <c r="AH44" s="447">
        <v>40</v>
      </c>
      <c r="AI44" s="447">
        <v>40</v>
      </c>
      <c r="AJ44" s="448">
        <v>32</v>
      </c>
      <c r="AK44" s="460">
        <v>168</v>
      </c>
      <c r="AL44" s="456">
        <v>40</v>
      </c>
      <c r="AM44" s="447">
        <v>40</v>
      </c>
      <c r="AN44" s="447">
        <v>40</v>
      </c>
      <c r="AO44" s="447">
        <v>32</v>
      </c>
      <c r="AP44" s="457">
        <v>8</v>
      </c>
      <c r="AQ44" s="459">
        <v>160</v>
      </c>
      <c r="AR44" s="447">
        <v>32</v>
      </c>
      <c r="AS44" s="447">
        <v>40</v>
      </c>
      <c r="AT44" s="447">
        <v>40</v>
      </c>
      <c r="AU44" s="447">
        <v>40</v>
      </c>
      <c r="AV44" s="447">
        <v>24</v>
      </c>
      <c r="AW44" s="458">
        <v>176</v>
      </c>
      <c r="AX44" s="447">
        <v>8</v>
      </c>
      <c r="AY44" s="447">
        <v>40</v>
      </c>
      <c r="AZ44" s="447">
        <v>40</v>
      </c>
      <c r="BA44" s="447">
        <v>0</v>
      </c>
      <c r="BB44" s="447">
        <v>0</v>
      </c>
      <c r="BC44" s="458">
        <v>88</v>
      </c>
      <c r="BD44" s="447">
        <v>0</v>
      </c>
      <c r="BE44" s="447">
        <v>0</v>
      </c>
      <c r="BF44" s="447">
        <v>0</v>
      </c>
      <c r="BG44" s="447">
        <v>0</v>
      </c>
      <c r="BH44" s="447">
        <v>0</v>
      </c>
      <c r="BI44" s="460">
        <v>0</v>
      </c>
      <c r="BJ44" s="462">
        <v>1362</v>
      </c>
    </row>
    <row r="45" spans="2:62" x14ac:dyDescent="0.2">
      <c r="B45" s="451" t="s">
        <v>22</v>
      </c>
      <c r="C45" s="449">
        <v>40</v>
      </c>
      <c r="D45" s="447">
        <v>40</v>
      </c>
      <c r="E45" s="447">
        <v>40</v>
      </c>
      <c r="F45" s="447">
        <v>40</v>
      </c>
      <c r="G45" s="448">
        <v>16</v>
      </c>
      <c r="H45" s="458">
        <v>176</v>
      </c>
      <c r="I45" s="447">
        <v>24</v>
      </c>
      <c r="J45" s="447">
        <v>40</v>
      </c>
      <c r="K45" s="447">
        <v>40</v>
      </c>
      <c r="L45" s="447">
        <v>40</v>
      </c>
      <c r="M45" s="448">
        <v>16</v>
      </c>
      <c r="N45" s="458">
        <v>160</v>
      </c>
      <c r="O45" s="447">
        <v>24</v>
      </c>
      <c r="P45" s="447">
        <v>40</v>
      </c>
      <c r="Q45" s="447">
        <v>40</v>
      </c>
      <c r="R45" s="447">
        <v>40</v>
      </c>
      <c r="S45" s="448">
        <v>40</v>
      </c>
      <c r="T45" s="458">
        <v>184</v>
      </c>
      <c r="U45" s="447">
        <v>40</v>
      </c>
      <c r="V45" s="447">
        <v>24</v>
      </c>
      <c r="W45" s="447">
        <v>40</v>
      </c>
      <c r="X45" s="447">
        <v>40</v>
      </c>
      <c r="Y45" s="458">
        <v>144</v>
      </c>
      <c r="Z45" s="449">
        <v>32</v>
      </c>
      <c r="AA45" s="447">
        <v>40</v>
      </c>
      <c r="AB45" s="447">
        <v>40</v>
      </c>
      <c r="AC45" s="447">
        <v>40</v>
      </c>
      <c r="AD45" s="448">
        <v>24</v>
      </c>
      <c r="AE45" s="458">
        <v>176</v>
      </c>
      <c r="AF45" s="447">
        <v>16</v>
      </c>
      <c r="AG45" s="447">
        <v>40</v>
      </c>
      <c r="AH45" s="447">
        <v>40</v>
      </c>
      <c r="AI45" s="447">
        <v>40</v>
      </c>
      <c r="AJ45" s="448">
        <v>32</v>
      </c>
      <c r="AK45" s="460">
        <v>168</v>
      </c>
      <c r="AL45" s="456">
        <v>40</v>
      </c>
      <c r="AM45" s="447">
        <v>40</v>
      </c>
      <c r="AN45" s="447">
        <v>40</v>
      </c>
      <c r="AO45" s="447">
        <v>32</v>
      </c>
      <c r="AP45" s="457">
        <v>8</v>
      </c>
      <c r="AQ45" s="459">
        <v>160</v>
      </c>
      <c r="AR45" s="447">
        <v>32</v>
      </c>
      <c r="AS45" s="447">
        <v>40</v>
      </c>
      <c r="AT45" s="447">
        <v>40</v>
      </c>
      <c r="AU45" s="447">
        <v>40</v>
      </c>
      <c r="AV45" s="447">
        <v>24</v>
      </c>
      <c r="AW45" s="458">
        <v>176</v>
      </c>
      <c r="AX45" s="447">
        <v>8</v>
      </c>
      <c r="AY45" s="447">
        <v>40</v>
      </c>
      <c r="AZ45" s="447">
        <v>40</v>
      </c>
      <c r="BA45" s="447">
        <v>40</v>
      </c>
      <c r="BB45" s="447">
        <v>40</v>
      </c>
      <c r="BC45" s="458">
        <v>168</v>
      </c>
      <c r="BD45" s="447">
        <v>40</v>
      </c>
      <c r="BE45" s="447">
        <v>0</v>
      </c>
      <c r="BF45" s="447">
        <v>0</v>
      </c>
      <c r="BG45" s="447">
        <v>0</v>
      </c>
      <c r="BH45" s="447">
        <v>0</v>
      </c>
      <c r="BI45" s="460">
        <v>40</v>
      </c>
      <c r="BJ45" s="462">
        <v>1552</v>
      </c>
    </row>
    <row r="46" spans="2:62" x14ac:dyDescent="0.2">
      <c r="B46" s="451" t="s">
        <v>422</v>
      </c>
      <c r="C46" s="449">
        <v>40</v>
      </c>
      <c r="D46" s="447">
        <v>40</v>
      </c>
      <c r="E46" s="447">
        <v>40</v>
      </c>
      <c r="F46" s="447">
        <v>40</v>
      </c>
      <c r="G46" s="448">
        <v>16</v>
      </c>
      <c r="H46" s="458">
        <v>176</v>
      </c>
      <c r="I46" s="447">
        <v>24</v>
      </c>
      <c r="J46" s="447">
        <v>40</v>
      </c>
      <c r="K46" s="447">
        <v>40</v>
      </c>
      <c r="L46" s="447">
        <v>0</v>
      </c>
      <c r="M46" s="448">
        <v>0</v>
      </c>
      <c r="N46" s="458">
        <v>104</v>
      </c>
      <c r="O46" s="447">
        <v>0</v>
      </c>
      <c r="P46" s="447">
        <v>0</v>
      </c>
      <c r="Q46" s="447">
        <v>0</v>
      </c>
      <c r="R46" s="447">
        <v>0</v>
      </c>
      <c r="S46" s="448">
        <v>0</v>
      </c>
      <c r="T46" s="458">
        <v>0</v>
      </c>
      <c r="U46" s="447">
        <v>0</v>
      </c>
      <c r="V46" s="447">
        <v>0</v>
      </c>
      <c r="W46" s="447">
        <v>0</v>
      </c>
      <c r="X46" s="447">
        <v>0</v>
      </c>
      <c r="Y46" s="458">
        <v>0</v>
      </c>
      <c r="Z46" s="449">
        <v>0</v>
      </c>
      <c r="AA46" s="447">
        <v>0</v>
      </c>
      <c r="AB46" s="447">
        <v>0</v>
      </c>
      <c r="AC46" s="447">
        <v>0</v>
      </c>
      <c r="AD46" s="448">
        <v>0</v>
      </c>
      <c r="AE46" s="458">
        <v>0</v>
      </c>
      <c r="AF46" s="447">
        <v>0</v>
      </c>
      <c r="AG46" s="447">
        <v>0</v>
      </c>
      <c r="AH46" s="447">
        <v>0</v>
      </c>
      <c r="AI46" s="447">
        <v>0</v>
      </c>
      <c r="AJ46" s="448">
        <v>0</v>
      </c>
      <c r="AK46" s="460">
        <v>0</v>
      </c>
      <c r="AL46" s="456">
        <v>0</v>
      </c>
      <c r="AM46" s="447">
        <v>0</v>
      </c>
      <c r="AN46" s="447">
        <v>0</v>
      </c>
      <c r="AO46" s="447">
        <v>0</v>
      </c>
      <c r="AP46" s="457">
        <v>0</v>
      </c>
      <c r="AQ46" s="459">
        <v>0</v>
      </c>
      <c r="AR46" s="447">
        <v>0</v>
      </c>
      <c r="AS46" s="447">
        <v>0</v>
      </c>
      <c r="AT46" s="447">
        <v>0</v>
      </c>
      <c r="AU46" s="447">
        <v>0</v>
      </c>
      <c r="AV46" s="447">
        <v>0</v>
      </c>
      <c r="AW46" s="458">
        <v>0</v>
      </c>
      <c r="AX46" s="447">
        <v>0</v>
      </c>
      <c r="AY46" s="447">
        <v>0</v>
      </c>
      <c r="AZ46" s="447">
        <v>0</v>
      </c>
      <c r="BA46" s="447">
        <v>0</v>
      </c>
      <c r="BB46" s="447">
        <v>0</v>
      </c>
      <c r="BC46" s="458">
        <v>0</v>
      </c>
      <c r="BD46" s="447">
        <v>0</v>
      </c>
      <c r="BE46" s="447">
        <v>0</v>
      </c>
      <c r="BF46" s="447">
        <v>0</v>
      </c>
      <c r="BG46" s="447">
        <v>0</v>
      </c>
      <c r="BH46" s="447">
        <v>0</v>
      </c>
      <c r="BI46" s="460">
        <v>0</v>
      </c>
      <c r="BJ46" s="462">
        <v>280</v>
      </c>
    </row>
    <row r="47" spans="2:62" x14ac:dyDescent="0.2">
      <c r="B47" s="451" t="s">
        <v>427</v>
      </c>
      <c r="C47" s="449">
        <v>40</v>
      </c>
      <c r="D47" s="447">
        <v>40</v>
      </c>
      <c r="E47" s="447">
        <v>40</v>
      </c>
      <c r="F47" s="447">
        <v>40</v>
      </c>
      <c r="G47" s="448">
        <v>16</v>
      </c>
      <c r="H47" s="458">
        <v>176</v>
      </c>
      <c r="I47" s="447">
        <v>24</v>
      </c>
      <c r="J47" s="447">
        <v>40</v>
      </c>
      <c r="K47" s="447">
        <v>40</v>
      </c>
      <c r="L47" s="447">
        <v>40</v>
      </c>
      <c r="M47" s="448">
        <v>16</v>
      </c>
      <c r="N47" s="458">
        <v>160</v>
      </c>
      <c r="O47" s="447">
        <v>24</v>
      </c>
      <c r="P47" s="447">
        <v>40</v>
      </c>
      <c r="Q47" s="447">
        <v>0</v>
      </c>
      <c r="R47" s="447">
        <v>0</v>
      </c>
      <c r="S47" s="448">
        <v>0</v>
      </c>
      <c r="T47" s="458">
        <v>64</v>
      </c>
      <c r="U47" s="447">
        <v>0</v>
      </c>
      <c r="V47" s="447">
        <v>0</v>
      </c>
      <c r="W47" s="447">
        <v>0</v>
      </c>
      <c r="X47" s="447">
        <v>0</v>
      </c>
      <c r="Y47" s="458">
        <v>0</v>
      </c>
      <c r="Z47" s="449">
        <v>0</v>
      </c>
      <c r="AA47" s="447">
        <v>0</v>
      </c>
      <c r="AB47" s="447">
        <v>0</v>
      </c>
      <c r="AC47" s="447">
        <v>0</v>
      </c>
      <c r="AD47" s="448">
        <v>0</v>
      </c>
      <c r="AE47" s="458">
        <v>0</v>
      </c>
      <c r="AF47" s="447">
        <v>0</v>
      </c>
      <c r="AG47" s="447">
        <v>0</v>
      </c>
      <c r="AH47" s="447">
        <v>0</v>
      </c>
      <c r="AI47" s="447">
        <v>0</v>
      </c>
      <c r="AJ47" s="448">
        <v>0</v>
      </c>
      <c r="AK47" s="460">
        <v>0</v>
      </c>
      <c r="AL47" s="456">
        <v>0</v>
      </c>
      <c r="AM47" s="447">
        <v>0</v>
      </c>
      <c r="AN47" s="447">
        <v>0</v>
      </c>
      <c r="AO47" s="447">
        <v>0</v>
      </c>
      <c r="AP47" s="457">
        <v>0</v>
      </c>
      <c r="AQ47" s="459">
        <v>0</v>
      </c>
      <c r="AR47" s="447">
        <v>0</v>
      </c>
      <c r="AS47" s="447">
        <v>0</v>
      </c>
      <c r="AT47" s="447">
        <v>0</v>
      </c>
      <c r="AU47" s="447">
        <v>0</v>
      </c>
      <c r="AV47" s="447">
        <v>0</v>
      </c>
      <c r="AW47" s="458">
        <v>0</v>
      </c>
      <c r="AX47" s="447">
        <v>0</v>
      </c>
      <c r="AY47" s="447">
        <v>0</v>
      </c>
      <c r="AZ47" s="447">
        <v>0</v>
      </c>
      <c r="BA47" s="447">
        <v>0</v>
      </c>
      <c r="BB47" s="447">
        <v>0</v>
      </c>
      <c r="BC47" s="458">
        <v>0</v>
      </c>
      <c r="BD47" s="447">
        <v>0</v>
      </c>
      <c r="BE47" s="447">
        <v>0</v>
      </c>
      <c r="BF47" s="447">
        <v>0</v>
      </c>
      <c r="BG47" s="447">
        <v>0</v>
      </c>
      <c r="BH47" s="447">
        <v>0</v>
      </c>
      <c r="BI47" s="460">
        <v>0</v>
      </c>
      <c r="BJ47" s="462">
        <v>400</v>
      </c>
    </row>
    <row r="48" spans="2:62" x14ac:dyDescent="0.2">
      <c r="B48" s="451" t="s">
        <v>425</v>
      </c>
      <c r="C48" s="449">
        <v>40</v>
      </c>
      <c r="D48" s="447">
        <v>40</v>
      </c>
      <c r="E48" s="447">
        <v>40</v>
      </c>
      <c r="F48" s="447">
        <v>40</v>
      </c>
      <c r="G48" s="448">
        <v>16</v>
      </c>
      <c r="H48" s="458">
        <v>176</v>
      </c>
      <c r="I48" s="447">
        <v>24</v>
      </c>
      <c r="J48" s="447">
        <v>40</v>
      </c>
      <c r="K48" s="447">
        <v>40</v>
      </c>
      <c r="L48" s="447">
        <v>40</v>
      </c>
      <c r="M48" s="448">
        <v>16</v>
      </c>
      <c r="N48" s="458">
        <v>160</v>
      </c>
      <c r="O48" s="447">
        <v>24</v>
      </c>
      <c r="P48" s="447">
        <v>40</v>
      </c>
      <c r="Q48" s="447">
        <v>40</v>
      </c>
      <c r="R48" s="447">
        <v>40</v>
      </c>
      <c r="S48" s="448">
        <v>40</v>
      </c>
      <c r="T48" s="458">
        <v>184</v>
      </c>
      <c r="U48" s="447">
        <v>0</v>
      </c>
      <c r="V48" s="447">
        <v>0</v>
      </c>
      <c r="W48" s="447">
        <v>0</v>
      </c>
      <c r="X48" s="447">
        <v>0</v>
      </c>
      <c r="Y48" s="458">
        <v>0</v>
      </c>
      <c r="Z48" s="449">
        <v>0</v>
      </c>
      <c r="AA48" s="447">
        <v>0</v>
      </c>
      <c r="AB48" s="447">
        <v>0</v>
      </c>
      <c r="AC48" s="447">
        <v>0</v>
      </c>
      <c r="AD48" s="448">
        <v>0</v>
      </c>
      <c r="AE48" s="458">
        <v>0</v>
      </c>
      <c r="AF48" s="447">
        <v>0</v>
      </c>
      <c r="AG48" s="447">
        <v>0</v>
      </c>
      <c r="AH48" s="447">
        <v>0</v>
      </c>
      <c r="AI48" s="447">
        <v>0</v>
      </c>
      <c r="AJ48" s="448">
        <v>0</v>
      </c>
      <c r="AK48" s="460">
        <v>0</v>
      </c>
      <c r="AL48" s="456">
        <v>0</v>
      </c>
      <c r="AM48" s="447">
        <v>0</v>
      </c>
      <c r="AN48" s="447">
        <v>0</v>
      </c>
      <c r="AO48" s="447">
        <v>0</v>
      </c>
      <c r="AP48" s="457">
        <v>0</v>
      </c>
      <c r="AQ48" s="459">
        <v>0</v>
      </c>
      <c r="AR48" s="447">
        <v>0</v>
      </c>
      <c r="AS48" s="447">
        <v>0</v>
      </c>
      <c r="AT48" s="447">
        <v>0</v>
      </c>
      <c r="AU48" s="447">
        <v>0</v>
      </c>
      <c r="AV48" s="447">
        <v>0</v>
      </c>
      <c r="AW48" s="458">
        <v>0</v>
      </c>
      <c r="AX48" s="447">
        <v>0</v>
      </c>
      <c r="AY48" s="447">
        <v>0</v>
      </c>
      <c r="AZ48" s="447">
        <v>0</v>
      </c>
      <c r="BA48" s="447">
        <v>0</v>
      </c>
      <c r="BB48" s="447">
        <v>0</v>
      </c>
      <c r="BC48" s="458">
        <v>0</v>
      </c>
      <c r="BD48" s="447">
        <v>0</v>
      </c>
      <c r="BE48" s="447">
        <v>0</v>
      </c>
      <c r="BF48" s="447">
        <v>0</v>
      </c>
      <c r="BG48" s="447">
        <v>0</v>
      </c>
      <c r="BH48" s="447">
        <v>0</v>
      </c>
      <c r="BI48" s="460">
        <v>0</v>
      </c>
      <c r="BJ48" s="462">
        <v>520</v>
      </c>
    </row>
    <row r="49" spans="2:62" x14ac:dyDescent="0.2">
      <c r="B49" s="451" t="s">
        <v>418</v>
      </c>
      <c r="C49" s="449">
        <v>40</v>
      </c>
      <c r="D49" s="447">
        <v>40</v>
      </c>
      <c r="E49" s="447">
        <v>40</v>
      </c>
      <c r="F49" s="447">
        <v>40</v>
      </c>
      <c r="G49" s="448">
        <v>16</v>
      </c>
      <c r="H49" s="458">
        <v>176</v>
      </c>
      <c r="I49" s="447">
        <v>24</v>
      </c>
      <c r="J49" s="447">
        <v>40</v>
      </c>
      <c r="K49" s="447">
        <v>40</v>
      </c>
      <c r="L49" s="447">
        <v>40</v>
      </c>
      <c r="M49" s="448">
        <v>16</v>
      </c>
      <c r="N49" s="458">
        <v>160</v>
      </c>
      <c r="O49" s="447">
        <v>24</v>
      </c>
      <c r="P49" s="447">
        <v>40</v>
      </c>
      <c r="Q49" s="447">
        <v>40</v>
      </c>
      <c r="R49" s="447">
        <v>40</v>
      </c>
      <c r="S49" s="448">
        <v>40</v>
      </c>
      <c r="T49" s="458">
        <v>184</v>
      </c>
      <c r="U49" s="447">
        <v>16</v>
      </c>
      <c r="V49" s="447">
        <v>0</v>
      </c>
      <c r="W49" s="447">
        <v>0</v>
      </c>
      <c r="X49" s="447">
        <v>0</v>
      </c>
      <c r="Y49" s="458">
        <v>16</v>
      </c>
      <c r="Z49" s="449">
        <v>0</v>
      </c>
      <c r="AA49" s="447">
        <v>0</v>
      </c>
      <c r="AB49" s="447">
        <v>0</v>
      </c>
      <c r="AC49" s="447">
        <v>0</v>
      </c>
      <c r="AD49" s="448">
        <v>0</v>
      </c>
      <c r="AE49" s="458">
        <v>0</v>
      </c>
      <c r="AF49" s="447">
        <v>0</v>
      </c>
      <c r="AG49" s="447">
        <v>0</v>
      </c>
      <c r="AH49" s="447">
        <v>0</v>
      </c>
      <c r="AI49" s="447">
        <v>0</v>
      </c>
      <c r="AJ49" s="448">
        <v>0</v>
      </c>
      <c r="AK49" s="460">
        <v>0</v>
      </c>
      <c r="AL49" s="456">
        <v>0</v>
      </c>
      <c r="AM49" s="447">
        <v>0</v>
      </c>
      <c r="AN49" s="447">
        <v>0</v>
      </c>
      <c r="AO49" s="447">
        <v>0</v>
      </c>
      <c r="AP49" s="457">
        <v>0</v>
      </c>
      <c r="AQ49" s="459">
        <v>0</v>
      </c>
      <c r="AR49" s="447">
        <v>0</v>
      </c>
      <c r="AS49" s="447">
        <v>0</v>
      </c>
      <c r="AT49" s="447">
        <v>0</v>
      </c>
      <c r="AU49" s="447">
        <v>0</v>
      </c>
      <c r="AV49" s="447">
        <v>0</v>
      </c>
      <c r="AW49" s="458">
        <v>0</v>
      </c>
      <c r="AX49" s="447">
        <v>0</v>
      </c>
      <c r="AY49" s="447">
        <v>0</v>
      </c>
      <c r="AZ49" s="447">
        <v>0</v>
      </c>
      <c r="BA49" s="447">
        <v>0</v>
      </c>
      <c r="BB49" s="447">
        <v>0</v>
      </c>
      <c r="BC49" s="458">
        <v>0</v>
      </c>
      <c r="BD49" s="447">
        <v>0</v>
      </c>
      <c r="BE49" s="447">
        <v>0</v>
      </c>
      <c r="BF49" s="447">
        <v>0</v>
      </c>
      <c r="BG49" s="447">
        <v>0</v>
      </c>
      <c r="BH49" s="447">
        <v>0</v>
      </c>
      <c r="BI49" s="460">
        <v>0</v>
      </c>
      <c r="BJ49" s="462">
        <v>536</v>
      </c>
    </row>
    <row r="50" spans="2:62" x14ac:dyDescent="0.2">
      <c r="B50" s="451" t="s">
        <v>6</v>
      </c>
      <c r="C50" s="449">
        <v>0</v>
      </c>
      <c r="D50" s="447">
        <v>0</v>
      </c>
      <c r="E50" s="447">
        <v>0</v>
      </c>
      <c r="F50" s="447">
        <v>0</v>
      </c>
      <c r="G50" s="448">
        <v>0</v>
      </c>
      <c r="H50" s="458">
        <v>0</v>
      </c>
      <c r="I50" s="447">
        <v>0</v>
      </c>
      <c r="J50" s="447">
        <v>0</v>
      </c>
      <c r="K50" s="447">
        <v>0</v>
      </c>
      <c r="L50" s="447">
        <v>0</v>
      </c>
      <c r="M50" s="448">
        <v>0</v>
      </c>
      <c r="N50" s="458">
        <v>0</v>
      </c>
      <c r="O50" s="447">
        <v>0</v>
      </c>
      <c r="P50" s="447">
        <v>0</v>
      </c>
      <c r="Q50" s="447">
        <v>0</v>
      </c>
      <c r="R50" s="447">
        <v>16</v>
      </c>
      <c r="S50" s="448">
        <v>40</v>
      </c>
      <c r="T50" s="458">
        <v>56</v>
      </c>
      <c r="U50" s="447">
        <v>40</v>
      </c>
      <c r="V50" s="447">
        <v>24</v>
      </c>
      <c r="W50" s="447">
        <v>40</v>
      </c>
      <c r="X50" s="447">
        <v>40</v>
      </c>
      <c r="Y50" s="458">
        <v>144</v>
      </c>
      <c r="Z50" s="449">
        <v>32</v>
      </c>
      <c r="AA50" s="447">
        <v>40</v>
      </c>
      <c r="AB50" s="447">
        <v>40</v>
      </c>
      <c r="AC50" s="447">
        <v>40</v>
      </c>
      <c r="AD50" s="448">
        <v>24</v>
      </c>
      <c r="AE50" s="458">
        <v>176</v>
      </c>
      <c r="AF50" s="447">
        <v>16</v>
      </c>
      <c r="AG50" s="447">
        <v>40</v>
      </c>
      <c r="AH50" s="447">
        <v>40</v>
      </c>
      <c r="AI50" s="447">
        <v>40</v>
      </c>
      <c r="AJ50" s="448">
        <v>32</v>
      </c>
      <c r="AK50" s="460">
        <v>168</v>
      </c>
      <c r="AL50" s="456">
        <v>0</v>
      </c>
      <c r="AM50" s="447">
        <v>0</v>
      </c>
      <c r="AN50" s="447">
        <v>0</v>
      </c>
      <c r="AO50" s="447">
        <v>0</v>
      </c>
      <c r="AP50" s="457">
        <v>0</v>
      </c>
      <c r="AQ50" s="459">
        <v>0</v>
      </c>
      <c r="AR50" s="447">
        <v>0</v>
      </c>
      <c r="AS50" s="447">
        <v>0</v>
      </c>
      <c r="AT50" s="447">
        <v>0</v>
      </c>
      <c r="AU50" s="447">
        <v>0</v>
      </c>
      <c r="AV50" s="447">
        <v>0</v>
      </c>
      <c r="AW50" s="458">
        <v>0</v>
      </c>
      <c r="AX50" s="447">
        <v>0</v>
      </c>
      <c r="AY50" s="447">
        <v>0</v>
      </c>
      <c r="AZ50" s="447">
        <v>0</v>
      </c>
      <c r="BA50" s="447">
        <v>0</v>
      </c>
      <c r="BB50" s="447">
        <v>0</v>
      </c>
      <c r="BC50" s="458">
        <v>0</v>
      </c>
      <c r="BD50" s="447">
        <v>0</v>
      </c>
      <c r="BE50" s="447">
        <v>0</v>
      </c>
      <c r="BF50" s="447">
        <v>0</v>
      </c>
      <c r="BG50" s="447">
        <v>0</v>
      </c>
      <c r="BH50" s="447">
        <v>0</v>
      </c>
      <c r="BI50" s="460">
        <v>0</v>
      </c>
      <c r="BJ50" s="462">
        <v>544</v>
      </c>
    </row>
    <row r="51" spans="2:62" x14ac:dyDescent="0.2">
      <c r="B51" s="451" t="s">
        <v>15</v>
      </c>
      <c r="C51" s="449">
        <v>0</v>
      </c>
      <c r="D51" s="447">
        <v>0</v>
      </c>
      <c r="E51" s="447">
        <v>0</v>
      </c>
      <c r="F51" s="447">
        <v>0</v>
      </c>
      <c r="G51" s="448">
        <v>0</v>
      </c>
      <c r="H51" s="458">
        <v>0</v>
      </c>
      <c r="I51" s="447">
        <v>0</v>
      </c>
      <c r="J51" s="447">
        <v>0</v>
      </c>
      <c r="K51" s="447">
        <v>0</v>
      </c>
      <c r="L51" s="447">
        <v>0</v>
      </c>
      <c r="M51" s="448">
        <v>0</v>
      </c>
      <c r="N51" s="458">
        <v>0</v>
      </c>
      <c r="O51" s="447">
        <v>0</v>
      </c>
      <c r="P51" s="447">
        <v>0</v>
      </c>
      <c r="Q51" s="447">
        <v>0</v>
      </c>
      <c r="R51" s="447">
        <v>16</v>
      </c>
      <c r="S51" s="448">
        <v>40</v>
      </c>
      <c r="T51" s="458">
        <v>56</v>
      </c>
      <c r="U51" s="447">
        <v>40</v>
      </c>
      <c r="V51" s="447">
        <v>24</v>
      </c>
      <c r="W51" s="447">
        <v>40</v>
      </c>
      <c r="X51" s="447">
        <v>40</v>
      </c>
      <c r="Y51" s="458">
        <v>144</v>
      </c>
      <c r="Z51" s="449">
        <v>32</v>
      </c>
      <c r="AA51" s="447">
        <v>40</v>
      </c>
      <c r="AB51" s="447">
        <v>40</v>
      </c>
      <c r="AC51" s="447">
        <v>40</v>
      </c>
      <c r="AD51" s="448">
        <v>24</v>
      </c>
      <c r="AE51" s="458">
        <v>176</v>
      </c>
      <c r="AF51" s="447">
        <v>16</v>
      </c>
      <c r="AG51" s="447">
        <v>16</v>
      </c>
      <c r="AH51" s="447">
        <v>0</v>
      </c>
      <c r="AI51" s="447">
        <v>0</v>
      </c>
      <c r="AJ51" s="448">
        <v>0</v>
      </c>
      <c r="AK51" s="460">
        <v>32</v>
      </c>
      <c r="AL51" s="456">
        <v>0</v>
      </c>
      <c r="AM51" s="447">
        <v>0</v>
      </c>
      <c r="AN51" s="447">
        <v>0</v>
      </c>
      <c r="AO51" s="447">
        <v>0</v>
      </c>
      <c r="AP51" s="457">
        <v>0</v>
      </c>
      <c r="AQ51" s="459">
        <v>0</v>
      </c>
      <c r="AR51" s="447">
        <v>0</v>
      </c>
      <c r="AS51" s="447">
        <v>0</v>
      </c>
      <c r="AT51" s="447">
        <v>0</v>
      </c>
      <c r="AU51" s="447">
        <v>0</v>
      </c>
      <c r="AV51" s="447">
        <v>0</v>
      </c>
      <c r="AW51" s="458">
        <v>0</v>
      </c>
      <c r="AX51" s="447">
        <v>0</v>
      </c>
      <c r="AY51" s="447">
        <v>0</v>
      </c>
      <c r="AZ51" s="447">
        <v>0</v>
      </c>
      <c r="BA51" s="447">
        <v>0</v>
      </c>
      <c r="BB51" s="447">
        <v>0</v>
      </c>
      <c r="BC51" s="458">
        <v>0</v>
      </c>
      <c r="BD51" s="447">
        <v>0</v>
      </c>
      <c r="BE51" s="447">
        <v>0</v>
      </c>
      <c r="BF51" s="447">
        <v>0</v>
      </c>
      <c r="BG51" s="447">
        <v>0</v>
      </c>
      <c r="BH51" s="447">
        <v>0</v>
      </c>
      <c r="BI51" s="460">
        <v>0</v>
      </c>
      <c r="BJ51" s="462">
        <v>408</v>
      </c>
    </row>
    <row r="52" spans="2:62" x14ac:dyDescent="0.2">
      <c r="B52" s="451" t="s">
        <v>26</v>
      </c>
      <c r="C52" s="449">
        <v>40</v>
      </c>
      <c r="D52" s="447">
        <v>40</v>
      </c>
      <c r="E52" s="447">
        <v>40</v>
      </c>
      <c r="F52" s="447">
        <v>40</v>
      </c>
      <c r="G52" s="448">
        <v>16</v>
      </c>
      <c r="H52" s="458">
        <v>176</v>
      </c>
      <c r="I52" s="447">
        <v>24</v>
      </c>
      <c r="J52" s="447">
        <v>40</v>
      </c>
      <c r="K52" s="447">
        <v>40</v>
      </c>
      <c r="L52" s="447">
        <v>40</v>
      </c>
      <c r="M52" s="448">
        <v>16</v>
      </c>
      <c r="N52" s="458">
        <v>160</v>
      </c>
      <c r="O52" s="447">
        <v>24</v>
      </c>
      <c r="P52" s="447">
        <v>40</v>
      </c>
      <c r="Q52" s="447">
        <v>40</v>
      </c>
      <c r="R52" s="447">
        <v>40</v>
      </c>
      <c r="S52" s="448">
        <v>40</v>
      </c>
      <c r="T52" s="458">
        <v>184</v>
      </c>
      <c r="U52" s="447">
        <v>40</v>
      </c>
      <c r="V52" s="447">
        <v>24</v>
      </c>
      <c r="W52" s="447">
        <v>40</v>
      </c>
      <c r="X52" s="447">
        <v>40</v>
      </c>
      <c r="Y52" s="458">
        <v>144</v>
      </c>
      <c r="Z52" s="449">
        <v>32</v>
      </c>
      <c r="AA52" s="447">
        <v>40</v>
      </c>
      <c r="AB52" s="447">
        <v>40</v>
      </c>
      <c r="AC52" s="447">
        <v>40</v>
      </c>
      <c r="AD52" s="448">
        <v>24</v>
      </c>
      <c r="AE52" s="458">
        <v>176</v>
      </c>
      <c r="AF52" s="447">
        <v>16</v>
      </c>
      <c r="AG52" s="447">
        <v>40</v>
      </c>
      <c r="AH52" s="447">
        <v>40</v>
      </c>
      <c r="AI52" s="447">
        <v>40</v>
      </c>
      <c r="AJ52" s="448">
        <v>32</v>
      </c>
      <c r="AK52" s="460">
        <v>168</v>
      </c>
      <c r="AL52" s="456">
        <v>40</v>
      </c>
      <c r="AM52" s="447">
        <v>40</v>
      </c>
      <c r="AN52" s="447">
        <v>40</v>
      </c>
      <c r="AO52" s="447">
        <v>32</v>
      </c>
      <c r="AP52" s="457">
        <v>8</v>
      </c>
      <c r="AQ52" s="459">
        <v>160</v>
      </c>
      <c r="AR52" s="447">
        <v>32</v>
      </c>
      <c r="AS52" s="447">
        <v>40</v>
      </c>
      <c r="AT52" s="447">
        <v>40</v>
      </c>
      <c r="AU52" s="447">
        <v>40</v>
      </c>
      <c r="AV52" s="447">
        <v>24</v>
      </c>
      <c r="AW52" s="458">
        <v>176</v>
      </c>
      <c r="AX52" s="447">
        <v>8</v>
      </c>
      <c r="AY52" s="447">
        <v>40</v>
      </c>
      <c r="AZ52" s="447">
        <v>40</v>
      </c>
      <c r="BA52" s="447">
        <v>40</v>
      </c>
      <c r="BB52" s="447">
        <v>40</v>
      </c>
      <c r="BC52" s="458">
        <v>168</v>
      </c>
      <c r="BD52" s="447">
        <v>40</v>
      </c>
      <c r="BE52" s="447">
        <v>0</v>
      </c>
      <c r="BF52" s="447">
        <v>0</v>
      </c>
      <c r="BG52" s="447">
        <v>0</v>
      </c>
      <c r="BH52" s="447">
        <v>0</v>
      </c>
      <c r="BI52" s="460">
        <v>40</v>
      </c>
      <c r="BJ52" s="462">
        <v>1552</v>
      </c>
    </row>
    <row r="53" spans="2:62" x14ac:dyDescent="0.2">
      <c r="B53" s="451" t="s">
        <v>9</v>
      </c>
      <c r="C53" s="449">
        <v>40</v>
      </c>
      <c r="D53" s="447">
        <v>40</v>
      </c>
      <c r="E53" s="447">
        <v>40</v>
      </c>
      <c r="F53" s="447">
        <v>40</v>
      </c>
      <c r="G53" s="448">
        <v>16</v>
      </c>
      <c r="H53" s="458">
        <v>176</v>
      </c>
      <c r="I53" s="447">
        <v>24</v>
      </c>
      <c r="J53" s="447">
        <v>40</v>
      </c>
      <c r="K53" s="447">
        <v>40</v>
      </c>
      <c r="L53" s="447">
        <v>40</v>
      </c>
      <c r="M53" s="448">
        <v>16</v>
      </c>
      <c r="N53" s="458">
        <v>160</v>
      </c>
      <c r="O53" s="447">
        <v>24</v>
      </c>
      <c r="P53" s="447">
        <v>40</v>
      </c>
      <c r="Q53" s="447">
        <v>40</v>
      </c>
      <c r="R53" s="447">
        <v>40</v>
      </c>
      <c r="S53" s="448">
        <v>40</v>
      </c>
      <c r="T53" s="458">
        <v>184</v>
      </c>
      <c r="U53" s="447">
        <v>40</v>
      </c>
      <c r="V53" s="447">
        <v>24</v>
      </c>
      <c r="W53" s="447">
        <v>40</v>
      </c>
      <c r="X53" s="447">
        <v>40</v>
      </c>
      <c r="Y53" s="458">
        <v>144</v>
      </c>
      <c r="Z53" s="449">
        <v>32</v>
      </c>
      <c r="AA53" s="447">
        <v>40</v>
      </c>
      <c r="AB53" s="447">
        <v>40</v>
      </c>
      <c r="AC53" s="447">
        <v>40</v>
      </c>
      <c r="AD53" s="448">
        <v>24</v>
      </c>
      <c r="AE53" s="458">
        <v>176</v>
      </c>
      <c r="AF53" s="447">
        <v>16</v>
      </c>
      <c r="AG53" s="447">
        <v>40</v>
      </c>
      <c r="AH53" s="447">
        <v>40</v>
      </c>
      <c r="AI53" s="447">
        <v>40</v>
      </c>
      <c r="AJ53" s="448">
        <v>32</v>
      </c>
      <c r="AK53" s="460">
        <v>168</v>
      </c>
      <c r="AL53" s="456">
        <v>40</v>
      </c>
      <c r="AM53" s="447">
        <v>40</v>
      </c>
      <c r="AN53" s="447">
        <v>40</v>
      </c>
      <c r="AO53" s="447">
        <v>32</v>
      </c>
      <c r="AP53" s="457">
        <v>8</v>
      </c>
      <c r="AQ53" s="459">
        <v>160</v>
      </c>
      <c r="AR53" s="447">
        <v>32</v>
      </c>
      <c r="AS53" s="447">
        <v>40</v>
      </c>
      <c r="AT53" s="447">
        <v>40</v>
      </c>
      <c r="AU53" s="447">
        <v>40</v>
      </c>
      <c r="AV53" s="447">
        <v>24</v>
      </c>
      <c r="AW53" s="458">
        <v>176</v>
      </c>
      <c r="AX53" s="447">
        <v>8</v>
      </c>
      <c r="AY53" s="447">
        <v>40</v>
      </c>
      <c r="AZ53" s="447">
        <v>40</v>
      </c>
      <c r="BA53" s="447">
        <v>40</v>
      </c>
      <c r="BB53" s="447">
        <v>40</v>
      </c>
      <c r="BC53" s="458">
        <v>168</v>
      </c>
      <c r="BD53" s="447">
        <v>40</v>
      </c>
      <c r="BE53" s="447">
        <v>0</v>
      </c>
      <c r="BF53" s="447">
        <v>0</v>
      </c>
      <c r="BG53" s="447">
        <v>0</v>
      </c>
      <c r="BH53" s="447">
        <v>0</v>
      </c>
      <c r="BI53" s="460">
        <v>40</v>
      </c>
      <c r="BJ53" s="462">
        <v>1552</v>
      </c>
    </row>
    <row r="54" spans="2:62" x14ac:dyDescent="0.2">
      <c r="B54" s="451" t="s">
        <v>8</v>
      </c>
      <c r="C54" s="449">
        <v>40</v>
      </c>
      <c r="D54" s="447">
        <v>40</v>
      </c>
      <c r="E54" s="447">
        <v>40</v>
      </c>
      <c r="F54" s="447">
        <v>40</v>
      </c>
      <c r="G54" s="448">
        <v>16</v>
      </c>
      <c r="H54" s="458">
        <v>176</v>
      </c>
      <c r="I54" s="447">
        <v>24</v>
      </c>
      <c r="J54" s="447">
        <v>40</v>
      </c>
      <c r="K54" s="447">
        <v>40</v>
      </c>
      <c r="L54" s="447">
        <v>40</v>
      </c>
      <c r="M54" s="448">
        <v>16</v>
      </c>
      <c r="N54" s="458">
        <v>160</v>
      </c>
      <c r="O54" s="447">
        <v>24</v>
      </c>
      <c r="P54" s="447">
        <v>40</v>
      </c>
      <c r="Q54" s="447">
        <v>40</v>
      </c>
      <c r="R54" s="447">
        <v>40</v>
      </c>
      <c r="S54" s="448">
        <v>40</v>
      </c>
      <c r="T54" s="458">
        <v>184</v>
      </c>
      <c r="U54" s="447">
        <v>40</v>
      </c>
      <c r="V54" s="447">
        <v>24</v>
      </c>
      <c r="W54" s="447">
        <v>40</v>
      </c>
      <c r="X54" s="447">
        <v>40</v>
      </c>
      <c r="Y54" s="458">
        <v>144</v>
      </c>
      <c r="Z54" s="449">
        <v>32</v>
      </c>
      <c r="AA54" s="447">
        <v>40</v>
      </c>
      <c r="AB54" s="447">
        <v>40</v>
      </c>
      <c r="AC54" s="447">
        <v>40</v>
      </c>
      <c r="AD54" s="448">
        <v>24</v>
      </c>
      <c r="AE54" s="458">
        <v>176</v>
      </c>
      <c r="AF54" s="447">
        <v>16</v>
      </c>
      <c r="AG54" s="447">
        <v>40</v>
      </c>
      <c r="AH54" s="447">
        <v>40</v>
      </c>
      <c r="AI54" s="447">
        <v>40</v>
      </c>
      <c r="AJ54" s="448">
        <v>32</v>
      </c>
      <c r="AK54" s="460">
        <v>168</v>
      </c>
      <c r="AL54" s="456">
        <v>40</v>
      </c>
      <c r="AM54" s="447">
        <v>40</v>
      </c>
      <c r="AN54" s="447">
        <v>40</v>
      </c>
      <c r="AO54" s="447">
        <v>32</v>
      </c>
      <c r="AP54" s="457">
        <v>8</v>
      </c>
      <c r="AQ54" s="459">
        <v>160</v>
      </c>
      <c r="AR54" s="447">
        <v>32</v>
      </c>
      <c r="AS54" s="447">
        <v>40</v>
      </c>
      <c r="AT54" s="447">
        <v>40</v>
      </c>
      <c r="AU54" s="447">
        <v>40</v>
      </c>
      <c r="AV54" s="447">
        <v>24</v>
      </c>
      <c r="AW54" s="458">
        <v>176</v>
      </c>
      <c r="AX54" s="447">
        <v>8</v>
      </c>
      <c r="AY54" s="447">
        <v>40</v>
      </c>
      <c r="AZ54" s="447">
        <v>40</v>
      </c>
      <c r="BA54" s="447">
        <v>40</v>
      </c>
      <c r="BB54" s="447">
        <v>40</v>
      </c>
      <c r="BC54" s="458">
        <v>168</v>
      </c>
      <c r="BD54" s="447">
        <v>40</v>
      </c>
      <c r="BE54" s="447">
        <v>0</v>
      </c>
      <c r="BF54" s="447">
        <v>0</v>
      </c>
      <c r="BG54" s="447">
        <v>0</v>
      </c>
      <c r="BH54" s="447">
        <v>0</v>
      </c>
      <c r="BI54" s="460">
        <v>40</v>
      </c>
      <c r="BJ54" s="462">
        <v>1552</v>
      </c>
    </row>
    <row r="55" spans="2:62" x14ac:dyDescent="0.2">
      <c r="B55" s="451" t="s">
        <v>2</v>
      </c>
      <c r="C55" s="449">
        <v>40</v>
      </c>
      <c r="D55" s="447">
        <v>40</v>
      </c>
      <c r="E55" s="447">
        <v>40</v>
      </c>
      <c r="F55" s="447">
        <v>40</v>
      </c>
      <c r="G55" s="448">
        <v>16</v>
      </c>
      <c r="H55" s="458">
        <v>176</v>
      </c>
      <c r="I55" s="447">
        <v>24</v>
      </c>
      <c r="J55" s="447">
        <v>40</v>
      </c>
      <c r="K55" s="447">
        <v>40</v>
      </c>
      <c r="L55" s="447">
        <v>40</v>
      </c>
      <c r="M55" s="448">
        <v>16</v>
      </c>
      <c r="N55" s="458">
        <v>160</v>
      </c>
      <c r="O55" s="447">
        <v>24</v>
      </c>
      <c r="P55" s="447">
        <v>40</v>
      </c>
      <c r="Q55" s="447">
        <v>40</v>
      </c>
      <c r="R55" s="447">
        <v>40</v>
      </c>
      <c r="S55" s="448">
        <v>40</v>
      </c>
      <c r="T55" s="458">
        <v>184</v>
      </c>
      <c r="U55" s="447">
        <v>40</v>
      </c>
      <c r="V55" s="447">
        <v>24</v>
      </c>
      <c r="W55" s="447">
        <v>40</v>
      </c>
      <c r="X55" s="447">
        <v>40</v>
      </c>
      <c r="Y55" s="458">
        <v>144</v>
      </c>
      <c r="Z55" s="449">
        <v>32</v>
      </c>
      <c r="AA55" s="447">
        <v>40</v>
      </c>
      <c r="AB55" s="447">
        <v>40</v>
      </c>
      <c r="AC55" s="447">
        <v>40</v>
      </c>
      <c r="AD55" s="448">
        <v>24</v>
      </c>
      <c r="AE55" s="458">
        <v>176</v>
      </c>
      <c r="AF55" s="447">
        <v>16</v>
      </c>
      <c r="AG55" s="447">
        <v>40</v>
      </c>
      <c r="AH55" s="447">
        <v>40</v>
      </c>
      <c r="AI55" s="447">
        <v>40</v>
      </c>
      <c r="AJ55" s="448">
        <v>32</v>
      </c>
      <c r="AK55" s="460">
        <v>168</v>
      </c>
      <c r="AL55" s="456">
        <v>40</v>
      </c>
      <c r="AM55" s="447">
        <v>40</v>
      </c>
      <c r="AN55" s="447">
        <v>40</v>
      </c>
      <c r="AO55" s="447">
        <v>32</v>
      </c>
      <c r="AP55" s="457">
        <v>8</v>
      </c>
      <c r="AQ55" s="459">
        <v>160</v>
      </c>
      <c r="AR55" s="447">
        <v>32</v>
      </c>
      <c r="AS55" s="447">
        <v>40</v>
      </c>
      <c r="AT55" s="447">
        <v>40</v>
      </c>
      <c r="AU55" s="447">
        <v>40</v>
      </c>
      <c r="AV55" s="447">
        <v>24</v>
      </c>
      <c r="AW55" s="458">
        <v>176</v>
      </c>
      <c r="AX55" s="447">
        <v>8</v>
      </c>
      <c r="AY55" s="447">
        <v>40</v>
      </c>
      <c r="AZ55" s="447">
        <v>40</v>
      </c>
      <c r="BA55" s="447">
        <v>40</v>
      </c>
      <c r="BB55" s="447">
        <v>40</v>
      </c>
      <c r="BC55" s="458">
        <v>168</v>
      </c>
      <c r="BD55" s="447">
        <v>40</v>
      </c>
      <c r="BE55" s="447">
        <v>0</v>
      </c>
      <c r="BF55" s="447">
        <v>0</v>
      </c>
      <c r="BG55" s="447">
        <v>0</v>
      </c>
      <c r="BH55" s="447">
        <v>0</v>
      </c>
      <c r="BI55" s="460">
        <v>40</v>
      </c>
      <c r="BJ55" s="462">
        <v>1552</v>
      </c>
    </row>
    <row r="56" spans="2:62" x14ac:dyDescent="0.2">
      <c r="B56" s="451" t="s">
        <v>4</v>
      </c>
      <c r="C56" s="449">
        <v>0</v>
      </c>
      <c r="D56" s="447">
        <v>0</v>
      </c>
      <c r="E56" s="447">
        <v>0</v>
      </c>
      <c r="F56" s="447">
        <v>0</v>
      </c>
      <c r="G56" s="448">
        <v>0</v>
      </c>
      <c r="H56" s="458">
        <v>0</v>
      </c>
      <c r="I56" s="447">
        <v>24</v>
      </c>
      <c r="J56" s="447">
        <v>40</v>
      </c>
      <c r="K56" s="447">
        <v>40</v>
      </c>
      <c r="L56" s="447">
        <v>40</v>
      </c>
      <c r="M56" s="448">
        <v>16</v>
      </c>
      <c r="N56" s="458">
        <v>160</v>
      </c>
      <c r="O56" s="447">
        <v>24</v>
      </c>
      <c r="P56" s="447">
        <v>40</v>
      </c>
      <c r="Q56" s="447">
        <v>40</v>
      </c>
      <c r="R56" s="447">
        <v>40</v>
      </c>
      <c r="S56" s="448">
        <v>40</v>
      </c>
      <c r="T56" s="458">
        <v>184</v>
      </c>
      <c r="U56" s="447">
        <v>40</v>
      </c>
      <c r="V56" s="447">
        <v>24</v>
      </c>
      <c r="W56" s="447">
        <v>40</v>
      </c>
      <c r="X56" s="447">
        <v>40</v>
      </c>
      <c r="Y56" s="458">
        <v>144</v>
      </c>
      <c r="Z56" s="449">
        <v>32</v>
      </c>
      <c r="AA56" s="447">
        <v>40</v>
      </c>
      <c r="AB56" s="447">
        <v>40</v>
      </c>
      <c r="AC56" s="447">
        <v>40</v>
      </c>
      <c r="AD56" s="448">
        <v>24</v>
      </c>
      <c r="AE56" s="458">
        <v>176</v>
      </c>
      <c r="AF56" s="447">
        <v>16</v>
      </c>
      <c r="AG56" s="447">
        <v>40</v>
      </c>
      <c r="AH56" s="447">
        <v>40</v>
      </c>
      <c r="AI56" s="447">
        <v>40</v>
      </c>
      <c r="AJ56" s="448">
        <v>32</v>
      </c>
      <c r="AK56" s="460">
        <v>168</v>
      </c>
      <c r="AL56" s="456">
        <v>40</v>
      </c>
      <c r="AM56" s="447">
        <v>40</v>
      </c>
      <c r="AN56" s="447">
        <v>40</v>
      </c>
      <c r="AO56" s="447">
        <v>32</v>
      </c>
      <c r="AP56" s="457">
        <v>8</v>
      </c>
      <c r="AQ56" s="459">
        <v>160</v>
      </c>
      <c r="AR56" s="447">
        <v>32</v>
      </c>
      <c r="AS56" s="447">
        <v>40</v>
      </c>
      <c r="AT56" s="447">
        <v>40</v>
      </c>
      <c r="AU56" s="447">
        <v>40</v>
      </c>
      <c r="AV56" s="447">
        <v>24</v>
      </c>
      <c r="AW56" s="458">
        <v>176</v>
      </c>
      <c r="AX56" s="447">
        <v>8</v>
      </c>
      <c r="AY56" s="447">
        <v>40</v>
      </c>
      <c r="AZ56" s="447">
        <v>40</v>
      </c>
      <c r="BA56" s="447">
        <v>40</v>
      </c>
      <c r="BB56" s="447">
        <v>40</v>
      </c>
      <c r="BC56" s="458">
        <v>168</v>
      </c>
      <c r="BD56" s="447">
        <v>40</v>
      </c>
      <c r="BE56" s="447">
        <v>0</v>
      </c>
      <c r="BF56" s="447">
        <v>0</v>
      </c>
      <c r="BG56" s="447">
        <v>0</v>
      </c>
      <c r="BH56" s="447">
        <v>0</v>
      </c>
      <c r="BI56" s="460">
        <v>40</v>
      </c>
      <c r="BJ56" s="462">
        <v>1376</v>
      </c>
    </row>
    <row r="57" spans="2:62" x14ac:dyDescent="0.2">
      <c r="B57" s="451" t="s">
        <v>16</v>
      </c>
      <c r="C57" s="449">
        <v>40</v>
      </c>
      <c r="D57" s="447">
        <v>40</v>
      </c>
      <c r="E57" s="447">
        <v>40</v>
      </c>
      <c r="F57" s="447">
        <v>40</v>
      </c>
      <c r="G57" s="448">
        <v>16</v>
      </c>
      <c r="H57" s="458">
        <v>176</v>
      </c>
      <c r="I57" s="447">
        <v>24</v>
      </c>
      <c r="J57" s="447">
        <v>40</v>
      </c>
      <c r="K57" s="447">
        <v>40</v>
      </c>
      <c r="L57" s="447">
        <v>40</v>
      </c>
      <c r="M57" s="448">
        <v>16</v>
      </c>
      <c r="N57" s="458">
        <v>160</v>
      </c>
      <c r="O57" s="447">
        <v>24</v>
      </c>
      <c r="P57" s="447">
        <v>40</v>
      </c>
      <c r="Q57" s="447">
        <v>40</v>
      </c>
      <c r="R57" s="447">
        <v>40</v>
      </c>
      <c r="S57" s="448">
        <v>40</v>
      </c>
      <c r="T57" s="458">
        <v>184</v>
      </c>
      <c r="U57" s="447">
        <v>40</v>
      </c>
      <c r="V57" s="447">
        <v>24</v>
      </c>
      <c r="W57" s="447">
        <v>40</v>
      </c>
      <c r="X57" s="447">
        <v>40</v>
      </c>
      <c r="Y57" s="458">
        <v>144</v>
      </c>
      <c r="Z57" s="449">
        <v>32</v>
      </c>
      <c r="AA57" s="447">
        <v>40</v>
      </c>
      <c r="AB57" s="447">
        <v>40</v>
      </c>
      <c r="AC57" s="447">
        <v>40</v>
      </c>
      <c r="AD57" s="448">
        <v>24</v>
      </c>
      <c r="AE57" s="458">
        <v>176</v>
      </c>
      <c r="AF57" s="447">
        <v>16</v>
      </c>
      <c r="AG57" s="447">
        <v>40</v>
      </c>
      <c r="AH57" s="447">
        <v>40</v>
      </c>
      <c r="AI57" s="447">
        <v>40</v>
      </c>
      <c r="AJ57" s="448">
        <v>32</v>
      </c>
      <c r="AK57" s="460">
        <v>168</v>
      </c>
      <c r="AL57" s="456">
        <v>40</v>
      </c>
      <c r="AM57" s="447">
        <v>40</v>
      </c>
      <c r="AN57" s="447">
        <v>40</v>
      </c>
      <c r="AO57" s="447">
        <v>32</v>
      </c>
      <c r="AP57" s="457">
        <v>8</v>
      </c>
      <c r="AQ57" s="459">
        <v>160</v>
      </c>
      <c r="AR57" s="447">
        <v>32</v>
      </c>
      <c r="AS57" s="447">
        <v>40</v>
      </c>
      <c r="AT57" s="447">
        <v>40</v>
      </c>
      <c r="AU57" s="447">
        <v>40</v>
      </c>
      <c r="AV57" s="447">
        <v>24</v>
      </c>
      <c r="AW57" s="458">
        <v>176</v>
      </c>
      <c r="AX57" s="447">
        <v>8</v>
      </c>
      <c r="AY57" s="447">
        <v>40</v>
      </c>
      <c r="AZ57" s="447">
        <v>40</v>
      </c>
      <c r="BA57" s="447">
        <v>40</v>
      </c>
      <c r="BB57" s="447">
        <v>40</v>
      </c>
      <c r="BC57" s="458">
        <v>168</v>
      </c>
      <c r="BD57" s="447">
        <v>40</v>
      </c>
      <c r="BE57" s="447">
        <v>0</v>
      </c>
      <c r="BF57" s="447">
        <v>0</v>
      </c>
      <c r="BG57" s="447">
        <v>0</v>
      </c>
      <c r="BH57" s="447">
        <v>0</v>
      </c>
      <c r="BI57" s="460">
        <v>40</v>
      </c>
      <c r="BJ57" s="462">
        <v>1552</v>
      </c>
    </row>
    <row r="58" spans="2:62" x14ac:dyDescent="0.2">
      <c r="B58" s="451" t="s">
        <v>7</v>
      </c>
      <c r="C58" s="449">
        <v>16</v>
      </c>
      <c r="D58" s="447">
        <v>40</v>
      </c>
      <c r="E58" s="447">
        <v>40</v>
      </c>
      <c r="F58" s="447">
        <v>40</v>
      </c>
      <c r="G58" s="448">
        <v>16</v>
      </c>
      <c r="H58" s="458">
        <v>152</v>
      </c>
      <c r="I58" s="447">
        <v>24</v>
      </c>
      <c r="J58" s="447">
        <v>40</v>
      </c>
      <c r="K58" s="447">
        <v>40</v>
      </c>
      <c r="L58" s="447">
        <v>40</v>
      </c>
      <c r="M58" s="448">
        <v>16</v>
      </c>
      <c r="N58" s="458">
        <v>160</v>
      </c>
      <c r="O58" s="447">
        <v>24</v>
      </c>
      <c r="P58" s="447">
        <v>40</v>
      </c>
      <c r="Q58" s="447">
        <v>40</v>
      </c>
      <c r="R58" s="447">
        <v>40</v>
      </c>
      <c r="S58" s="448">
        <v>40</v>
      </c>
      <c r="T58" s="458">
        <v>184</v>
      </c>
      <c r="U58" s="447">
        <v>40</v>
      </c>
      <c r="V58" s="447">
        <v>24</v>
      </c>
      <c r="W58" s="447">
        <v>40</v>
      </c>
      <c r="X58" s="447">
        <v>40</v>
      </c>
      <c r="Y58" s="458">
        <v>144</v>
      </c>
      <c r="Z58" s="449">
        <v>32</v>
      </c>
      <c r="AA58" s="447">
        <v>40</v>
      </c>
      <c r="AB58" s="447">
        <v>40</v>
      </c>
      <c r="AC58" s="447">
        <v>40</v>
      </c>
      <c r="AD58" s="448">
        <v>24</v>
      </c>
      <c r="AE58" s="458">
        <v>176</v>
      </c>
      <c r="AF58" s="447">
        <v>16</v>
      </c>
      <c r="AG58" s="447">
        <v>40</v>
      </c>
      <c r="AH58" s="447">
        <v>40</v>
      </c>
      <c r="AI58" s="447">
        <v>40</v>
      </c>
      <c r="AJ58" s="448">
        <v>32</v>
      </c>
      <c r="AK58" s="460">
        <v>168</v>
      </c>
      <c r="AL58" s="456">
        <v>40</v>
      </c>
      <c r="AM58" s="447">
        <v>40</v>
      </c>
      <c r="AN58" s="447">
        <v>40</v>
      </c>
      <c r="AO58" s="447">
        <v>32</v>
      </c>
      <c r="AP58" s="457">
        <v>8</v>
      </c>
      <c r="AQ58" s="459">
        <v>160</v>
      </c>
      <c r="AR58" s="447">
        <v>32</v>
      </c>
      <c r="AS58" s="447">
        <v>40</v>
      </c>
      <c r="AT58" s="447">
        <v>40</v>
      </c>
      <c r="AU58" s="447">
        <v>40</v>
      </c>
      <c r="AV58" s="447">
        <v>24</v>
      </c>
      <c r="AW58" s="458">
        <v>176</v>
      </c>
      <c r="AX58" s="447">
        <v>8</v>
      </c>
      <c r="AY58" s="447">
        <v>40</v>
      </c>
      <c r="AZ58" s="447">
        <v>40</v>
      </c>
      <c r="BA58" s="447">
        <v>40</v>
      </c>
      <c r="BB58" s="447">
        <v>40</v>
      </c>
      <c r="BC58" s="458">
        <v>168</v>
      </c>
      <c r="BD58" s="447">
        <v>40</v>
      </c>
      <c r="BE58" s="447">
        <v>0</v>
      </c>
      <c r="BF58" s="447">
        <v>0</v>
      </c>
      <c r="BG58" s="447">
        <v>0</v>
      </c>
      <c r="BH58" s="447">
        <v>0</v>
      </c>
      <c r="BI58" s="460">
        <v>40</v>
      </c>
      <c r="BJ58" s="462">
        <v>1528</v>
      </c>
    </row>
    <row r="59" spans="2:62" x14ac:dyDescent="0.2">
      <c r="B59" s="451" t="s">
        <v>21</v>
      </c>
      <c r="C59" s="449">
        <v>40</v>
      </c>
      <c r="D59" s="447">
        <v>40</v>
      </c>
      <c r="E59" s="447">
        <v>40</v>
      </c>
      <c r="F59" s="447">
        <v>40</v>
      </c>
      <c r="G59" s="448">
        <v>16</v>
      </c>
      <c r="H59" s="458">
        <v>176</v>
      </c>
      <c r="I59" s="447">
        <v>24</v>
      </c>
      <c r="J59" s="447">
        <v>40</v>
      </c>
      <c r="K59" s="447">
        <v>40</v>
      </c>
      <c r="L59" s="447">
        <v>40</v>
      </c>
      <c r="M59" s="448">
        <v>16</v>
      </c>
      <c r="N59" s="458">
        <v>160</v>
      </c>
      <c r="O59" s="447">
        <v>24</v>
      </c>
      <c r="P59" s="447">
        <v>40</v>
      </c>
      <c r="Q59" s="447">
        <v>40</v>
      </c>
      <c r="R59" s="447">
        <v>40</v>
      </c>
      <c r="S59" s="448">
        <v>40</v>
      </c>
      <c r="T59" s="458">
        <v>184</v>
      </c>
      <c r="U59" s="447">
        <v>40</v>
      </c>
      <c r="V59" s="447">
        <v>24</v>
      </c>
      <c r="W59" s="447">
        <v>40</v>
      </c>
      <c r="X59" s="447">
        <v>40</v>
      </c>
      <c r="Y59" s="458">
        <v>144</v>
      </c>
      <c r="Z59" s="449">
        <v>32</v>
      </c>
      <c r="AA59" s="447">
        <v>40</v>
      </c>
      <c r="AB59" s="447">
        <v>40</v>
      </c>
      <c r="AC59" s="447">
        <v>40</v>
      </c>
      <c r="AD59" s="448">
        <v>24</v>
      </c>
      <c r="AE59" s="458">
        <v>176</v>
      </c>
      <c r="AF59" s="447">
        <v>16</v>
      </c>
      <c r="AG59" s="447">
        <v>40</v>
      </c>
      <c r="AH59" s="447">
        <v>40</v>
      </c>
      <c r="AI59" s="447">
        <v>40</v>
      </c>
      <c r="AJ59" s="448">
        <v>32</v>
      </c>
      <c r="AK59" s="460">
        <v>168</v>
      </c>
      <c r="AL59" s="456">
        <v>40</v>
      </c>
      <c r="AM59" s="447">
        <v>40</v>
      </c>
      <c r="AN59" s="447">
        <v>40</v>
      </c>
      <c r="AO59" s="447">
        <v>32</v>
      </c>
      <c r="AP59" s="457">
        <v>8</v>
      </c>
      <c r="AQ59" s="459">
        <v>160</v>
      </c>
      <c r="AR59" s="447">
        <v>32</v>
      </c>
      <c r="AS59" s="447">
        <v>40</v>
      </c>
      <c r="AT59" s="447">
        <v>40</v>
      </c>
      <c r="AU59" s="447">
        <v>40</v>
      </c>
      <c r="AV59" s="447">
        <v>24</v>
      </c>
      <c r="AW59" s="458">
        <v>176</v>
      </c>
      <c r="AX59" s="447">
        <v>8</v>
      </c>
      <c r="AY59" s="447">
        <v>40</v>
      </c>
      <c r="AZ59" s="447">
        <v>40</v>
      </c>
      <c r="BA59" s="447">
        <v>40</v>
      </c>
      <c r="BB59" s="447">
        <v>40</v>
      </c>
      <c r="BC59" s="458">
        <v>168</v>
      </c>
      <c r="BD59" s="447">
        <v>40</v>
      </c>
      <c r="BE59" s="447">
        <v>0</v>
      </c>
      <c r="BF59" s="447">
        <v>0</v>
      </c>
      <c r="BG59" s="447">
        <v>0</v>
      </c>
      <c r="BH59" s="447">
        <v>0</v>
      </c>
      <c r="BI59" s="460">
        <v>40</v>
      </c>
      <c r="BJ59" s="462">
        <v>1552</v>
      </c>
    </row>
    <row r="60" spans="2:62" x14ac:dyDescent="0.2">
      <c r="B60" s="451" t="s">
        <v>424</v>
      </c>
      <c r="C60" s="449">
        <v>40</v>
      </c>
      <c r="D60" s="447">
        <v>40</v>
      </c>
      <c r="E60" s="447">
        <v>40</v>
      </c>
      <c r="F60" s="447">
        <v>40</v>
      </c>
      <c r="G60" s="448">
        <v>16</v>
      </c>
      <c r="H60" s="458">
        <v>176</v>
      </c>
      <c r="I60" s="447">
        <v>24</v>
      </c>
      <c r="J60" s="447">
        <v>40</v>
      </c>
      <c r="K60" s="447">
        <v>40</v>
      </c>
      <c r="L60" s="447">
        <v>40</v>
      </c>
      <c r="M60" s="448">
        <v>16</v>
      </c>
      <c r="N60" s="458">
        <v>160</v>
      </c>
      <c r="O60" s="447">
        <v>24</v>
      </c>
      <c r="P60" s="447">
        <v>40</v>
      </c>
      <c r="Q60" s="447">
        <v>40</v>
      </c>
      <c r="R60" s="447">
        <v>40</v>
      </c>
      <c r="S60" s="448">
        <v>40</v>
      </c>
      <c r="T60" s="458">
        <v>184</v>
      </c>
      <c r="U60" s="447">
        <v>40</v>
      </c>
      <c r="V60" s="447">
        <v>24</v>
      </c>
      <c r="W60" s="447">
        <v>40</v>
      </c>
      <c r="X60" s="447">
        <v>40</v>
      </c>
      <c r="Y60" s="458">
        <v>144</v>
      </c>
      <c r="Z60" s="449">
        <v>0</v>
      </c>
      <c r="AA60" s="447">
        <v>0</v>
      </c>
      <c r="AB60" s="447">
        <v>0</v>
      </c>
      <c r="AC60" s="447">
        <v>0</v>
      </c>
      <c r="AD60" s="448">
        <v>0</v>
      </c>
      <c r="AE60" s="458">
        <v>0</v>
      </c>
      <c r="AF60" s="447">
        <v>0</v>
      </c>
      <c r="AG60" s="447">
        <v>0</v>
      </c>
      <c r="AH60" s="447">
        <v>0</v>
      </c>
      <c r="AI60" s="447">
        <v>0</v>
      </c>
      <c r="AJ60" s="448">
        <v>0</v>
      </c>
      <c r="AK60" s="460">
        <v>0</v>
      </c>
      <c r="AL60" s="456">
        <v>0</v>
      </c>
      <c r="AM60" s="447">
        <v>0</v>
      </c>
      <c r="AN60" s="447">
        <v>0</v>
      </c>
      <c r="AO60" s="447">
        <v>0</v>
      </c>
      <c r="AP60" s="457">
        <v>0</v>
      </c>
      <c r="AQ60" s="459">
        <v>0</v>
      </c>
      <c r="AR60" s="447">
        <v>0</v>
      </c>
      <c r="AS60" s="447">
        <v>0</v>
      </c>
      <c r="AT60" s="447">
        <v>0</v>
      </c>
      <c r="AU60" s="447">
        <v>0</v>
      </c>
      <c r="AV60" s="447">
        <v>0</v>
      </c>
      <c r="AW60" s="458">
        <v>0</v>
      </c>
      <c r="AX60" s="447">
        <v>0</v>
      </c>
      <c r="AY60" s="447">
        <v>0</v>
      </c>
      <c r="AZ60" s="447">
        <v>0</v>
      </c>
      <c r="BA60" s="447">
        <v>0</v>
      </c>
      <c r="BB60" s="447">
        <v>0</v>
      </c>
      <c r="BC60" s="458">
        <v>0</v>
      </c>
      <c r="BD60" s="447">
        <v>0</v>
      </c>
      <c r="BE60" s="447">
        <v>0</v>
      </c>
      <c r="BF60" s="447">
        <v>0</v>
      </c>
      <c r="BG60" s="447">
        <v>0</v>
      </c>
      <c r="BH60" s="447">
        <v>0</v>
      </c>
      <c r="BI60" s="460">
        <v>0</v>
      </c>
      <c r="BJ60" s="462">
        <v>664</v>
      </c>
    </row>
    <row r="61" spans="2:62" x14ac:dyDescent="0.2">
      <c r="B61" s="451" t="s">
        <v>23</v>
      </c>
      <c r="C61" s="449">
        <v>40</v>
      </c>
      <c r="D61" s="447">
        <v>40</v>
      </c>
      <c r="E61" s="447">
        <v>40</v>
      </c>
      <c r="F61" s="447">
        <v>40</v>
      </c>
      <c r="G61" s="448">
        <v>16</v>
      </c>
      <c r="H61" s="458">
        <v>176</v>
      </c>
      <c r="I61" s="447">
        <v>24</v>
      </c>
      <c r="J61" s="447">
        <v>40</v>
      </c>
      <c r="K61" s="447">
        <v>40</v>
      </c>
      <c r="L61" s="447">
        <v>40</v>
      </c>
      <c r="M61" s="448">
        <v>16</v>
      </c>
      <c r="N61" s="458">
        <v>160</v>
      </c>
      <c r="O61" s="447">
        <v>24</v>
      </c>
      <c r="P61" s="447">
        <v>40</v>
      </c>
      <c r="Q61" s="447">
        <v>40</v>
      </c>
      <c r="R61" s="447">
        <v>40</v>
      </c>
      <c r="S61" s="448">
        <v>40</v>
      </c>
      <c r="T61" s="458">
        <v>184</v>
      </c>
      <c r="U61" s="447">
        <v>40</v>
      </c>
      <c r="V61" s="447">
        <v>24</v>
      </c>
      <c r="W61" s="447">
        <v>40</v>
      </c>
      <c r="X61" s="447">
        <v>40</v>
      </c>
      <c r="Y61" s="458">
        <v>144</v>
      </c>
      <c r="Z61" s="449">
        <v>32</v>
      </c>
      <c r="AA61" s="447">
        <v>40</v>
      </c>
      <c r="AB61" s="447">
        <v>40</v>
      </c>
      <c r="AC61" s="447">
        <v>40</v>
      </c>
      <c r="AD61" s="448">
        <v>24</v>
      </c>
      <c r="AE61" s="458">
        <v>176</v>
      </c>
      <c r="AF61" s="447">
        <v>16</v>
      </c>
      <c r="AG61" s="447">
        <v>40</v>
      </c>
      <c r="AH61" s="447">
        <v>40</v>
      </c>
      <c r="AI61" s="447">
        <v>40</v>
      </c>
      <c r="AJ61" s="448">
        <v>32</v>
      </c>
      <c r="AK61" s="460">
        <v>168</v>
      </c>
      <c r="AL61" s="456">
        <v>40</v>
      </c>
      <c r="AM61" s="447">
        <v>40</v>
      </c>
      <c r="AN61" s="447">
        <v>0</v>
      </c>
      <c r="AO61" s="447">
        <v>0</v>
      </c>
      <c r="AP61" s="457">
        <v>0</v>
      </c>
      <c r="AQ61" s="459">
        <v>80</v>
      </c>
      <c r="AR61" s="447">
        <v>0</v>
      </c>
      <c r="AS61" s="447">
        <v>0</v>
      </c>
      <c r="AT61" s="447">
        <v>0</v>
      </c>
      <c r="AU61" s="447">
        <v>0</v>
      </c>
      <c r="AV61" s="447">
        <v>0</v>
      </c>
      <c r="AW61" s="458">
        <v>0</v>
      </c>
      <c r="AX61" s="447">
        <v>0</v>
      </c>
      <c r="AY61" s="447">
        <v>0</v>
      </c>
      <c r="AZ61" s="447">
        <v>0</v>
      </c>
      <c r="BA61" s="447">
        <v>0</v>
      </c>
      <c r="BB61" s="447">
        <v>0</v>
      </c>
      <c r="BC61" s="458">
        <v>0</v>
      </c>
      <c r="BD61" s="447">
        <v>0</v>
      </c>
      <c r="BE61" s="447">
        <v>0</v>
      </c>
      <c r="BF61" s="447">
        <v>0</v>
      </c>
      <c r="BG61" s="447">
        <v>0</v>
      </c>
      <c r="BH61" s="447">
        <v>0</v>
      </c>
      <c r="BI61" s="460">
        <v>0</v>
      </c>
      <c r="BJ61" s="462">
        <v>1088</v>
      </c>
    </row>
    <row r="62" spans="2:62" x14ac:dyDescent="0.2">
      <c r="B62" s="451" t="s">
        <v>430</v>
      </c>
      <c r="C62" s="449">
        <v>0</v>
      </c>
      <c r="D62" s="447">
        <v>0</v>
      </c>
      <c r="E62" s="447">
        <v>0</v>
      </c>
      <c r="F62" s="447">
        <v>0</v>
      </c>
      <c r="G62" s="448">
        <v>0</v>
      </c>
      <c r="H62" s="458">
        <v>0</v>
      </c>
      <c r="I62" s="447">
        <v>0</v>
      </c>
      <c r="J62" s="447">
        <v>0</v>
      </c>
      <c r="K62" s="447">
        <v>0</v>
      </c>
      <c r="L62" s="447">
        <v>0</v>
      </c>
      <c r="M62" s="448">
        <v>0</v>
      </c>
      <c r="N62" s="458">
        <v>0</v>
      </c>
      <c r="O62" s="447">
        <v>0</v>
      </c>
      <c r="P62" s="447">
        <v>0</v>
      </c>
      <c r="Q62" s="447">
        <v>0</v>
      </c>
      <c r="R62" s="447">
        <v>0</v>
      </c>
      <c r="S62" s="448">
        <v>0</v>
      </c>
      <c r="T62" s="458">
        <v>0</v>
      </c>
      <c r="U62" s="447">
        <v>0</v>
      </c>
      <c r="V62" s="447">
        <v>0</v>
      </c>
      <c r="W62" s="447">
        <v>0</v>
      </c>
      <c r="X62" s="447">
        <v>0</v>
      </c>
      <c r="Y62" s="458">
        <v>0</v>
      </c>
      <c r="Z62" s="449">
        <v>0</v>
      </c>
      <c r="AA62" s="447">
        <v>0</v>
      </c>
      <c r="AB62" s="447">
        <v>0</v>
      </c>
      <c r="AC62" s="447">
        <v>0</v>
      </c>
      <c r="AD62" s="448">
        <v>0</v>
      </c>
      <c r="AE62" s="458">
        <v>0</v>
      </c>
      <c r="AF62" s="447">
        <v>0</v>
      </c>
      <c r="AG62" s="447">
        <v>0</v>
      </c>
      <c r="AH62" s="447">
        <v>0</v>
      </c>
      <c r="AI62" s="447">
        <v>0</v>
      </c>
      <c r="AJ62" s="448">
        <v>0</v>
      </c>
      <c r="AK62" s="460">
        <v>0</v>
      </c>
      <c r="AL62" s="456">
        <v>40</v>
      </c>
      <c r="AM62" s="447">
        <v>40</v>
      </c>
      <c r="AN62" s="447">
        <v>40</v>
      </c>
      <c r="AO62" s="447">
        <v>32</v>
      </c>
      <c r="AP62" s="457">
        <v>8</v>
      </c>
      <c r="AQ62" s="459">
        <v>160</v>
      </c>
      <c r="AR62" s="447">
        <v>32</v>
      </c>
      <c r="AS62" s="447">
        <v>40</v>
      </c>
      <c r="AT62" s="447">
        <v>40</v>
      </c>
      <c r="AU62" s="447">
        <v>40</v>
      </c>
      <c r="AV62" s="447">
        <v>24</v>
      </c>
      <c r="AW62" s="458">
        <v>176</v>
      </c>
      <c r="AX62" s="447">
        <v>8</v>
      </c>
      <c r="AY62" s="447">
        <v>40</v>
      </c>
      <c r="AZ62" s="447">
        <v>40</v>
      </c>
      <c r="BA62" s="447">
        <v>40</v>
      </c>
      <c r="BB62" s="447">
        <v>40</v>
      </c>
      <c r="BC62" s="458">
        <v>168</v>
      </c>
      <c r="BD62" s="447">
        <v>40</v>
      </c>
      <c r="BE62" s="447">
        <v>0</v>
      </c>
      <c r="BF62" s="447">
        <v>0</v>
      </c>
      <c r="BG62" s="447">
        <v>0</v>
      </c>
      <c r="BH62" s="447">
        <v>0</v>
      </c>
      <c r="BI62" s="460">
        <v>40</v>
      </c>
      <c r="BJ62" s="462">
        <v>544</v>
      </c>
    </row>
    <row r="63" spans="2:62" x14ac:dyDescent="0.2">
      <c r="B63" s="451" t="s">
        <v>20</v>
      </c>
      <c r="C63" s="449">
        <v>40</v>
      </c>
      <c r="D63" s="447">
        <v>40</v>
      </c>
      <c r="E63" s="447">
        <v>40</v>
      </c>
      <c r="F63" s="447">
        <v>40</v>
      </c>
      <c r="G63" s="448">
        <v>16</v>
      </c>
      <c r="H63" s="458">
        <v>176</v>
      </c>
      <c r="I63" s="447">
        <v>24</v>
      </c>
      <c r="J63" s="447">
        <v>40</v>
      </c>
      <c r="K63" s="447">
        <v>40</v>
      </c>
      <c r="L63" s="447">
        <v>40</v>
      </c>
      <c r="M63" s="448">
        <v>16</v>
      </c>
      <c r="N63" s="458">
        <v>160</v>
      </c>
      <c r="O63" s="447">
        <v>24</v>
      </c>
      <c r="P63" s="447">
        <v>40</v>
      </c>
      <c r="Q63" s="447">
        <v>40</v>
      </c>
      <c r="R63" s="447">
        <v>40</v>
      </c>
      <c r="S63" s="448">
        <v>40</v>
      </c>
      <c r="T63" s="458">
        <v>184</v>
      </c>
      <c r="U63" s="447">
        <v>40</v>
      </c>
      <c r="V63" s="447">
        <v>24</v>
      </c>
      <c r="W63" s="447">
        <v>40</v>
      </c>
      <c r="X63" s="447">
        <v>40</v>
      </c>
      <c r="Y63" s="458">
        <v>144</v>
      </c>
      <c r="Z63" s="449">
        <v>32</v>
      </c>
      <c r="AA63" s="447">
        <v>40</v>
      </c>
      <c r="AB63" s="447">
        <v>40</v>
      </c>
      <c r="AC63" s="447">
        <v>40</v>
      </c>
      <c r="AD63" s="448">
        <v>24</v>
      </c>
      <c r="AE63" s="458">
        <v>176</v>
      </c>
      <c r="AF63" s="447">
        <v>16</v>
      </c>
      <c r="AG63" s="447">
        <v>40</v>
      </c>
      <c r="AH63" s="447">
        <v>40</v>
      </c>
      <c r="AI63" s="447">
        <v>40</v>
      </c>
      <c r="AJ63" s="448">
        <v>32</v>
      </c>
      <c r="AK63" s="460">
        <v>168</v>
      </c>
      <c r="AL63" s="456">
        <v>40</v>
      </c>
      <c r="AM63" s="447">
        <v>40</v>
      </c>
      <c r="AN63" s="447">
        <v>40</v>
      </c>
      <c r="AO63" s="447">
        <v>32</v>
      </c>
      <c r="AP63" s="457">
        <v>8</v>
      </c>
      <c r="AQ63" s="459">
        <v>160</v>
      </c>
      <c r="AR63" s="447">
        <v>32</v>
      </c>
      <c r="AS63" s="447">
        <v>40</v>
      </c>
      <c r="AT63" s="447">
        <v>40</v>
      </c>
      <c r="AU63" s="447">
        <v>40</v>
      </c>
      <c r="AV63" s="447">
        <v>24</v>
      </c>
      <c r="AW63" s="458">
        <v>176</v>
      </c>
      <c r="AX63" s="447">
        <v>8</v>
      </c>
      <c r="AY63" s="447">
        <v>40</v>
      </c>
      <c r="AZ63" s="447">
        <v>40</v>
      </c>
      <c r="BA63" s="447">
        <v>40</v>
      </c>
      <c r="BB63" s="447">
        <v>40</v>
      </c>
      <c r="BC63" s="458">
        <v>168</v>
      </c>
      <c r="BD63" s="447">
        <v>40</v>
      </c>
      <c r="BE63" s="447">
        <v>0</v>
      </c>
      <c r="BF63" s="447">
        <v>0</v>
      </c>
      <c r="BG63" s="447">
        <v>0</v>
      </c>
      <c r="BH63" s="447">
        <v>0</v>
      </c>
      <c r="BI63" s="460">
        <v>40</v>
      </c>
      <c r="BJ63" s="462">
        <v>1552</v>
      </c>
    </row>
    <row r="64" spans="2:62" x14ac:dyDescent="0.2">
      <c r="B64" s="451" t="s">
        <v>417</v>
      </c>
      <c r="C64" s="449">
        <v>40</v>
      </c>
      <c r="D64" s="447">
        <v>40</v>
      </c>
      <c r="E64" s="447">
        <v>40</v>
      </c>
      <c r="F64" s="447">
        <v>40</v>
      </c>
      <c r="G64" s="448">
        <v>16</v>
      </c>
      <c r="H64" s="458">
        <v>176</v>
      </c>
      <c r="I64" s="447">
        <v>24</v>
      </c>
      <c r="J64" s="447">
        <v>40</v>
      </c>
      <c r="K64" s="447">
        <v>40</v>
      </c>
      <c r="L64" s="447">
        <v>40</v>
      </c>
      <c r="M64" s="448">
        <v>16</v>
      </c>
      <c r="N64" s="458">
        <v>160</v>
      </c>
      <c r="O64" s="447">
        <v>24</v>
      </c>
      <c r="P64" s="447">
        <v>40</v>
      </c>
      <c r="Q64" s="447">
        <v>40</v>
      </c>
      <c r="R64" s="447">
        <v>40</v>
      </c>
      <c r="S64" s="448">
        <v>40</v>
      </c>
      <c r="T64" s="458">
        <v>184</v>
      </c>
      <c r="U64" s="447">
        <v>40</v>
      </c>
      <c r="V64" s="447">
        <v>24</v>
      </c>
      <c r="W64" s="447">
        <v>40</v>
      </c>
      <c r="X64" s="447">
        <v>40</v>
      </c>
      <c r="Y64" s="458">
        <v>144</v>
      </c>
      <c r="Z64" s="449">
        <v>0</v>
      </c>
      <c r="AA64" s="447">
        <v>0</v>
      </c>
      <c r="AB64" s="447">
        <v>0</v>
      </c>
      <c r="AC64" s="447">
        <v>0</v>
      </c>
      <c r="AD64" s="448">
        <v>0</v>
      </c>
      <c r="AE64" s="458">
        <v>0</v>
      </c>
      <c r="AF64" s="447">
        <v>0</v>
      </c>
      <c r="AG64" s="447">
        <v>0</v>
      </c>
      <c r="AH64" s="447">
        <v>0</v>
      </c>
      <c r="AI64" s="447">
        <v>0</v>
      </c>
      <c r="AJ64" s="448">
        <v>0</v>
      </c>
      <c r="AK64" s="460">
        <v>0</v>
      </c>
      <c r="AL64" s="456">
        <v>0</v>
      </c>
      <c r="AM64" s="447">
        <v>0</v>
      </c>
      <c r="AN64" s="447">
        <v>0</v>
      </c>
      <c r="AO64" s="447">
        <v>0</v>
      </c>
      <c r="AP64" s="457">
        <v>0</v>
      </c>
      <c r="AQ64" s="459">
        <v>0</v>
      </c>
      <c r="AR64" s="447">
        <v>0</v>
      </c>
      <c r="AS64" s="447">
        <v>0</v>
      </c>
      <c r="AT64" s="447">
        <v>0</v>
      </c>
      <c r="AU64" s="447">
        <v>0</v>
      </c>
      <c r="AV64" s="447">
        <v>0</v>
      </c>
      <c r="AW64" s="458">
        <v>0</v>
      </c>
      <c r="AX64" s="447">
        <v>0</v>
      </c>
      <c r="AY64" s="447">
        <v>0</v>
      </c>
      <c r="AZ64" s="447">
        <v>0</v>
      </c>
      <c r="BA64" s="447">
        <v>0</v>
      </c>
      <c r="BB64" s="447">
        <v>0</v>
      </c>
      <c r="BC64" s="458">
        <v>0</v>
      </c>
      <c r="BD64" s="447">
        <v>0</v>
      </c>
      <c r="BE64" s="447">
        <v>0</v>
      </c>
      <c r="BF64" s="447">
        <v>0</v>
      </c>
      <c r="BG64" s="447">
        <v>0</v>
      </c>
      <c r="BH64" s="447">
        <v>0</v>
      </c>
      <c r="BI64" s="460">
        <v>0</v>
      </c>
      <c r="BJ64" s="462">
        <v>664</v>
      </c>
    </row>
    <row r="65" spans="2:62" x14ac:dyDescent="0.2">
      <c r="B65" s="451" t="s">
        <v>1</v>
      </c>
      <c r="C65" s="449">
        <v>40</v>
      </c>
      <c r="D65" s="447">
        <v>40</v>
      </c>
      <c r="E65" s="447">
        <v>40</v>
      </c>
      <c r="F65" s="447">
        <v>40</v>
      </c>
      <c r="G65" s="448">
        <v>16</v>
      </c>
      <c r="H65" s="458">
        <v>176</v>
      </c>
      <c r="I65" s="447">
        <v>24</v>
      </c>
      <c r="J65" s="447">
        <v>40</v>
      </c>
      <c r="K65" s="447">
        <v>40</v>
      </c>
      <c r="L65" s="447">
        <v>40</v>
      </c>
      <c r="M65" s="448">
        <v>16</v>
      </c>
      <c r="N65" s="458">
        <v>160</v>
      </c>
      <c r="O65" s="447">
        <v>24</v>
      </c>
      <c r="P65" s="447">
        <v>40</v>
      </c>
      <c r="Q65" s="447">
        <v>40</v>
      </c>
      <c r="R65" s="447">
        <v>40</v>
      </c>
      <c r="S65" s="448">
        <v>40</v>
      </c>
      <c r="T65" s="458">
        <v>184</v>
      </c>
      <c r="U65" s="447">
        <v>40</v>
      </c>
      <c r="V65" s="447">
        <v>24</v>
      </c>
      <c r="W65" s="447">
        <v>40</v>
      </c>
      <c r="X65" s="447">
        <v>40</v>
      </c>
      <c r="Y65" s="458">
        <v>144</v>
      </c>
      <c r="Z65" s="449">
        <v>32</v>
      </c>
      <c r="AA65" s="447">
        <v>40</v>
      </c>
      <c r="AB65" s="447">
        <v>40</v>
      </c>
      <c r="AC65" s="447">
        <v>40</v>
      </c>
      <c r="AD65" s="448">
        <v>24</v>
      </c>
      <c r="AE65" s="458">
        <v>176</v>
      </c>
      <c r="AF65" s="447">
        <v>16</v>
      </c>
      <c r="AG65" s="447">
        <v>40</v>
      </c>
      <c r="AH65" s="447">
        <v>40</v>
      </c>
      <c r="AI65" s="447">
        <v>40</v>
      </c>
      <c r="AJ65" s="448">
        <v>32</v>
      </c>
      <c r="AK65" s="460">
        <v>168</v>
      </c>
      <c r="AL65" s="456">
        <v>40</v>
      </c>
      <c r="AM65" s="447">
        <v>40</v>
      </c>
      <c r="AN65" s="447">
        <v>40</v>
      </c>
      <c r="AO65" s="447">
        <v>32</v>
      </c>
      <c r="AP65" s="457">
        <v>8</v>
      </c>
      <c r="AQ65" s="459">
        <v>160</v>
      </c>
      <c r="AR65" s="447">
        <v>32</v>
      </c>
      <c r="AS65" s="447">
        <v>40</v>
      </c>
      <c r="AT65" s="447">
        <v>40</v>
      </c>
      <c r="AU65" s="447">
        <v>40</v>
      </c>
      <c r="AV65" s="447">
        <v>24</v>
      </c>
      <c r="AW65" s="458">
        <v>176</v>
      </c>
      <c r="AX65" s="447">
        <v>8</v>
      </c>
      <c r="AY65" s="447">
        <v>40</v>
      </c>
      <c r="AZ65" s="447">
        <v>40</v>
      </c>
      <c r="BA65" s="447">
        <v>40</v>
      </c>
      <c r="BB65" s="447">
        <v>40</v>
      </c>
      <c r="BC65" s="458">
        <v>168</v>
      </c>
      <c r="BD65" s="447">
        <v>40</v>
      </c>
      <c r="BE65" s="447">
        <v>0</v>
      </c>
      <c r="BF65" s="447">
        <v>0</v>
      </c>
      <c r="BG65" s="447">
        <v>0</v>
      </c>
      <c r="BH65" s="447">
        <v>0</v>
      </c>
      <c r="BI65" s="460">
        <v>40</v>
      </c>
      <c r="BJ65" s="462">
        <v>1552</v>
      </c>
    </row>
    <row r="66" spans="2:62" x14ac:dyDescent="0.2">
      <c r="B66" s="451" t="s">
        <v>423</v>
      </c>
      <c r="C66" s="449">
        <v>40</v>
      </c>
      <c r="D66" s="447">
        <v>40</v>
      </c>
      <c r="E66" s="447">
        <v>40</v>
      </c>
      <c r="F66" s="447">
        <v>40</v>
      </c>
      <c r="G66" s="448">
        <v>16</v>
      </c>
      <c r="H66" s="458">
        <v>176</v>
      </c>
      <c r="I66" s="447">
        <v>24</v>
      </c>
      <c r="J66" s="447">
        <v>40</v>
      </c>
      <c r="K66" s="447">
        <v>40</v>
      </c>
      <c r="L66" s="447">
        <v>40</v>
      </c>
      <c r="M66" s="448">
        <v>16</v>
      </c>
      <c r="N66" s="458">
        <v>160</v>
      </c>
      <c r="O66" s="447">
        <v>24</v>
      </c>
      <c r="P66" s="447">
        <v>40</v>
      </c>
      <c r="Q66" s="447">
        <v>40</v>
      </c>
      <c r="R66" s="447">
        <v>40</v>
      </c>
      <c r="S66" s="448">
        <v>40</v>
      </c>
      <c r="T66" s="458">
        <v>184</v>
      </c>
      <c r="U66" s="447">
        <v>40</v>
      </c>
      <c r="V66" s="447">
        <v>24</v>
      </c>
      <c r="W66" s="447">
        <v>40</v>
      </c>
      <c r="X66" s="447">
        <v>40</v>
      </c>
      <c r="Y66" s="458">
        <v>144</v>
      </c>
      <c r="Z66" s="449">
        <v>32</v>
      </c>
      <c r="AA66" s="447">
        <v>40</v>
      </c>
      <c r="AB66" s="447">
        <v>40</v>
      </c>
      <c r="AC66" s="447">
        <v>40</v>
      </c>
      <c r="AD66" s="448">
        <v>24</v>
      </c>
      <c r="AE66" s="458">
        <v>176</v>
      </c>
      <c r="AF66" s="447">
        <v>16</v>
      </c>
      <c r="AG66" s="447">
        <v>40</v>
      </c>
      <c r="AH66" s="447">
        <v>40</v>
      </c>
      <c r="AI66" s="447">
        <v>40</v>
      </c>
      <c r="AJ66" s="448">
        <v>32</v>
      </c>
      <c r="AK66" s="460">
        <v>168</v>
      </c>
      <c r="AL66" s="456">
        <v>40</v>
      </c>
      <c r="AM66" s="447">
        <v>40</v>
      </c>
      <c r="AN66" s="447">
        <v>40</v>
      </c>
      <c r="AO66" s="447">
        <v>32</v>
      </c>
      <c r="AP66" s="457">
        <v>8</v>
      </c>
      <c r="AQ66" s="459">
        <v>160</v>
      </c>
      <c r="AR66" s="447">
        <v>32</v>
      </c>
      <c r="AS66" s="447">
        <v>40</v>
      </c>
      <c r="AT66" s="447">
        <v>40</v>
      </c>
      <c r="AU66" s="447">
        <v>40</v>
      </c>
      <c r="AV66" s="447">
        <v>24</v>
      </c>
      <c r="AW66" s="458">
        <v>176</v>
      </c>
      <c r="AX66" s="447">
        <v>8</v>
      </c>
      <c r="AY66" s="447">
        <v>40</v>
      </c>
      <c r="AZ66" s="447">
        <v>40</v>
      </c>
      <c r="BA66" s="447">
        <v>40</v>
      </c>
      <c r="BB66" s="447">
        <v>40</v>
      </c>
      <c r="BC66" s="458">
        <v>168</v>
      </c>
      <c r="BD66" s="447">
        <v>40</v>
      </c>
      <c r="BE66" s="447">
        <v>0</v>
      </c>
      <c r="BF66" s="447">
        <v>0</v>
      </c>
      <c r="BG66" s="447">
        <v>0</v>
      </c>
      <c r="BH66" s="447">
        <v>0</v>
      </c>
      <c r="BI66" s="460">
        <v>40</v>
      </c>
      <c r="BJ66" s="462">
        <v>1552</v>
      </c>
    </row>
    <row r="67" spans="2:62" x14ac:dyDescent="0.2">
      <c r="B67" s="451" t="s">
        <v>0</v>
      </c>
      <c r="C67" s="449">
        <v>40</v>
      </c>
      <c r="D67" s="447">
        <v>40</v>
      </c>
      <c r="E67" s="447">
        <v>40</v>
      </c>
      <c r="F67" s="447">
        <v>40</v>
      </c>
      <c r="G67" s="448">
        <v>16</v>
      </c>
      <c r="H67" s="458">
        <v>176</v>
      </c>
      <c r="I67" s="447">
        <v>24</v>
      </c>
      <c r="J67" s="447">
        <v>40</v>
      </c>
      <c r="K67" s="447">
        <v>40</v>
      </c>
      <c r="L67" s="447">
        <v>40</v>
      </c>
      <c r="M67" s="448">
        <v>16</v>
      </c>
      <c r="N67" s="458">
        <v>160</v>
      </c>
      <c r="O67" s="447">
        <v>24</v>
      </c>
      <c r="P67" s="447">
        <v>40</v>
      </c>
      <c r="Q67" s="447">
        <v>40</v>
      </c>
      <c r="R67" s="447">
        <v>40</v>
      </c>
      <c r="S67" s="448">
        <v>40</v>
      </c>
      <c r="T67" s="458">
        <v>184</v>
      </c>
      <c r="U67" s="447">
        <v>40</v>
      </c>
      <c r="V67" s="447">
        <v>24</v>
      </c>
      <c r="W67" s="447">
        <v>40</v>
      </c>
      <c r="X67" s="447">
        <v>40</v>
      </c>
      <c r="Y67" s="458">
        <v>144</v>
      </c>
      <c r="Z67" s="449">
        <v>32</v>
      </c>
      <c r="AA67" s="447">
        <v>40</v>
      </c>
      <c r="AB67" s="447">
        <v>40</v>
      </c>
      <c r="AC67" s="447">
        <v>40</v>
      </c>
      <c r="AD67" s="448">
        <v>24</v>
      </c>
      <c r="AE67" s="458">
        <v>176</v>
      </c>
      <c r="AF67" s="447">
        <v>0</v>
      </c>
      <c r="AG67" s="447">
        <v>0</v>
      </c>
      <c r="AH67" s="447">
        <v>0</v>
      </c>
      <c r="AI67" s="447">
        <v>0</v>
      </c>
      <c r="AJ67" s="448">
        <v>0</v>
      </c>
      <c r="AK67" s="460">
        <v>0</v>
      </c>
      <c r="AL67" s="456">
        <v>0</v>
      </c>
      <c r="AM67" s="447">
        <v>0</v>
      </c>
      <c r="AN67" s="447">
        <v>0</v>
      </c>
      <c r="AO67" s="447">
        <v>0</v>
      </c>
      <c r="AP67" s="457">
        <v>0</v>
      </c>
      <c r="AQ67" s="459">
        <v>0</v>
      </c>
      <c r="AR67" s="447">
        <v>0</v>
      </c>
      <c r="AS67" s="447">
        <v>40</v>
      </c>
      <c r="AT67" s="447">
        <v>40</v>
      </c>
      <c r="AU67" s="447">
        <v>40</v>
      </c>
      <c r="AV67" s="447">
        <v>24</v>
      </c>
      <c r="AW67" s="458">
        <v>144</v>
      </c>
      <c r="AX67" s="447">
        <v>8</v>
      </c>
      <c r="AY67" s="447">
        <v>40</v>
      </c>
      <c r="AZ67" s="447">
        <v>40</v>
      </c>
      <c r="BA67" s="447">
        <v>40</v>
      </c>
      <c r="BB67" s="447">
        <v>40</v>
      </c>
      <c r="BC67" s="458">
        <v>168</v>
      </c>
      <c r="BD67" s="447">
        <v>40</v>
      </c>
      <c r="BE67" s="447">
        <v>0</v>
      </c>
      <c r="BF67" s="447">
        <v>0</v>
      </c>
      <c r="BG67" s="447">
        <v>0</v>
      </c>
      <c r="BH67" s="447">
        <v>0</v>
      </c>
      <c r="BI67" s="460">
        <v>40</v>
      </c>
      <c r="BJ67" s="462">
        <v>1192</v>
      </c>
    </row>
    <row r="68" spans="2:62" x14ac:dyDescent="0.2">
      <c r="B68" s="451" t="s">
        <v>421</v>
      </c>
      <c r="C68" s="449">
        <v>40</v>
      </c>
      <c r="D68" s="447">
        <v>40</v>
      </c>
      <c r="E68" s="447">
        <v>40</v>
      </c>
      <c r="F68" s="447">
        <v>40</v>
      </c>
      <c r="G68" s="448">
        <v>16</v>
      </c>
      <c r="H68" s="458">
        <v>176</v>
      </c>
      <c r="I68" s="447">
        <v>24</v>
      </c>
      <c r="J68" s="447">
        <v>40</v>
      </c>
      <c r="K68" s="447">
        <v>40</v>
      </c>
      <c r="L68" s="447">
        <v>40</v>
      </c>
      <c r="M68" s="448">
        <v>16</v>
      </c>
      <c r="N68" s="458">
        <v>160</v>
      </c>
      <c r="O68" s="447">
        <v>24</v>
      </c>
      <c r="P68" s="447">
        <v>40</v>
      </c>
      <c r="Q68" s="447">
        <v>24</v>
      </c>
      <c r="R68" s="447">
        <v>0</v>
      </c>
      <c r="S68" s="448">
        <v>0</v>
      </c>
      <c r="T68" s="458">
        <v>88</v>
      </c>
      <c r="U68" s="447">
        <v>0</v>
      </c>
      <c r="V68" s="447">
        <v>0</v>
      </c>
      <c r="W68" s="447">
        <v>0</v>
      </c>
      <c r="X68" s="447">
        <v>0</v>
      </c>
      <c r="Y68" s="458">
        <v>0</v>
      </c>
      <c r="Z68" s="449">
        <v>0</v>
      </c>
      <c r="AA68" s="447">
        <v>0</v>
      </c>
      <c r="AB68" s="447">
        <v>0</v>
      </c>
      <c r="AC68" s="447">
        <v>0</v>
      </c>
      <c r="AD68" s="448">
        <v>0</v>
      </c>
      <c r="AE68" s="458">
        <v>0</v>
      </c>
      <c r="AF68" s="447">
        <v>0</v>
      </c>
      <c r="AG68" s="447">
        <v>0</v>
      </c>
      <c r="AH68" s="447">
        <v>0</v>
      </c>
      <c r="AI68" s="447">
        <v>0</v>
      </c>
      <c r="AJ68" s="448">
        <v>0</v>
      </c>
      <c r="AK68" s="460">
        <v>0</v>
      </c>
      <c r="AL68" s="456">
        <v>0</v>
      </c>
      <c r="AM68" s="447">
        <v>0</v>
      </c>
      <c r="AN68" s="447">
        <v>0</v>
      </c>
      <c r="AO68" s="447">
        <v>0</v>
      </c>
      <c r="AP68" s="457">
        <v>0</v>
      </c>
      <c r="AQ68" s="459">
        <v>0</v>
      </c>
      <c r="AR68" s="447">
        <v>0</v>
      </c>
      <c r="AS68" s="447">
        <v>0</v>
      </c>
      <c r="AT68" s="447">
        <v>0</v>
      </c>
      <c r="AU68" s="447">
        <v>0</v>
      </c>
      <c r="AV68" s="447">
        <v>0</v>
      </c>
      <c r="AW68" s="458">
        <v>0</v>
      </c>
      <c r="AX68" s="447">
        <v>0</v>
      </c>
      <c r="AY68" s="447">
        <v>0</v>
      </c>
      <c r="AZ68" s="447">
        <v>0</v>
      </c>
      <c r="BA68" s="447">
        <v>0</v>
      </c>
      <c r="BB68" s="447">
        <v>0</v>
      </c>
      <c r="BC68" s="458">
        <v>0</v>
      </c>
      <c r="BD68" s="447">
        <v>0</v>
      </c>
      <c r="BE68" s="447">
        <v>0</v>
      </c>
      <c r="BF68" s="447">
        <v>0</v>
      </c>
      <c r="BG68" s="447">
        <v>0</v>
      </c>
      <c r="BH68" s="447">
        <v>0</v>
      </c>
      <c r="BI68" s="460">
        <v>0</v>
      </c>
      <c r="BJ68" s="462">
        <v>424</v>
      </c>
    </row>
    <row r="69" spans="2:62" x14ac:dyDescent="0.2">
      <c r="B69" s="451" t="s">
        <v>428</v>
      </c>
      <c r="C69" s="449">
        <v>0</v>
      </c>
      <c r="D69" s="447">
        <v>0</v>
      </c>
      <c r="E69" s="447">
        <v>0</v>
      </c>
      <c r="F69" s="447">
        <v>0</v>
      </c>
      <c r="G69" s="448">
        <v>0</v>
      </c>
      <c r="H69" s="458">
        <v>0</v>
      </c>
      <c r="I69" s="447">
        <v>0</v>
      </c>
      <c r="J69" s="447">
        <v>0</v>
      </c>
      <c r="K69" s="447">
        <v>0</v>
      </c>
      <c r="L69" s="447">
        <v>0</v>
      </c>
      <c r="M69" s="448">
        <v>0</v>
      </c>
      <c r="N69" s="458">
        <v>0</v>
      </c>
      <c r="O69" s="447">
        <v>0</v>
      </c>
      <c r="P69" s="447">
        <v>0</v>
      </c>
      <c r="Q69" s="447">
        <v>0</v>
      </c>
      <c r="R69" s="447">
        <v>0</v>
      </c>
      <c r="S69" s="448">
        <v>0</v>
      </c>
      <c r="T69" s="458">
        <v>0</v>
      </c>
      <c r="U69" s="447">
        <v>0</v>
      </c>
      <c r="V69" s="447">
        <v>0</v>
      </c>
      <c r="W69" s="447">
        <v>0</v>
      </c>
      <c r="X69" s="447">
        <v>0</v>
      </c>
      <c r="Y69" s="458">
        <v>0</v>
      </c>
      <c r="Z69" s="449">
        <v>24</v>
      </c>
      <c r="AA69" s="447">
        <v>40</v>
      </c>
      <c r="AB69" s="447">
        <v>40</v>
      </c>
      <c r="AC69" s="447">
        <v>40</v>
      </c>
      <c r="AD69" s="448">
        <v>24</v>
      </c>
      <c r="AE69" s="458">
        <v>168</v>
      </c>
      <c r="AF69" s="447">
        <v>16</v>
      </c>
      <c r="AG69" s="447">
        <v>40</v>
      </c>
      <c r="AH69" s="447">
        <v>40</v>
      </c>
      <c r="AI69" s="447">
        <v>40</v>
      </c>
      <c r="AJ69" s="448">
        <v>32</v>
      </c>
      <c r="AK69" s="460">
        <v>168</v>
      </c>
      <c r="AL69" s="456">
        <v>40</v>
      </c>
      <c r="AM69" s="447">
        <v>40</v>
      </c>
      <c r="AN69" s="447">
        <v>40</v>
      </c>
      <c r="AO69" s="447">
        <v>32</v>
      </c>
      <c r="AP69" s="457">
        <v>8</v>
      </c>
      <c r="AQ69" s="459">
        <v>160</v>
      </c>
      <c r="AR69" s="447">
        <v>32</v>
      </c>
      <c r="AS69" s="447">
        <v>40</v>
      </c>
      <c r="AT69" s="447">
        <v>40</v>
      </c>
      <c r="AU69" s="447">
        <v>40</v>
      </c>
      <c r="AV69" s="447">
        <v>24</v>
      </c>
      <c r="AW69" s="458">
        <v>176</v>
      </c>
      <c r="AX69" s="447">
        <v>8</v>
      </c>
      <c r="AY69" s="447">
        <v>0</v>
      </c>
      <c r="AZ69" s="447">
        <v>0</v>
      </c>
      <c r="BA69" s="447">
        <v>0</v>
      </c>
      <c r="BB69" s="447">
        <v>0</v>
      </c>
      <c r="BC69" s="458">
        <v>8</v>
      </c>
      <c r="BD69" s="447">
        <v>0</v>
      </c>
      <c r="BE69" s="447">
        <v>0</v>
      </c>
      <c r="BF69" s="447">
        <v>0</v>
      </c>
      <c r="BG69" s="447">
        <v>0</v>
      </c>
      <c r="BH69" s="447">
        <v>0</v>
      </c>
      <c r="BI69" s="460">
        <v>0</v>
      </c>
      <c r="BJ69" s="462">
        <v>680</v>
      </c>
    </row>
    <row r="70" spans="2:62" x14ac:dyDescent="0.2">
      <c r="B70" s="451" t="s">
        <v>419</v>
      </c>
      <c r="C70" s="449">
        <v>40</v>
      </c>
      <c r="D70" s="447">
        <v>40</v>
      </c>
      <c r="E70" s="447">
        <v>40</v>
      </c>
      <c r="F70" s="447">
        <v>40</v>
      </c>
      <c r="G70" s="448">
        <v>16</v>
      </c>
      <c r="H70" s="458">
        <v>176</v>
      </c>
      <c r="I70" s="447">
        <v>24</v>
      </c>
      <c r="J70" s="447">
        <v>40</v>
      </c>
      <c r="K70" s="447">
        <v>40</v>
      </c>
      <c r="L70" s="447">
        <v>40</v>
      </c>
      <c r="M70" s="448">
        <v>16</v>
      </c>
      <c r="N70" s="458">
        <v>160</v>
      </c>
      <c r="O70" s="447">
        <v>24</v>
      </c>
      <c r="P70" s="447">
        <v>40</v>
      </c>
      <c r="Q70" s="447">
        <v>40</v>
      </c>
      <c r="R70" s="447">
        <v>40</v>
      </c>
      <c r="S70" s="448">
        <v>40</v>
      </c>
      <c r="T70" s="458">
        <v>184</v>
      </c>
      <c r="U70" s="447">
        <v>40</v>
      </c>
      <c r="V70" s="447">
        <v>24</v>
      </c>
      <c r="W70" s="447">
        <v>40</v>
      </c>
      <c r="X70" s="447">
        <v>40</v>
      </c>
      <c r="Y70" s="458">
        <v>144</v>
      </c>
      <c r="Z70" s="449">
        <v>0</v>
      </c>
      <c r="AA70" s="447">
        <v>0</v>
      </c>
      <c r="AB70" s="447">
        <v>0</v>
      </c>
      <c r="AC70" s="447">
        <v>0</v>
      </c>
      <c r="AD70" s="448">
        <v>0</v>
      </c>
      <c r="AE70" s="458">
        <v>0</v>
      </c>
      <c r="AF70" s="447">
        <v>0</v>
      </c>
      <c r="AG70" s="447">
        <v>0</v>
      </c>
      <c r="AH70" s="447">
        <v>0</v>
      </c>
      <c r="AI70" s="447">
        <v>0</v>
      </c>
      <c r="AJ70" s="448">
        <v>0</v>
      </c>
      <c r="AK70" s="460">
        <v>0</v>
      </c>
      <c r="AL70" s="456">
        <v>0</v>
      </c>
      <c r="AM70" s="447">
        <v>0</v>
      </c>
      <c r="AN70" s="447">
        <v>0</v>
      </c>
      <c r="AO70" s="447">
        <v>0</v>
      </c>
      <c r="AP70" s="457">
        <v>0</v>
      </c>
      <c r="AQ70" s="459">
        <v>0</v>
      </c>
      <c r="AR70" s="447">
        <v>0</v>
      </c>
      <c r="AS70" s="447">
        <v>0</v>
      </c>
      <c r="AT70" s="447">
        <v>0</v>
      </c>
      <c r="AU70" s="447">
        <v>0</v>
      </c>
      <c r="AV70" s="447">
        <v>0</v>
      </c>
      <c r="AW70" s="458">
        <v>0</v>
      </c>
      <c r="AX70" s="447">
        <v>0</v>
      </c>
      <c r="AY70" s="447">
        <v>0</v>
      </c>
      <c r="AZ70" s="447">
        <v>0</v>
      </c>
      <c r="BA70" s="447">
        <v>0</v>
      </c>
      <c r="BB70" s="447">
        <v>0</v>
      </c>
      <c r="BC70" s="458">
        <v>0</v>
      </c>
      <c r="BD70" s="447">
        <v>0</v>
      </c>
      <c r="BE70" s="447">
        <v>0</v>
      </c>
      <c r="BF70" s="447">
        <v>0</v>
      </c>
      <c r="BG70" s="447">
        <v>0</v>
      </c>
      <c r="BH70" s="447">
        <v>0</v>
      </c>
      <c r="BI70" s="460">
        <v>0</v>
      </c>
      <c r="BJ70" s="462">
        <v>664</v>
      </c>
    </row>
    <row r="71" spans="2:62" x14ac:dyDescent="0.2">
      <c r="B71" s="451" t="s">
        <v>432</v>
      </c>
      <c r="C71" s="449">
        <v>0</v>
      </c>
      <c r="D71" s="447">
        <v>0</v>
      </c>
      <c r="E71" s="447">
        <v>0</v>
      </c>
      <c r="F71" s="447">
        <v>0</v>
      </c>
      <c r="G71" s="448">
        <v>0</v>
      </c>
      <c r="H71" s="458">
        <v>0</v>
      </c>
      <c r="I71" s="447">
        <v>0</v>
      </c>
      <c r="J71" s="447">
        <v>0</v>
      </c>
      <c r="K71" s="447">
        <v>0</v>
      </c>
      <c r="L71" s="447">
        <v>0</v>
      </c>
      <c r="M71" s="448">
        <v>0</v>
      </c>
      <c r="N71" s="458">
        <v>0</v>
      </c>
      <c r="O71" s="447">
        <v>0</v>
      </c>
      <c r="P71" s="447">
        <v>0</v>
      </c>
      <c r="Q71" s="447">
        <v>0</v>
      </c>
      <c r="R71" s="447">
        <v>0</v>
      </c>
      <c r="S71" s="448">
        <v>0</v>
      </c>
      <c r="T71" s="458">
        <v>0</v>
      </c>
      <c r="U71" s="447">
        <v>0</v>
      </c>
      <c r="V71" s="447">
        <v>0</v>
      </c>
      <c r="W71" s="447">
        <v>0</v>
      </c>
      <c r="X71" s="447">
        <v>0</v>
      </c>
      <c r="Y71" s="458">
        <v>0</v>
      </c>
      <c r="Z71" s="449">
        <v>0</v>
      </c>
      <c r="AA71" s="447">
        <v>0</v>
      </c>
      <c r="AB71" s="447">
        <v>0</v>
      </c>
      <c r="AC71" s="447">
        <v>0</v>
      </c>
      <c r="AD71" s="448">
        <v>0</v>
      </c>
      <c r="AE71" s="458">
        <v>0</v>
      </c>
      <c r="AF71" s="447">
        <v>0</v>
      </c>
      <c r="AG71" s="447">
        <v>0</v>
      </c>
      <c r="AH71" s="447">
        <v>0</v>
      </c>
      <c r="AI71" s="447">
        <v>0</v>
      </c>
      <c r="AJ71" s="448">
        <v>0</v>
      </c>
      <c r="AK71" s="460">
        <v>0</v>
      </c>
      <c r="AL71" s="456">
        <v>0</v>
      </c>
      <c r="AM71" s="447">
        <v>0</v>
      </c>
      <c r="AN71" s="447">
        <v>0</v>
      </c>
      <c r="AO71" s="447">
        <v>0</v>
      </c>
      <c r="AP71" s="457">
        <v>8</v>
      </c>
      <c r="AQ71" s="459">
        <v>8</v>
      </c>
      <c r="AR71" s="447">
        <v>32</v>
      </c>
      <c r="AS71" s="447">
        <v>40</v>
      </c>
      <c r="AT71" s="447">
        <v>40</v>
      </c>
      <c r="AU71" s="447">
        <v>40</v>
      </c>
      <c r="AV71" s="447">
        <v>24</v>
      </c>
      <c r="AW71" s="458">
        <v>176</v>
      </c>
      <c r="AX71" s="447">
        <v>8</v>
      </c>
      <c r="AY71" s="447">
        <v>40</v>
      </c>
      <c r="AZ71" s="447">
        <v>40</v>
      </c>
      <c r="BA71" s="447">
        <v>40</v>
      </c>
      <c r="BB71" s="447">
        <v>40</v>
      </c>
      <c r="BC71" s="458">
        <v>168</v>
      </c>
      <c r="BD71" s="447">
        <v>40</v>
      </c>
      <c r="BE71" s="447">
        <v>0</v>
      </c>
      <c r="BF71" s="447">
        <v>0</v>
      </c>
      <c r="BG71" s="447">
        <v>0</v>
      </c>
      <c r="BH71" s="447">
        <v>0</v>
      </c>
      <c r="BI71" s="460">
        <v>40</v>
      </c>
      <c r="BJ71" s="462">
        <v>392</v>
      </c>
    </row>
    <row r="72" spans="2:62" x14ac:dyDescent="0.2">
      <c r="B72" s="451" t="s">
        <v>420</v>
      </c>
      <c r="C72" s="449">
        <v>40</v>
      </c>
      <c r="D72" s="447">
        <v>40</v>
      </c>
      <c r="E72" s="447">
        <v>40</v>
      </c>
      <c r="F72" s="447">
        <v>40</v>
      </c>
      <c r="G72" s="448">
        <v>16</v>
      </c>
      <c r="H72" s="458">
        <v>176</v>
      </c>
      <c r="I72" s="447">
        <v>24</v>
      </c>
      <c r="J72" s="447">
        <v>40</v>
      </c>
      <c r="K72" s="447">
        <v>24</v>
      </c>
      <c r="L72" s="447">
        <v>0</v>
      </c>
      <c r="M72" s="448">
        <v>0</v>
      </c>
      <c r="N72" s="458">
        <v>88</v>
      </c>
      <c r="O72" s="447">
        <v>0</v>
      </c>
      <c r="P72" s="447">
        <v>0</v>
      </c>
      <c r="Q72" s="447">
        <v>0</v>
      </c>
      <c r="R72" s="447">
        <v>0</v>
      </c>
      <c r="S72" s="448">
        <v>0</v>
      </c>
      <c r="T72" s="458">
        <v>0</v>
      </c>
      <c r="U72" s="447">
        <v>0</v>
      </c>
      <c r="V72" s="447">
        <v>0</v>
      </c>
      <c r="W72" s="447">
        <v>0</v>
      </c>
      <c r="X72" s="447">
        <v>0</v>
      </c>
      <c r="Y72" s="458">
        <v>0</v>
      </c>
      <c r="Z72" s="449">
        <v>0</v>
      </c>
      <c r="AA72" s="447">
        <v>40</v>
      </c>
      <c r="AB72" s="447">
        <v>40</v>
      </c>
      <c r="AC72" s="447">
        <v>40</v>
      </c>
      <c r="AD72" s="448">
        <v>24</v>
      </c>
      <c r="AE72" s="458">
        <v>144</v>
      </c>
      <c r="AF72" s="447">
        <v>16</v>
      </c>
      <c r="AG72" s="447">
        <v>40</v>
      </c>
      <c r="AH72" s="447">
        <v>40</v>
      </c>
      <c r="AI72" s="447">
        <v>0</v>
      </c>
      <c r="AJ72" s="448">
        <v>0</v>
      </c>
      <c r="AK72" s="460">
        <v>96</v>
      </c>
      <c r="AL72" s="456">
        <v>0</v>
      </c>
      <c r="AM72" s="447">
        <v>0</v>
      </c>
      <c r="AN72" s="447">
        <v>0</v>
      </c>
      <c r="AO72" s="447">
        <v>0</v>
      </c>
      <c r="AP72" s="457">
        <v>0</v>
      </c>
      <c r="AQ72" s="459">
        <v>0</v>
      </c>
      <c r="AR72" s="447">
        <v>0</v>
      </c>
      <c r="AS72" s="447">
        <v>0</v>
      </c>
      <c r="AT72" s="447">
        <v>0</v>
      </c>
      <c r="AU72" s="447">
        <v>0</v>
      </c>
      <c r="AV72" s="447">
        <v>0</v>
      </c>
      <c r="AW72" s="458">
        <v>0</v>
      </c>
      <c r="AX72" s="447">
        <v>0</v>
      </c>
      <c r="AY72" s="447">
        <v>0</v>
      </c>
      <c r="AZ72" s="447">
        <v>0</v>
      </c>
      <c r="BA72" s="447">
        <v>0</v>
      </c>
      <c r="BB72" s="447">
        <v>0</v>
      </c>
      <c r="BC72" s="458">
        <v>0</v>
      </c>
      <c r="BD72" s="447">
        <v>0</v>
      </c>
      <c r="BE72" s="447">
        <v>0</v>
      </c>
      <c r="BF72" s="447">
        <v>0</v>
      </c>
      <c r="BG72" s="447">
        <v>0</v>
      </c>
      <c r="BH72" s="447">
        <v>0</v>
      </c>
      <c r="BI72" s="460">
        <v>0</v>
      </c>
      <c r="BJ72" s="462">
        <v>504</v>
      </c>
    </row>
    <row r="73" spans="2:62" x14ac:dyDescent="0.2">
      <c r="B73" s="451" t="s">
        <v>429</v>
      </c>
      <c r="C73" s="449">
        <v>0</v>
      </c>
      <c r="D73" s="447">
        <v>0</v>
      </c>
      <c r="E73" s="447">
        <v>0</v>
      </c>
      <c r="F73" s="447">
        <v>0</v>
      </c>
      <c r="G73" s="448">
        <v>0</v>
      </c>
      <c r="H73" s="458">
        <v>0</v>
      </c>
      <c r="I73" s="447">
        <v>0</v>
      </c>
      <c r="J73" s="447">
        <v>0</v>
      </c>
      <c r="K73" s="447">
        <v>0</v>
      </c>
      <c r="L73" s="447">
        <v>0</v>
      </c>
      <c r="M73" s="448">
        <v>0</v>
      </c>
      <c r="N73" s="458">
        <v>0</v>
      </c>
      <c r="O73" s="447">
        <v>0</v>
      </c>
      <c r="P73" s="447">
        <v>0</v>
      </c>
      <c r="Q73" s="447">
        <v>0</v>
      </c>
      <c r="R73" s="447">
        <v>0</v>
      </c>
      <c r="S73" s="448">
        <v>0</v>
      </c>
      <c r="T73" s="458">
        <v>0</v>
      </c>
      <c r="U73" s="447">
        <v>0</v>
      </c>
      <c r="V73" s="447">
        <v>0</v>
      </c>
      <c r="W73" s="447">
        <v>0</v>
      </c>
      <c r="X73" s="447">
        <v>0</v>
      </c>
      <c r="Y73" s="458">
        <v>0</v>
      </c>
      <c r="Z73" s="449">
        <v>32</v>
      </c>
      <c r="AA73" s="447">
        <v>40</v>
      </c>
      <c r="AB73" s="447">
        <v>40</v>
      </c>
      <c r="AC73" s="447">
        <v>40</v>
      </c>
      <c r="AD73" s="448">
        <v>24</v>
      </c>
      <c r="AE73" s="458">
        <v>176</v>
      </c>
      <c r="AF73" s="447">
        <v>16</v>
      </c>
      <c r="AG73" s="447">
        <v>40</v>
      </c>
      <c r="AH73" s="447">
        <v>40</v>
      </c>
      <c r="AI73" s="447">
        <v>32</v>
      </c>
      <c r="AJ73" s="448">
        <v>0</v>
      </c>
      <c r="AK73" s="460">
        <v>128</v>
      </c>
      <c r="AL73" s="456">
        <v>0</v>
      </c>
      <c r="AM73" s="447">
        <v>0</v>
      </c>
      <c r="AN73" s="447">
        <v>0</v>
      </c>
      <c r="AO73" s="447">
        <v>0</v>
      </c>
      <c r="AP73" s="457">
        <v>0</v>
      </c>
      <c r="AQ73" s="459">
        <v>0</v>
      </c>
      <c r="AR73" s="447">
        <v>0</v>
      </c>
      <c r="AS73" s="447">
        <v>0</v>
      </c>
      <c r="AT73" s="447">
        <v>0</v>
      </c>
      <c r="AU73" s="447">
        <v>0</v>
      </c>
      <c r="AV73" s="447">
        <v>0</v>
      </c>
      <c r="AW73" s="458">
        <v>0</v>
      </c>
      <c r="AX73" s="447">
        <v>0</v>
      </c>
      <c r="AY73" s="447">
        <v>0</v>
      </c>
      <c r="AZ73" s="447">
        <v>0</v>
      </c>
      <c r="BA73" s="447">
        <v>0</v>
      </c>
      <c r="BB73" s="447">
        <v>0</v>
      </c>
      <c r="BC73" s="458">
        <v>0</v>
      </c>
      <c r="BD73" s="447">
        <v>0</v>
      </c>
      <c r="BE73" s="447">
        <v>0</v>
      </c>
      <c r="BF73" s="447">
        <v>0</v>
      </c>
      <c r="BG73" s="447">
        <v>0</v>
      </c>
      <c r="BH73" s="447">
        <v>0</v>
      </c>
      <c r="BI73" s="460">
        <v>0</v>
      </c>
      <c r="BJ73" s="462">
        <v>304</v>
      </c>
    </row>
    <row r="74" spans="2:62" x14ac:dyDescent="0.2">
      <c r="B74" s="451" t="s">
        <v>431</v>
      </c>
      <c r="C74" s="449">
        <v>0</v>
      </c>
      <c r="D74" s="447">
        <v>0</v>
      </c>
      <c r="E74" s="447">
        <v>0</v>
      </c>
      <c r="F74" s="447">
        <v>0</v>
      </c>
      <c r="G74" s="448">
        <v>0</v>
      </c>
      <c r="H74" s="458">
        <v>0</v>
      </c>
      <c r="I74" s="447">
        <v>0</v>
      </c>
      <c r="J74" s="447">
        <v>0</v>
      </c>
      <c r="K74" s="447">
        <v>0</v>
      </c>
      <c r="L74" s="447">
        <v>0</v>
      </c>
      <c r="M74" s="448">
        <v>0</v>
      </c>
      <c r="N74" s="458">
        <v>0</v>
      </c>
      <c r="O74" s="447">
        <v>0</v>
      </c>
      <c r="P74" s="447">
        <v>0</v>
      </c>
      <c r="Q74" s="447">
        <v>0</v>
      </c>
      <c r="R74" s="447">
        <v>0</v>
      </c>
      <c r="S74" s="448">
        <v>0</v>
      </c>
      <c r="T74" s="458">
        <v>0</v>
      </c>
      <c r="U74" s="447">
        <v>0</v>
      </c>
      <c r="V74" s="447">
        <v>0</v>
      </c>
      <c r="W74" s="447">
        <v>0</v>
      </c>
      <c r="X74" s="447">
        <v>0</v>
      </c>
      <c r="Y74" s="458">
        <v>0</v>
      </c>
      <c r="Z74" s="449">
        <v>0</v>
      </c>
      <c r="AA74" s="447">
        <v>0</v>
      </c>
      <c r="AB74" s="447">
        <v>0</v>
      </c>
      <c r="AC74" s="447">
        <v>0</v>
      </c>
      <c r="AD74" s="448">
        <v>0</v>
      </c>
      <c r="AE74" s="458">
        <v>0</v>
      </c>
      <c r="AF74" s="447">
        <v>0</v>
      </c>
      <c r="AG74" s="447">
        <v>0</v>
      </c>
      <c r="AH74" s="447">
        <v>0</v>
      </c>
      <c r="AI74" s="447">
        <v>0</v>
      </c>
      <c r="AJ74" s="448">
        <v>0</v>
      </c>
      <c r="AK74" s="460">
        <v>0</v>
      </c>
      <c r="AL74" s="456">
        <v>0</v>
      </c>
      <c r="AM74" s="447">
        <v>0</v>
      </c>
      <c r="AN74" s="447">
        <v>0</v>
      </c>
      <c r="AO74" s="447">
        <v>32</v>
      </c>
      <c r="AP74" s="457">
        <v>8</v>
      </c>
      <c r="AQ74" s="459">
        <v>40</v>
      </c>
      <c r="AR74" s="447">
        <v>32</v>
      </c>
      <c r="AS74" s="447">
        <v>40</v>
      </c>
      <c r="AT74" s="447">
        <v>40</v>
      </c>
      <c r="AU74" s="447">
        <v>40</v>
      </c>
      <c r="AV74" s="447">
        <v>24</v>
      </c>
      <c r="AW74" s="458">
        <v>176</v>
      </c>
      <c r="AX74" s="447">
        <v>8</v>
      </c>
      <c r="AY74" s="447">
        <v>40</v>
      </c>
      <c r="AZ74" s="447">
        <v>40</v>
      </c>
      <c r="BA74" s="447">
        <v>40</v>
      </c>
      <c r="BB74" s="447">
        <v>40</v>
      </c>
      <c r="BC74" s="458">
        <v>168</v>
      </c>
      <c r="BD74" s="447">
        <v>40</v>
      </c>
      <c r="BE74" s="447">
        <v>0</v>
      </c>
      <c r="BF74" s="447">
        <v>0</v>
      </c>
      <c r="BG74" s="447">
        <v>0</v>
      </c>
      <c r="BH74" s="447">
        <v>0</v>
      </c>
      <c r="BI74" s="460">
        <v>40</v>
      </c>
      <c r="BJ74" s="462">
        <v>397</v>
      </c>
    </row>
    <row r="75" spans="2:62" x14ac:dyDescent="0.2">
      <c r="B75" s="451" t="s">
        <v>426</v>
      </c>
      <c r="C75" s="449">
        <v>40</v>
      </c>
      <c r="D75" s="447">
        <v>40</v>
      </c>
      <c r="E75" s="447">
        <v>40</v>
      </c>
      <c r="F75" s="447">
        <v>40</v>
      </c>
      <c r="G75" s="448">
        <v>16</v>
      </c>
      <c r="H75" s="458">
        <v>176</v>
      </c>
      <c r="I75" s="447">
        <v>0</v>
      </c>
      <c r="J75" s="447">
        <v>0</v>
      </c>
      <c r="K75" s="447">
        <v>0</v>
      </c>
      <c r="L75" s="447">
        <v>0</v>
      </c>
      <c r="M75" s="448">
        <v>0</v>
      </c>
      <c r="N75" s="458">
        <v>0</v>
      </c>
      <c r="O75" s="447">
        <v>0</v>
      </c>
      <c r="P75" s="447">
        <v>0</v>
      </c>
      <c r="Q75" s="447">
        <v>0</v>
      </c>
      <c r="R75" s="447">
        <v>0</v>
      </c>
      <c r="S75" s="448">
        <v>0</v>
      </c>
      <c r="T75" s="458">
        <v>0</v>
      </c>
      <c r="U75" s="447">
        <v>0</v>
      </c>
      <c r="V75" s="447">
        <v>0</v>
      </c>
      <c r="W75" s="447">
        <v>0</v>
      </c>
      <c r="X75" s="447">
        <v>0</v>
      </c>
      <c r="Y75" s="458">
        <v>0</v>
      </c>
      <c r="Z75" s="449">
        <v>0</v>
      </c>
      <c r="AA75" s="447">
        <v>0</v>
      </c>
      <c r="AB75" s="447">
        <v>0</v>
      </c>
      <c r="AC75" s="447">
        <v>0</v>
      </c>
      <c r="AD75" s="448">
        <v>0</v>
      </c>
      <c r="AE75" s="458">
        <v>0</v>
      </c>
      <c r="AF75" s="447">
        <v>0</v>
      </c>
      <c r="AG75" s="447">
        <v>0</v>
      </c>
      <c r="AH75" s="447">
        <v>0</v>
      </c>
      <c r="AI75" s="447">
        <v>0</v>
      </c>
      <c r="AJ75" s="448">
        <v>0</v>
      </c>
      <c r="AK75" s="460">
        <v>0</v>
      </c>
      <c r="AL75" s="456">
        <v>0</v>
      </c>
      <c r="AM75" s="447">
        <v>0</v>
      </c>
      <c r="AN75" s="447">
        <v>0</v>
      </c>
      <c r="AO75" s="447">
        <v>0</v>
      </c>
      <c r="AP75" s="457">
        <v>0</v>
      </c>
      <c r="AQ75" s="459">
        <v>0</v>
      </c>
      <c r="AR75" s="447">
        <v>0</v>
      </c>
      <c r="AS75" s="447">
        <v>0</v>
      </c>
      <c r="AT75" s="447">
        <v>0</v>
      </c>
      <c r="AU75" s="447">
        <v>0</v>
      </c>
      <c r="AV75" s="447">
        <v>0</v>
      </c>
      <c r="AW75" s="458">
        <v>0</v>
      </c>
      <c r="AX75" s="447">
        <v>0</v>
      </c>
      <c r="AY75" s="447">
        <v>0</v>
      </c>
      <c r="AZ75" s="447">
        <v>0</v>
      </c>
      <c r="BA75" s="447">
        <v>0</v>
      </c>
      <c r="BB75" s="447">
        <v>0</v>
      </c>
      <c r="BC75" s="458">
        <v>0</v>
      </c>
      <c r="BD75" s="447">
        <v>0</v>
      </c>
      <c r="BE75" s="447">
        <v>0</v>
      </c>
      <c r="BF75" s="447">
        <v>0</v>
      </c>
      <c r="BG75" s="447">
        <v>0</v>
      </c>
      <c r="BH75" s="447">
        <v>0</v>
      </c>
      <c r="BI75" s="460">
        <v>0</v>
      </c>
      <c r="BJ75" s="462">
        <v>176</v>
      </c>
    </row>
    <row r="76" spans="2:62" x14ac:dyDescent="0.2">
      <c r="B76" s="451" t="s">
        <v>442</v>
      </c>
      <c r="C76" s="449">
        <v>0</v>
      </c>
      <c r="D76" s="447">
        <v>0</v>
      </c>
      <c r="E76" s="447">
        <v>0</v>
      </c>
      <c r="F76" s="447">
        <v>0</v>
      </c>
      <c r="G76" s="448">
        <v>0</v>
      </c>
      <c r="H76" s="458">
        <v>0</v>
      </c>
      <c r="I76" s="447">
        <v>0</v>
      </c>
      <c r="J76" s="447">
        <v>0</v>
      </c>
      <c r="K76" s="447">
        <v>0</v>
      </c>
      <c r="L76" s="447">
        <v>0</v>
      </c>
      <c r="M76" s="448">
        <v>0</v>
      </c>
      <c r="N76" s="458">
        <v>0</v>
      </c>
      <c r="O76" s="447">
        <v>0</v>
      </c>
      <c r="P76" s="447">
        <v>0</v>
      </c>
      <c r="Q76" s="447">
        <v>0</v>
      </c>
      <c r="R76" s="447">
        <v>0</v>
      </c>
      <c r="S76" s="448">
        <v>0</v>
      </c>
      <c r="T76" s="458">
        <v>0</v>
      </c>
      <c r="U76" s="447">
        <v>0</v>
      </c>
      <c r="V76" s="447">
        <v>0</v>
      </c>
      <c r="W76" s="447">
        <v>0</v>
      </c>
      <c r="X76" s="447">
        <v>0</v>
      </c>
      <c r="Y76" s="458">
        <v>0</v>
      </c>
      <c r="Z76" s="449">
        <v>0</v>
      </c>
      <c r="AA76" s="447">
        <v>0</v>
      </c>
      <c r="AB76" s="447">
        <v>0</v>
      </c>
      <c r="AC76" s="447">
        <v>0</v>
      </c>
      <c r="AD76" s="448">
        <v>0</v>
      </c>
      <c r="AE76" s="458">
        <v>0</v>
      </c>
      <c r="AF76" s="447">
        <v>0</v>
      </c>
      <c r="AG76" s="447">
        <v>0</v>
      </c>
      <c r="AH76" s="447">
        <v>0</v>
      </c>
      <c r="AI76" s="447">
        <v>0</v>
      </c>
      <c r="AJ76" s="448">
        <v>0</v>
      </c>
      <c r="AK76" s="460">
        <v>0</v>
      </c>
      <c r="AL76" s="456">
        <v>40</v>
      </c>
      <c r="AM76" s="447">
        <v>40</v>
      </c>
      <c r="AN76" s="447">
        <v>40</v>
      </c>
      <c r="AO76" s="447">
        <v>32</v>
      </c>
      <c r="AP76" s="457">
        <v>8</v>
      </c>
      <c r="AQ76" s="459">
        <v>160</v>
      </c>
      <c r="AR76" s="447">
        <v>32</v>
      </c>
      <c r="AS76" s="447">
        <v>40</v>
      </c>
      <c r="AT76" s="447">
        <v>40</v>
      </c>
      <c r="AU76" s="447">
        <v>40</v>
      </c>
      <c r="AV76" s="447">
        <v>24</v>
      </c>
      <c r="AW76" s="458">
        <v>176</v>
      </c>
      <c r="AX76" s="447">
        <v>8</v>
      </c>
      <c r="AY76" s="447">
        <v>40</v>
      </c>
      <c r="AZ76" s="447">
        <v>40</v>
      </c>
      <c r="BA76" s="447">
        <v>40</v>
      </c>
      <c r="BB76" s="447">
        <v>40</v>
      </c>
      <c r="BC76" s="458">
        <v>168</v>
      </c>
      <c r="BD76" s="447">
        <v>40</v>
      </c>
      <c r="BE76" s="447">
        <v>0</v>
      </c>
      <c r="BF76" s="447">
        <v>0</v>
      </c>
      <c r="BG76" s="447">
        <v>0</v>
      </c>
      <c r="BH76" s="447">
        <v>0</v>
      </c>
      <c r="BI76" s="460">
        <v>40</v>
      </c>
      <c r="BJ76" s="462">
        <v>544</v>
      </c>
    </row>
    <row r="77" spans="2:62" x14ac:dyDescent="0.2">
      <c r="B77" s="451" t="s">
        <v>614</v>
      </c>
      <c r="C77" s="449">
        <v>0</v>
      </c>
      <c r="D77" s="447">
        <v>0</v>
      </c>
      <c r="E77" s="447">
        <v>0</v>
      </c>
      <c r="F77" s="447">
        <v>0</v>
      </c>
      <c r="G77" s="448">
        <v>0</v>
      </c>
      <c r="H77" s="458">
        <v>0</v>
      </c>
      <c r="I77" s="447">
        <v>0</v>
      </c>
      <c r="J77" s="447">
        <v>0</v>
      </c>
      <c r="K77" s="447">
        <v>0</v>
      </c>
      <c r="L77" s="447">
        <v>0</v>
      </c>
      <c r="M77" s="448">
        <v>0</v>
      </c>
      <c r="N77" s="458">
        <v>0</v>
      </c>
      <c r="O77" s="447">
        <v>0</v>
      </c>
      <c r="P77" s="447">
        <v>0</v>
      </c>
      <c r="Q77" s="447">
        <v>0</v>
      </c>
      <c r="R77" s="447">
        <v>0</v>
      </c>
      <c r="S77" s="448">
        <v>0</v>
      </c>
      <c r="T77" s="458">
        <v>0</v>
      </c>
      <c r="U77" s="447">
        <v>0</v>
      </c>
      <c r="V77" s="447">
        <v>0</v>
      </c>
      <c r="W77" s="447">
        <v>0</v>
      </c>
      <c r="X77" s="447">
        <v>0</v>
      </c>
      <c r="Y77" s="458">
        <v>0</v>
      </c>
      <c r="Z77" s="449">
        <v>0</v>
      </c>
      <c r="AA77" s="447">
        <v>0</v>
      </c>
      <c r="AB77" s="447">
        <v>0</v>
      </c>
      <c r="AC77" s="447">
        <v>0</v>
      </c>
      <c r="AD77" s="448">
        <v>0</v>
      </c>
      <c r="AE77" s="458">
        <v>0</v>
      </c>
      <c r="AF77" s="447">
        <v>0</v>
      </c>
      <c r="AG77" s="447">
        <v>0</v>
      </c>
      <c r="AH77" s="447">
        <v>0</v>
      </c>
      <c r="AI77" s="447">
        <v>0</v>
      </c>
      <c r="AJ77" s="448">
        <v>0</v>
      </c>
      <c r="AK77" s="460">
        <v>0</v>
      </c>
      <c r="AL77" s="456">
        <v>0</v>
      </c>
      <c r="AM77" s="447">
        <v>0</v>
      </c>
      <c r="AN77" s="447">
        <v>0</v>
      </c>
      <c r="AO77" s="447">
        <v>0</v>
      </c>
      <c r="AP77" s="457">
        <v>0</v>
      </c>
      <c r="AQ77" s="459">
        <v>0</v>
      </c>
      <c r="AR77" s="447">
        <v>0</v>
      </c>
      <c r="AS77" s="447">
        <v>24</v>
      </c>
      <c r="AT77" s="447">
        <v>0</v>
      </c>
      <c r="AU77" s="447">
        <v>0</v>
      </c>
      <c r="AV77" s="447">
        <v>0</v>
      </c>
      <c r="AW77" s="458">
        <v>24</v>
      </c>
      <c r="AX77" s="447">
        <v>0</v>
      </c>
      <c r="AY77" s="447">
        <v>0</v>
      </c>
      <c r="AZ77" s="447">
        <v>0</v>
      </c>
      <c r="BA77" s="447">
        <v>0</v>
      </c>
      <c r="BB77" s="447">
        <v>0</v>
      </c>
      <c r="BC77" s="458">
        <v>0</v>
      </c>
      <c r="BD77" s="447">
        <v>0</v>
      </c>
      <c r="BE77" s="447">
        <v>0</v>
      </c>
      <c r="BF77" s="447">
        <v>0</v>
      </c>
      <c r="BG77" s="447">
        <v>0</v>
      </c>
      <c r="BH77" s="447">
        <v>0</v>
      </c>
      <c r="BI77" s="460">
        <v>0</v>
      </c>
      <c r="BJ77" s="462">
        <v>24</v>
      </c>
    </row>
    <row r="78" spans="2:62" x14ac:dyDescent="0.2">
      <c r="B78" s="451" t="s">
        <v>857</v>
      </c>
      <c r="C78" s="449">
        <v>0</v>
      </c>
      <c r="D78" s="447">
        <v>0</v>
      </c>
      <c r="E78" s="447">
        <v>0</v>
      </c>
      <c r="F78" s="447">
        <v>0</v>
      </c>
      <c r="G78" s="448">
        <v>0</v>
      </c>
      <c r="H78" s="458">
        <v>0</v>
      </c>
      <c r="I78" s="447">
        <v>0</v>
      </c>
      <c r="J78" s="447">
        <v>0</v>
      </c>
      <c r="K78" s="447">
        <v>0</v>
      </c>
      <c r="L78" s="447">
        <v>0</v>
      </c>
      <c r="M78" s="448">
        <v>0</v>
      </c>
      <c r="N78" s="458">
        <v>0</v>
      </c>
      <c r="O78" s="447">
        <v>0</v>
      </c>
      <c r="P78" s="447">
        <v>0</v>
      </c>
      <c r="Q78" s="447">
        <v>0</v>
      </c>
      <c r="R78" s="447">
        <v>0</v>
      </c>
      <c r="S78" s="448">
        <v>0</v>
      </c>
      <c r="T78" s="458">
        <v>0</v>
      </c>
      <c r="U78" s="447">
        <v>0</v>
      </c>
      <c r="V78" s="447">
        <v>0</v>
      </c>
      <c r="W78" s="447">
        <v>0</v>
      </c>
      <c r="X78" s="447">
        <v>0</v>
      </c>
      <c r="Y78" s="458">
        <v>0</v>
      </c>
      <c r="Z78" s="449">
        <v>0</v>
      </c>
      <c r="AA78" s="447">
        <v>0</v>
      </c>
      <c r="AB78" s="447">
        <v>0</v>
      </c>
      <c r="AC78" s="447">
        <v>0</v>
      </c>
      <c r="AD78" s="448">
        <v>0</v>
      </c>
      <c r="AE78" s="458">
        <v>0</v>
      </c>
      <c r="AF78" s="447">
        <v>0</v>
      </c>
      <c r="AG78" s="447">
        <v>0</v>
      </c>
      <c r="AH78" s="447">
        <v>0</v>
      </c>
      <c r="AI78" s="447">
        <v>0</v>
      </c>
      <c r="AJ78" s="448">
        <v>0</v>
      </c>
      <c r="AK78" s="460">
        <v>0</v>
      </c>
      <c r="AL78" s="456">
        <v>0</v>
      </c>
      <c r="AM78" s="447">
        <v>0</v>
      </c>
      <c r="AN78" s="447">
        <v>0</v>
      </c>
      <c r="AO78" s="447">
        <v>0</v>
      </c>
      <c r="AP78" s="457">
        <v>0</v>
      </c>
      <c r="AQ78" s="459">
        <v>0</v>
      </c>
      <c r="AR78" s="447">
        <v>0</v>
      </c>
      <c r="AS78" s="447">
        <v>0</v>
      </c>
      <c r="AT78" s="447">
        <v>40</v>
      </c>
      <c r="AU78" s="447">
        <v>8</v>
      </c>
      <c r="AV78" s="447">
        <v>0</v>
      </c>
      <c r="AW78" s="458">
        <v>48</v>
      </c>
      <c r="AX78" s="447">
        <v>0</v>
      </c>
      <c r="AY78" s="447">
        <v>0</v>
      </c>
      <c r="AZ78" s="447">
        <v>0</v>
      </c>
      <c r="BA78" s="447">
        <v>0</v>
      </c>
      <c r="BB78" s="447">
        <v>0</v>
      </c>
      <c r="BC78" s="458">
        <v>0</v>
      </c>
      <c r="BD78" s="447">
        <v>0</v>
      </c>
      <c r="BE78" s="447">
        <v>0</v>
      </c>
      <c r="BF78" s="447">
        <v>0</v>
      </c>
      <c r="BG78" s="447">
        <v>0</v>
      </c>
      <c r="BH78" s="447">
        <v>0</v>
      </c>
      <c r="BI78" s="460">
        <v>0</v>
      </c>
      <c r="BJ78" s="462">
        <v>48</v>
      </c>
    </row>
    <row r="79" spans="2:62" x14ac:dyDescent="0.2">
      <c r="B79" s="451" t="s">
        <v>864</v>
      </c>
      <c r="C79" s="449">
        <v>0</v>
      </c>
      <c r="D79" s="447">
        <v>0</v>
      </c>
      <c r="E79" s="447">
        <v>0</v>
      </c>
      <c r="F79" s="447">
        <v>0</v>
      </c>
      <c r="G79" s="448">
        <v>0</v>
      </c>
      <c r="H79" s="458">
        <v>0</v>
      </c>
      <c r="I79" s="447">
        <v>0</v>
      </c>
      <c r="J79" s="447">
        <v>0</v>
      </c>
      <c r="K79" s="447">
        <v>0</v>
      </c>
      <c r="L79" s="447">
        <v>0</v>
      </c>
      <c r="M79" s="448">
        <v>0</v>
      </c>
      <c r="N79" s="458">
        <v>0</v>
      </c>
      <c r="O79" s="447">
        <v>0</v>
      </c>
      <c r="P79" s="447">
        <v>0</v>
      </c>
      <c r="Q79" s="447">
        <v>0</v>
      </c>
      <c r="R79" s="447">
        <v>0</v>
      </c>
      <c r="S79" s="448">
        <v>0</v>
      </c>
      <c r="T79" s="458">
        <v>0</v>
      </c>
      <c r="U79" s="447">
        <v>0</v>
      </c>
      <c r="V79" s="447">
        <v>0</v>
      </c>
      <c r="W79" s="447">
        <v>0</v>
      </c>
      <c r="X79" s="447">
        <v>0</v>
      </c>
      <c r="Y79" s="458">
        <v>0</v>
      </c>
      <c r="Z79" s="449">
        <v>0</v>
      </c>
      <c r="AA79" s="447">
        <v>0</v>
      </c>
      <c r="AB79" s="447">
        <v>0</v>
      </c>
      <c r="AC79" s="447">
        <v>0</v>
      </c>
      <c r="AD79" s="448">
        <v>0</v>
      </c>
      <c r="AE79" s="458">
        <v>0</v>
      </c>
      <c r="AF79" s="447">
        <v>0</v>
      </c>
      <c r="AG79" s="447">
        <v>0</v>
      </c>
      <c r="AH79" s="447">
        <v>0</v>
      </c>
      <c r="AI79" s="447">
        <v>0</v>
      </c>
      <c r="AJ79" s="448">
        <v>0</v>
      </c>
      <c r="AK79" s="460">
        <v>0</v>
      </c>
      <c r="AL79" s="456">
        <v>0</v>
      </c>
      <c r="AM79" s="447">
        <v>0</v>
      </c>
      <c r="AN79" s="447">
        <v>0</v>
      </c>
      <c r="AO79" s="447">
        <v>0</v>
      </c>
      <c r="AP79" s="457">
        <v>0</v>
      </c>
      <c r="AQ79" s="459">
        <v>0</v>
      </c>
      <c r="AR79" s="447">
        <v>0</v>
      </c>
      <c r="AS79" s="447">
        <v>0</v>
      </c>
      <c r="AT79" s="447">
        <v>24</v>
      </c>
      <c r="AU79" s="447">
        <v>40</v>
      </c>
      <c r="AV79" s="447">
        <v>0</v>
      </c>
      <c r="AW79" s="458">
        <v>64</v>
      </c>
      <c r="AX79" s="447">
        <v>0</v>
      </c>
      <c r="AY79" s="447">
        <v>0</v>
      </c>
      <c r="AZ79" s="447">
        <v>0</v>
      </c>
      <c r="BA79" s="447">
        <v>0</v>
      </c>
      <c r="BB79" s="447">
        <v>0</v>
      </c>
      <c r="BC79" s="458">
        <v>0</v>
      </c>
      <c r="BD79" s="447">
        <v>0</v>
      </c>
      <c r="BE79" s="447">
        <v>0</v>
      </c>
      <c r="BF79" s="447">
        <v>0</v>
      </c>
      <c r="BG79" s="447">
        <v>0</v>
      </c>
      <c r="BH79" s="447">
        <v>0</v>
      </c>
      <c r="BI79" s="460">
        <v>0</v>
      </c>
      <c r="BJ79" s="462">
        <v>64</v>
      </c>
    </row>
    <row r="80" spans="2:62" x14ac:dyDescent="0.2">
      <c r="B80" s="451" t="s">
        <v>25</v>
      </c>
      <c r="C80" s="449">
        <v>40</v>
      </c>
      <c r="D80" s="447">
        <v>40</v>
      </c>
      <c r="E80" s="447">
        <v>40</v>
      </c>
      <c r="F80" s="447">
        <v>40</v>
      </c>
      <c r="G80" s="448">
        <v>16</v>
      </c>
      <c r="H80" s="458">
        <v>176</v>
      </c>
      <c r="I80" s="447">
        <v>24</v>
      </c>
      <c r="J80" s="447">
        <v>40</v>
      </c>
      <c r="K80" s="447">
        <v>40</v>
      </c>
      <c r="L80" s="447">
        <v>40</v>
      </c>
      <c r="M80" s="448">
        <v>16</v>
      </c>
      <c r="N80" s="458">
        <v>160</v>
      </c>
      <c r="O80" s="447">
        <v>24</v>
      </c>
      <c r="P80" s="447">
        <v>40</v>
      </c>
      <c r="Q80" s="447">
        <v>40</v>
      </c>
      <c r="R80" s="447">
        <v>40</v>
      </c>
      <c r="S80" s="448">
        <v>40</v>
      </c>
      <c r="T80" s="458">
        <v>184</v>
      </c>
      <c r="U80" s="447">
        <v>40</v>
      </c>
      <c r="V80" s="447">
        <v>24</v>
      </c>
      <c r="W80" s="447">
        <v>40</v>
      </c>
      <c r="X80" s="447">
        <v>40</v>
      </c>
      <c r="Y80" s="458">
        <v>144</v>
      </c>
      <c r="Z80" s="449">
        <v>32</v>
      </c>
      <c r="AA80" s="447">
        <v>40</v>
      </c>
      <c r="AB80" s="447">
        <v>40</v>
      </c>
      <c r="AC80" s="447">
        <v>40</v>
      </c>
      <c r="AD80" s="448">
        <v>24</v>
      </c>
      <c r="AE80" s="458">
        <v>176</v>
      </c>
      <c r="AF80" s="447">
        <v>16</v>
      </c>
      <c r="AG80" s="447">
        <v>40</v>
      </c>
      <c r="AH80" s="447">
        <v>40</v>
      </c>
      <c r="AI80" s="447">
        <v>40</v>
      </c>
      <c r="AJ80" s="448">
        <v>32</v>
      </c>
      <c r="AK80" s="460">
        <v>168</v>
      </c>
      <c r="AL80" s="456">
        <v>40</v>
      </c>
      <c r="AM80" s="447">
        <v>40</v>
      </c>
      <c r="AN80" s="447">
        <v>40</v>
      </c>
      <c r="AO80" s="447">
        <v>32</v>
      </c>
      <c r="AP80" s="457">
        <v>8</v>
      </c>
      <c r="AQ80" s="459">
        <v>160</v>
      </c>
      <c r="AR80" s="447">
        <v>32</v>
      </c>
      <c r="AS80" s="447">
        <v>40</v>
      </c>
      <c r="AT80" s="447">
        <v>40</v>
      </c>
      <c r="AU80" s="447">
        <v>40</v>
      </c>
      <c r="AV80" s="447">
        <v>24</v>
      </c>
      <c r="AW80" s="458">
        <v>176</v>
      </c>
      <c r="AX80" s="447">
        <v>8</v>
      </c>
      <c r="AY80" s="447">
        <v>40</v>
      </c>
      <c r="AZ80" s="447">
        <v>40</v>
      </c>
      <c r="BA80" s="447">
        <v>40</v>
      </c>
      <c r="BB80" s="447">
        <v>40</v>
      </c>
      <c r="BC80" s="458">
        <v>168</v>
      </c>
      <c r="BD80" s="447">
        <v>40</v>
      </c>
      <c r="BE80" s="447">
        <v>0</v>
      </c>
      <c r="BF80" s="447">
        <v>0</v>
      </c>
      <c r="BG80" s="447">
        <v>0</v>
      </c>
      <c r="BH80" s="447">
        <v>0</v>
      </c>
      <c r="BI80" s="460">
        <v>40</v>
      </c>
      <c r="BJ80" s="462">
        <v>1552</v>
      </c>
    </row>
    <row r="81" spans="2:62" x14ac:dyDescent="0.2">
      <c r="B81" s="451" t="s">
        <v>11</v>
      </c>
      <c r="C81" s="449">
        <v>40</v>
      </c>
      <c r="D81" s="447">
        <v>40</v>
      </c>
      <c r="E81" s="447">
        <v>40</v>
      </c>
      <c r="F81" s="447">
        <v>40</v>
      </c>
      <c r="G81" s="448">
        <v>16</v>
      </c>
      <c r="H81" s="458">
        <v>176</v>
      </c>
      <c r="I81" s="447">
        <v>24</v>
      </c>
      <c r="J81" s="447">
        <v>40</v>
      </c>
      <c r="K81" s="447">
        <v>40</v>
      </c>
      <c r="L81" s="447">
        <v>40</v>
      </c>
      <c r="M81" s="448">
        <v>16</v>
      </c>
      <c r="N81" s="458">
        <v>160</v>
      </c>
      <c r="O81" s="447">
        <v>24</v>
      </c>
      <c r="P81" s="447">
        <v>40</v>
      </c>
      <c r="Q81" s="447">
        <v>40</v>
      </c>
      <c r="R81" s="447">
        <v>40</v>
      </c>
      <c r="S81" s="448">
        <v>40</v>
      </c>
      <c r="T81" s="458">
        <v>184</v>
      </c>
      <c r="U81" s="447">
        <v>40</v>
      </c>
      <c r="V81" s="447">
        <v>24</v>
      </c>
      <c r="W81" s="447">
        <v>40</v>
      </c>
      <c r="X81" s="447">
        <v>40</v>
      </c>
      <c r="Y81" s="458">
        <v>144</v>
      </c>
      <c r="Z81" s="449">
        <v>32</v>
      </c>
      <c r="AA81" s="447">
        <v>40</v>
      </c>
      <c r="AB81" s="447">
        <v>40</v>
      </c>
      <c r="AC81" s="447">
        <v>40</v>
      </c>
      <c r="AD81" s="448">
        <v>24</v>
      </c>
      <c r="AE81" s="458">
        <v>176</v>
      </c>
      <c r="AF81" s="447">
        <v>16</v>
      </c>
      <c r="AG81" s="447">
        <v>40</v>
      </c>
      <c r="AH81" s="447">
        <v>40</v>
      </c>
      <c r="AI81" s="447">
        <v>40</v>
      </c>
      <c r="AJ81" s="448">
        <v>32</v>
      </c>
      <c r="AK81" s="460">
        <v>168</v>
      </c>
      <c r="AL81" s="456">
        <v>40</v>
      </c>
      <c r="AM81" s="447">
        <v>40</v>
      </c>
      <c r="AN81" s="447">
        <v>40</v>
      </c>
      <c r="AO81" s="447">
        <v>32</v>
      </c>
      <c r="AP81" s="457">
        <v>8</v>
      </c>
      <c r="AQ81" s="459">
        <v>160</v>
      </c>
      <c r="AR81" s="447">
        <v>32</v>
      </c>
      <c r="AS81" s="447">
        <v>40</v>
      </c>
      <c r="AT81" s="447">
        <v>40</v>
      </c>
      <c r="AU81" s="447">
        <v>40</v>
      </c>
      <c r="AV81" s="447">
        <v>24</v>
      </c>
      <c r="AW81" s="458">
        <v>176</v>
      </c>
      <c r="AX81" s="447">
        <v>8</v>
      </c>
      <c r="AY81" s="447">
        <v>40</v>
      </c>
      <c r="AZ81" s="447">
        <v>40</v>
      </c>
      <c r="BA81" s="447">
        <v>40</v>
      </c>
      <c r="BB81" s="447">
        <v>40</v>
      </c>
      <c r="BC81" s="458">
        <v>168</v>
      </c>
      <c r="BD81" s="447">
        <v>40</v>
      </c>
      <c r="BE81" s="447">
        <v>0</v>
      </c>
      <c r="BF81" s="447">
        <v>0</v>
      </c>
      <c r="BG81" s="447">
        <v>0</v>
      </c>
      <c r="BH81" s="447">
        <v>0</v>
      </c>
      <c r="BI81" s="460">
        <v>40</v>
      </c>
      <c r="BJ81" s="462">
        <v>1552</v>
      </c>
    </row>
    <row r="82" spans="2:62" x14ac:dyDescent="0.2">
      <c r="B82" s="451" t="s">
        <v>644</v>
      </c>
      <c r="C82" s="449">
        <v>40</v>
      </c>
      <c r="D82" s="447">
        <v>40</v>
      </c>
      <c r="E82" s="447">
        <v>40</v>
      </c>
      <c r="F82" s="447">
        <v>40</v>
      </c>
      <c r="G82" s="448">
        <v>16</v>
      </c>
      <c r="H82" s="458">
        <v>176</v>
      </c>
      <c r="I82" s="447">
        <v>24</v>
      </c>
      <c r="J82" s="447">
        <v>40</v>
      </c>
      <c r="K82" s="447">
        <v>40</v>
      </c>
      <c r="L82" s="447">
        <v>40</v>
      </c>
      <c r="M82" s="448">
        <v>16</v>
      </c>
      <c r="N82" s="458">
        <v>160</v>
      </c>
      <c r="O82" s="447">
        <v>24</v>
      </c>
      <c r="P82" s="447">
        <v>40</v>
      </c>
      <c r="Q82" s="447">
        <v>40</v>
      </c>
      <c r="R82" s="447">
        <v>40</v>
      </c>
      <c r="S82" s="448">
        <v>40</v>
      </c>
      <c r="T82" s="458">
        <v>184</v>
      </c>
      <c r="U82" s="447">
        <v>40</v>
      </c>
      <c r="V82" s="447">
        <v>24</v>
      </c>
      <c r="W82" s="447">
        <v>40</v>
      </c>
      <c r="X82" s="447">
        <v>40</v>
      </c>
      <c r="Y82" s="458">
        <v>144</v>
      </c>
      <c r="Z82" s="449">
        <v>32</v>
      </c>
      <c r="AA82" s="447">
        <v>40</v>
      </c>
      <c r="AB82" s="447">
        <v>40</v>
      </c>
      <c r="AC82" s="447">
        <v>40</v>
      </c>
      <c r="AD82" s="448">
        <v>24</v>
      </c>
      <c r="AE82" s="458">
        <v>176</v>
      </c>
      <c r="AF82" s="447">
        <v>16</v>
      </c>
      <c r="AG82" s="447">
        <v>40</v>
      </c>
      <c r="AH82" s="447">
        <v>40</v>
      </c>
      <c r="AI82" s="447">
        <v>40</v>
      </c>
      <c r="AJ82" s="448">
        <v>32</v>
      </c>
      <c r="AK82" s="460">
        <v>168</v>
      </c>
      <c r="AL82" s="456">
        <v>40</v>
      </c>
      <c r="AM82" s="447">
        <v>40</v>
      </c>
      <c r="AN82" s="447">
        <v>40</v>
      </c>
      <c r="AO82" s="447">
        <v>32</v>
      </c>
      <c r="AP82" s="457">
        <v>8</v>
      </c>
      <c r="AQ82" s="459">
        <v>160</v>
      </c>
      <c r="AR82" s="447">
        <v>32</v>
      </c>
      <c r="AS82" s="447">
        <v>40</v>
      </c>
      <c r="AT82" s="447">
        <v>40</v>
      </c>
      <c r="AU82" s="447">
        <v>40</v>
      </c>
      <c r="AV82" s="447">
        <v>24</v>
      </c>
      <c r="AW82" s="458">
        <v>176</v>
      </c>
      <c r="AX82" s="447">
        <v>8</v>
      </c>
      <c r="AY82" s="447">
        <v>40</v>
      </c>
      <c r="AZ82" s="447">
        <v>40</v>
      </c>
      <c r="BA82" s="447">
        <v>40</v>
      </c>
      <c r="BB82" s="447">
        <v>40</v>
      </c>
      <c r="BC82" s="458">
        <v>168</v>
      </c>
      <c r="BD82" s="447">
        <v>40</v>
      </c>
      <c r="BE82" s="447">
        <v>0</v>
      </c>
      <c r="BF82" s="447">
        <v>0</v>
      </c>
      <c r="BG82" s="447">
        <v>0</v>
      </c>
      <c r="BH82" s="447">
        <v>0</v>
      </c>
      <c r="BI82" s="460">
        <v>40</v>
      </c>
      <c r="BJ82" s="462">
        <v>1552</v>
      </c>
    </row>
    <row r="83" spans="2:62" x14ac:dyDescent="0.2">
      <c r="B83" s="451" t="s">
        <v>897</v>
      </c>
      <c r="C83" s="449">
        <v>0</v>
      </c>
      <c r="D83" s="447">
        <v>0</v>
      </c>
      <c r="E83" s="447">
        <v>0</v>
      </c>
      <c r="F83" s="447">
        <v>0</v>
      </c>
      <c r="G83" s="448">
        <v>0</v>
      </c>
      <c r="H83" s="458">
        <v>0</v>
      </c>
      <c r="I83" s="447">
        <v>0</v>
      </c>
      <c r="J83" s="447">
        <v>0</v>
      </c>
      <c r="K83" s="447">
        <v>0</v>
      </c>
      <c r="L83" s="447">
        <v>0</v>
      </c>
      <c r="M83" s="448">
        <v>0</v>
      </c>
      <c r="N83" s="458">
        <v>0</v>
      </c>
      <c r="O83" s="447">
        <v>0</v>
      </c>
      <c r="P83" s="447">
        <v>0</v>
      </c>
      <c r="Q83" s="447">
        <v>0</v>
      </c>
      <c r="R83" s="447">
        <v>0</v>
      </c>
      <c r="S83" s="448">
        <v>0</v>
      </c>
      <c r="T83" s="458">
        <v>0</v>
      </c>
      <c r="U83" s="447">
        <v>0</v>
      </c>
      <c r="V83" s="447">
        <v>0</v>
      </c>
      <c r="W83" s="447">
        <v>0</v>
      </c>
      <c r="X83" s="447">
        <v>0</v>
      </c>
      <c r="Y83" s="458">
        <v>0</v>
      </c>
      <c r="Z83" s="449">
        <v>0</v>
      </c>
      <c r="AA83" s="447">
        <v>0</v>
      </c>
      <c r="AB83" s="447">
        <v>0</v>
      </c>
      <c r="AC83" s="447">
        <v>0</v>
      </c>
      <c r="AD83" s="448">
        <v>0</v>
      </c>
      <c r="AE83" s="458">
        <v>0</v>
      </c>
      <c r="AF83" s="447">
        <v>0</v>
      </c>
      <c r="AG83" s="447">
        <v>0</v>
      </c>
      <c r="AH83" s="447">
        <v>0</v>
      </c>
      <c r="AI83" s="447">
        <v>0</v>
      </c>
      <c r="AJ83" s="448">
        <v>0</v>
      </c>
      <c r="AK83" s="460">
        <v>0</v>
      </c>
      <c r="AL83" s="456">
        <v>0</v>
      </c>
      <c r="AM83" s="447">
        <v>0</v>
      </c>
      <c r="AN83" s="447">
        <v>0</v>
      </c>
      <c r="AO83" s="447">
        <v>0</v>
      </c>
      <c r="AP83" s="457">
        <v>0</v>
      </c>
      <c r="AQ83" s="459">
        <v>0</v>
      </c>
      <c r="AR83" s="447">
        <v>0</v>
      </c>
      <c r="AS83" s="447">
        <v>0</v>
      </c>
      <c r="AT83" s="447">
        <v>0</v>
      </c>
      <c r="AU83" s="447">
        <v>40</v>
      </c>
      <c r="AV83" s="447">
        <v>24</v>
      </c>
      <c r="AW83" s="458">
        <v>64</v>
      </c>
      <c r="AX83" s="447">
        <v>8</v>
      </c>
      <c r="AY83" s="447">
        <v>40</v>
      </c>
      <c r="AZ83" s="447">
        <v>40</v>
      </c>
      <c r="BA83" s="447">
        <v>40</v>
      </c>
      <c r="BB83" s="447">
        <v>40</v>
      </c>
      <c r="BC83" s="458">
        <v>168</v>
      </c>
      <c r="BD83" s="447">
        <v>40</v>
      </c>
      <c r="BE83" s="447">
        <v>0</v>
      </c>
      <c r="BF83" s="447">
        <v>0</v>
      </c>
      <c r="BG83" s="447">
        <v>0</v>
      </c>
      <c r="BH83" s="447">
        <v>0</v>
      </c>
      <c r="BI83" s="460">
        <v>40</v>
      </c>
      <c r="BJ83" s="462">
        <v>272</v>
      </c>
    </row>
    <row r="84" spans="2:62" x14ac:dyDescent="0.2">
      <c r="B84" s="451" t="s">
        <v>944</v>
      </c>
      <c r="C84" s="449">
        <v>0</v>
      </c>
      <c r="D84" s="447">
        <v>0</v>
      </c>
      <c r="E84" s="447">
        <v>0</v>
      </c>
      <c r="F84" s="447">
        <v>0</v>
      </c>
      <c r="G84" s="448">
        <v>0</v>
      </c>
      <c r="H84" s="458">
        <v>0</v>
      </c>
      <c r="I84" s="447">
        <v>0</v>
      </c>
      <c r="J84" s="447">
        <v>0</v>
      </c>
      <c r="K84" s="447">
        <v>0</v>
      </c>
      <c r="L84" s="447">
        <v>0</v>
      </c>
      <c r="M84" s="448">
        <v>0</v>
      </c>
      <c r="N84" s="458">
        <v>0</v>
      </c>
      <c r="O84" s="447">
        <v>0</v>
      </c>
      <c r="P84" s="447">
        <v>0</v>
      </c>
      <c r="Q84" s="447">
        <v>0</v>
      </c>
      <c r="R84" s="447">
        <v>0</v>
      </c>
      <c r="S84" s="448">
        <v>0</v>
      </c>
      <c r="T84" s="458">
        <v>0</v>
      </c>
      <c r="U84" s="447">
        <v>0</v>
      </c>
      <c r="V84" s="447">
        <v>0</v>
      </c>
      <c r="W84" s="447">
        <v>0</v>
      </c>
      <c r="X84" s="447">
        <v>0</v>
      </c>
      <c r="Y84" s="458">
        <v>0</v>
      </c>
      <c r="Z84" s="449">
        <v>0</v>
      </c>
      <c r="AA84" s="447">
        <v>0</v>
      </c>
      <c r="AB84" s="447">
        <v>0</v>
      </c>
      <c r="AC84" s="447">
        <v>0</v>
      </c>
      <c r="AD84" s="448">
        <v>0</v>
      </c>
      <c r="AE84" s="458">
        <v>0</v>
      </c>
      <c r="AF84" s="447">
        <v>0</v>
      </c>
      <c r="AG84" s="447">
        <v>0</v>
      </c>
      <c r="AH84" s="447">
        <v>0</v>
      </c>
      <c r="AI84" s="447">
        <v>0</v>
      </c>
      <c r="AJ84" s="448">
        <v>0</v>
      </c>
      <c r="AK84" s="460">
        <v>0</v>
      </c>
      <c r="AL84" s="456">
        <v>0</v>
      </c>
      <c r="AM84" s="447">
        <v>0</v>
      </c>
      <c r="AN84" s="447">
        <v>0</v>
      </c>
      <c r="AO84" s="447">
        <v>0</v>
      </c>
      <c r="AP84" s="457">
        <v>0</v>
      </c>
      <c r="AQ84" s="459">
        <v>0</v>
      </c>
      <c r="AR84" s="447">
        <v>0</v>
      </c>
      <c r="AS84" s="447">
        <v>0</v>
      </c>
      <c r="AT84" s="447">
        <v>0</v>
      </c>
      <c r="AU84" s="447">
        <v>0</v>
      </c>
      <c r="AV84" s="447">
        <v>0</v>
      </c>
      <c r="AW84" s="458">
        <v>0</v>
      </c>
      <c r="AX84" s="447">
        <v>0</v>
      </c>
      <c r="AY84" s="447">
        <v>40</v>
      </c>
      <c r="AZ84" s="447">
        <v>40</v>
      </c>
      <c r="BA84" s="447">
        <v>40</v>
      </c>
      <c r="BB84" s="447">
        <v>40</v>
      </c>
      <c r="BC84" s="458">
        <v>160</v>
      </c>
      <c r="BD84" s="447">
        <v>0</v>
      </c>
      <c r="BE84" s="447">
        <v>0</v>
      </c>
      <c r="BF84" s="447">
        <v>0</v>
      </c>
      <c r="BG84" s="447">
        <v>0</v>
      </c>
      <c r="BH84" s="447">
        <v>0</v>
      </c>
      <c r="BI84" s="460">
        <v>0</v>
      </c>
      <c r="BJ84" s="462">
        <v>160</v>
      </c>
    </row>
    <row r="85" spans="2:62" x14ac:dyDescent="0.2">
      <c r="B85" s="451" t="s">
        <v>973</v>
      </c>
      <c r="C85" s="449">
        <v>0</v>
      </c>
      <c r="D85" s="447">
        <v>0</v>
      </c>
      <c r="E85" s="447">
        <v>0</v>
      </c>
      <c r="F85" s="447">
        <v>0</v>
      </c>
      <c r="G85" s="448">
        <v>0</v>
      </c>
      <c r="H85" s="458">
        <v>0</v>
      </c>
      <c r="I85" s="447">
        <v>0</v>
      </c>
      <c r="J85" s="447">
        <v>0</v>
      </c>
      <c r="K85" s="447">
        <v>0</v>
      </c>
      <c r="L85" s="447">
        <v>0</v>
      </c>
      <c r="M85" s="448">
        <v>0</v>
      </c>
      <c r="N85" s="458">
        <v>0</v>
      </c>
      <c r="O85" s="447">
        <v>0</v>
      </c>
      <c r="P85" s="447">
        <v>0</v>
      </c>
      <c r="Q85" s="447">
        <v>0</v>
      </c>
      <c r="R85" s="447">
        <v>0</v>
      </c>
      <c r="S85" s="448">
        <v>0</v>
      </c>
      <c r="T85" s="458">
        <v>0</v>
      </c>
      <c r="U85" s="447">
        <v>0</v>
      </c>
      <c r="V85" s="447">
        <v>0</v>
      </c>
      <c r="W85" s="447">
        <v>0</v>
      </c>
      <c r="X85" s="447">
        <v>0</v>
      </c>
      <c r="Y85" s="458">
        <v>0</v>
      </c>
      <c r="Z85" s="449">
        <v>0</v>
      </c>
      <c r="AA85" s="447">
        <v>0</v>
      </c>
      <c r="AB85" s="447">
        <v>0</v>
      </c>
      <c r="AC85" s="447">
        <v>0</v>
      </c>
      <c r="AD85" s="448">
        <v>0</v>
      </c>
      <c r="AE85" s="458">
        <v>0</v>
      </c>
      <c r="AF85" s="447">
        <v>0</v>
      </c>
      <c r="AG85" s="447">
        <v>0</v>
      </c>
      <c r="AH85" s="447">
        <v>0</v>
      </c>
      <c r="AI85" s="447">
        <v>0</v>
      </c>
      <c r="AJ85" s="448">
        <v>0</v>
      </c>
      <c r="AK85" s="460">
        <v>0</v>
      </c>
      <c r="AL85" s="456">
        <v>0</v>
      </c>
      <c r="AM85" s="447">
        <v>0</v>
      </c>
      <c r="AN85" s="447">
        <v>0</v>
      </c>
      <c r="AO85" s="447">
        <v>0</v>
      </c>
      <c r="AP85" s="457">
        <v>0</v>
      </c>
      <c r="AQ85" s="459">
        <v>0</v>
      </c>
      <c r="AR85" s="447">
        <v>0</v>
      </c>
      <c r="AS85" s="447">
        <v>0</v>
      </c>
      <c r="AT85" s="447">
        <v>0</v>
      </c>
      <c r="AU85" s="447">
        <v>0</v>
      </c>
      <c r="AV85" s="447">
        <v>24</v>
      </c>
      <c r="AW85" s="458">
        <v>24</v>
      </c>
      <c r="AX85" s="447">
        <v>8</v>
      </c>
      <c r="AY85" s="447">
        <v>40</v>
      </c>
      <c r="AZ85" s="447">
        <v>40</v>
      </c>
      <c r="BA85" s="447">
        <v>40</v>
      </c>
      <c r="BB85" s="447">
        <v>40</v>
      </c>
      <c r="BC85" s="458">
        <v>168</v>
      </c>
      <c r="BD85" s="447">
        <v>40</v>
      </c>
      <c r="BE85" s="447">
        <v>0</v>
      </c>
      <c r="BF85" s="447">
        <v>0</v>
      </c>
      <c r="BG85" s="447">
        <v>0</v>
      </c>
      <c r="BH85" s="447">
        <v>0</v>
      </c>
      <c r="BI85" s="460">
        <v>40</v>
      </c>
      <c r="BJ85" s="462">
        <v>232</v>
      </c>
    </row>
    <row r="86" spans="2:62" x14ac:dyDescent="0.2">
      <c r="B86" s="451" t="s">
        <v>974</v>
      </c>
      <c r="C86" s="449">
        <v>0</v>
      </c>
      <c r="D86" s="447">
        <v>0</v>
      </c>
      <c r="E86" s="447">
        <v>0</v>
      </c>
      <c r="F86" s="447">
        <v>0</v>
      </c>
      <c r="G86" s="448">
        <v>0</v>
      </c>
      <c r="H86" s="458">
        <v>0</v>
      </c>
      <c r="I86" s="447">
        <v>0</v>
      </c>
      <c r="J86" s="447">
        <v>0</v>
      </c>
      <c r="K86" s="447">
        <v>0</v>
      </c>
      <c r="L86" s="447">
        <v>0</v>
      </c>
      <c r="M86" s="448">
        <v>0</v>
      </c>
      <c r="N86" s="458">
        <v>0</v>
      </c>
      <c r="O86" s="447">
        <v>0</v>
      </c>
      <c r="P86" s="447">
        <v>0</v>
      </c>
      <c r="Q86" s="447">
        <v>0</v>
      </c>
      <c r="R86" s="447">
        <v>0</v>
      </c>
      <c r="S86" s="448">
        <v>0</v>
      </c>
      <c r="T86" s="458">
        <v>0</v>
      </c>
      <c r="U86" s="447">
        <v>0</v>
      </c>
      <c r="V86" s="447">
        <v>0</v>
      </c>
      <c r="W86" s="447">
        <v>0</v>
      </c>
      <c r="X86" s="447">
        <v>0</v>
      </c>
      <c r="Y86" s="458">
        <v>0</v>
      </c>
      <c r="Z86" s="449">
        <v>0</v>
      </c>
      <c r="AA86" s="447">
        <v>0</v>
      </c>
      <c r="AB86" s="447">
        <v>0</v>
      </c>
      <c r="AC86" s="447">
        <v>0</v>
      </c>
      <c r="AD86" s="448">
        <v>0</v>
      </c>
      <c r="AE86" s="458">
        <v>0</v>
      </c>
      <c r="AF86" s="447">
        <v>0</v>
      </c>
      <c r="AG86" s="447">
        <v>0</v>
      </c>
      <c r="AH86" s="447">
        <v>0</v>
      </c>
      <c r="AI86" s="447">
        <v>0</v>
      </c>
      <c r="AJ86" s="448">
        <v>0</v>
      </c>
      <c r="AK86" s="460">
        <v>0</v>
      </c>
      <c r="AL86" s="456">
        <v>0</v>
      </c>
      <c r="AM86" s="447">
        <v>0</v>
      </c>
      <c r="AN86" s="447">
        <v>0</v>
      </c>
      <c r="AO86" s="447">
        <v>0</v>
      </c>
      <c r="AP86" s="457">
        <v>0</v>
      </c>
      <c r="AQ86" s="459">
        <v>0</v>
      </c>
      <c r="AR86" s="447">
        <v>0</v>
      </c>
      <c r="AS86" s="447">
        <v>0</v>
      </c>
      <c r="AT86" s="447">
        <v>0</v>
      </c>
      <c r="AU86" s="447">
        <v>0</v>
      </c>
      <c r="AV86" s="447">
        <v>0</v>
      </c>
      <c r="AW86" s="458">
        <v>0</v>
      </c>
      <c r="AX86" s="447">
        <v>0</v>
      </c>
      <c r="AY86" s="447">
        <v>0</v>
      </c>
      <c r="AZ86" s="447">
        <v>40</v>
      </c>
      <c r="BA86" s="447">
        <v>40</v>
      </c>
      <c r="BB86" s="447">
        <v>40</v>
      </c>
      <c r="BC86" s="458">
        <v>120</v>
      </c>
      <c r="BD86" s="447">
        <v>40</v>
      </c>
      <c r="BE86" s="447">
        <v>0</v>
      </c>
      <c r="BF86" s="447">
        <v>0</v>
      </c>
      <c r="BG86" s="447">
        <v>0</v>
      </c>
      <c r="BH86" s="447">
        <v>0</v>
      </c>
      <c r="BI86" s="460">
        <v>40</v>
      </c>
      <c r="BJ86" s="462">
        <v>160</v>
      </c>
    </row>
    <row r="87" spans="2:62" x14ac:dyDescent="0.2">
      <c r="B87" s="451" t="s">
        <v>972</v>
      </c>
      <c r="C87" s="449">
        <v>0</v>
      </c>
      <c r="D87" s="447">
        <v>0</v>
      </c>
      <c r="E87" s="447">
        <v>0</v>
      </c>
      <c r="F87" s="447">
        <v>0</v>
      </c>
      <c r="G87" s="448">
        <v>0</v>
      </c>
      <c r="H87" s="458">
        <v>0</v>
      </c>
      <c r="I87" s="447">
        <v>0</v>
      </c>
      <c r="J87" s="447">
        <v>0</v>
      </c>
      <c r="K87" s="447">
        <v>0</v>
      </c>
      <c r="L87" s="447">
        <v>0</v>
      </c>
      <c r="M87" s="448">
        <v>0</v>
      </c>
      <c r="N87" s="458">
        <v>0</v>
      </c>
      <c r="O87" s="447">
        <v>0</v>
      </c>
      <c r="P87" s="447">
        <v>0</v>
      </c>
      <c r="Q87" s="447">
        <v>0</v>
      </c>
      <c r="R87" s="447">
        <v>0</v>
      </c>
      <c r="S87" s="448">
        <v>0</v>
      </c>
      <c r="T87" s="458">
        <v>0</v>
      </c>
      <c r="U87" s="447">
        <v>0</v>
      </c>
      <c r="V87" s="447">
        <v>0</v>
      </c>
      <c r="W87" s="447">
        <v>0</v>
      </c>
      <c r="X87" s="447">
        <v>0</v>
      </c>
      <c r="Y87" s="458">
        <v>0</v>
      </c>
      <c r="Z87" s="449">
        <v>0</v>
      </c>
      <c r="AA87" s="447">
        <v>0</v>
      </c>
      <c r="AB87" s="447">
        <v>0</v>
      </c>
      <c r="AC87" s="447">
        <v>0</v>
      </c>
      <c r="AD87" s="448">
        <v>0</v>
      </c>
      <c r="AE87" s="458">
        <v>0</v>
      </c>
      <c r="AF87" s="447">
        <v>0</v>
      </c>
      <c r="AG87" s="447">
        <v>0</v>
      </c>
      <c r="AH87" s="447">
        <v>0</v>
      </c>
      <c r="AI87" s="447">
        <v>0</v>
      </c>
      <c r="AJ87" s="448">
        <v>0</v>
      </c>
      <c r="AK87" s="460">
        <v>0</v>
      </c>
      <c r="AL87" s="456">
        <v>0</v>
      </c>
      <c r="AM87" s="447">
        <v>0</v>
      </c>
      <c r="AN87" s="447">
        <v>0</v>
      </c>
      <c r="AO87" s="447">
        <v>0</v>
      </c>
      <c r="AP87" s="457">
        <v>0</v>
      </c>
      <c r="AQ87" s="459">
        <v>0</v>
      </c>
      <c r="AR87" s="447">
        <v>0</v>
      </c>
      <c r="AS87" s="447">
        <v>0</v>
      </c>
      <c r="AT87" s="447">
        <v>0</v>
      </c>
      <c r="AU87" s="447">
        <v>0</v>
      </c>
      <c r="AV87" s="447">
        <v>0</v>
      </c>
      <c r="AW87" s="458">
        <v>0</v>
      </c>
      <c r="AX87" s="447">
        <v>0</v>
      </c>
      <c r="AY87" s="447">
        <v>0</v>
      </c>
      <c r="AZ87" s="447">
        <v>0</v>
      </c>
      <c r="BA87" s="447">
        <v>0</v>
      </c>
      <c r="BB87" s="447">
        <v>40</v>
      </c>
      <c r="BC87" s="458">
        <v>40</v>
      </c>
      <c r="BD87" s="447">
        <v>40</v>
      </c>
      <c r="BE87" s="447">
        <v>0</v>
      </c>
      <c r="BF87" s="447">
        <v>0</v>
      </c>
      <c r="BG87" s="447">
        <v>0</v>
      </c>
      <c r="BH87" s="447">
        <v>0</v>
      </c>
      <c r="BI87" s="460">
        <v>40</v>
      </c>
      <c r="BJ87" s="462">
        <v>80</v>
      </c>
    </row>
    <row r="88" spans="2:62" x14ac:dyDescent="0.2">
      <c r="B88" s="451" t="s">
        <v>980</v>
      </c>
      <c r="C88" s="449">
        <v>0</v>
      </c>
      <c r="D88" s="447">
        <v>0</v>
      </c>
      <c r="E88" s="447">
        <v>0</v>
      </c>
      <c r="F88" s="447">
        <v>0</v>
      </c>
      <c r="G88" s="448">
        <v>0</v>
      </c>
      <c r="H88" s="458">
        <v>0</v>
      </c>
      <c r="I88" s="447">
        <v>0</v>
      </c>
      <c r="J88" s="447">
        <v>0</v>
      </c>
      <c r="K88" s="447">
        <v>0</v>
      </c>
      <c r="L88" s="447">
        <v>0</v>
      </c>
      <c r="M88" s="448">
        <v>0</v>
      </c>
      <c r="N88" s="458">
        <v>0</v>
      </c>
      <c r="O88" s="447">
        <v>0</v>
      </c>
      <c r="P88" s="447">
        <v>0</v>
      </c>
      <c r="Q88" s="447">
        <v>0</v>
      </c>
      <c r="R88" s="447">
        <v>0</v>
      </c>
      <c r="S88" s="448">
        <v>0</v>
      </c>
      <c r="T88" s="458">
        <v>0</v>
      </c>
      <c r="U88" s="447">
        <v>0</v>
      </c>
      <c r="V88" s="447">
        <v>0</v>
      </c>
      <c r="W88" s="447">
        <v>0</v>
      </c>
      <c r="X88" s="447">
        <v>0</v>
      </c>
      <c r="Y88" s="458">
        <v>0</v>
      </c>
      <c r="Z88" s="449">
        <v>0</v>
      </c>
      <c r="AA88" s="447">
        <v>0</v>
      </c>
      <c r="AB88" s="447">
        <v>0</v>
      </c>
      <c r="AC88" s="447">
        <v>0</v>
      </c>
      <c r="AD88" s="448">
        <v>0</v>
      </c>
      <c r="AE88" s="458">
        <v>0</v>
      </c>
      <c r="AF88" s="447">
        <v>0</v>
      </c>
      <c r="AG88" s="447">
        <v>0</v>
      </c>
      <c r="AH88" s="447">
        <v>0</v>
      </c>
      <c r="AI88" s="447">
        <v>0</v>
      </c>
      <c r="AJ88" s="448">
        <v>0</v>
      </c>
      <c r="AK88" s="460">
        <v>0</v>
      </c>
      <c r="AL88" s="456">
        <v>0</v>
      </c>
      <c r="AM88" s="447">
        <v>0</v>
      </c>
      <c r="AN88" s="447">
        <v>0</v>
      </c>
      <c r="AO88" s="447">
        <v>0</v>
      </c>
      <c r="AP88" s="457">
        <v>0</v>
      </c>
      <c r="AQ88" s="459">
        <v>0</v>
      </c>
      <c r="AR88" s="447">
        <v>0</v>
      </c>
      <c r="AS88" s="447">
        <v>0</v>
      </c>
      <c r="AT88" s="447">
        <v>0</v>
      </c>
      <c r="AU88" s="447">
        <v>0</v>
      </c>
      <c r="AV88" s="447">
        <v>0</v>
      </c>
      <c r="AW88" s="458">
        <v>0</v>
      </c>
      <c r="AX88" s="447">
        <v>0</v>
      </c>
      <c r="AY88" s="447">
        <v>0</v>
      </c>
      <c r="AZ88" s="447">
        <v>0</v>
      </c>
      <c r="BA88" s="447">
        <v>0</v>
      </c>
      <c r="BB88" s="447">
        <v>24</v>
      </c>
      <c r="BC88" s="458">
        <v>24</v>
      </c>
      <c r="BD88" s="447">
        <v>40</v>
      </c>
      <c r="BE88" s="447">
        <v>0</v>
      </c>
      <c r="BF88" s="447">
        <v>0</v>
      </c>
      <c r="BG88" s="447">
        <v>0</v>
      </c>
      <c r="BH88" s="447">
        <v>0</v>
      </c>
      <c r="BI88" s="460">
        <v>40</v>
      </c>
      <c r="BJ88" s="462">
        <v>64</v>
      </c>
    </row>
    <row r="89" spans="2:62" ht="13.5" thickBot="1" x14ac:dyDescent="0.25">
      <c r="B89" s="452" t="s">
        <v>985</v>
      </c>
      <c r="C89" s="449">
        <v>0</v>
      </c>
      <c r="D89" s="447">
        <v>0</v>
      </c>
      <c r="E89" s="447">
        <v>0</v>
      </c>
      <c r="F89" s="447">
        <v>0</v>
      </c>
      <c r="G89" s="448">
        <v>0</v>
      </c>
      <c r="H89" s="458">
        <v>0</v>
      </c>
      <c r="I89" s="447">
        <v>0</v>
      </c>
      <c r="J89" s="447">
        <v>0</v>
      </c>
      <c r="K89" s="447">
        <v>0</v>
      </c>
      <c r="L89" s="447">
        <v>0</v>
      </c>
      <c r="M89" s="448">
        <v>0</v>
      </c>
      <c r="N89" s="458">
        <v>0</v>
      </c>
      <c r="O89" s="447">
        <v>0</v>
      </c>
      <c r="P89" s="447">
        <v>0</v>
      </c>
      <c r="Q89" s="447">
        <v>0</v>
      </c>
      <c r="R89" s="447">
        <v>0</v>
      </c>
      <c r="S89" s="448">
        <v>0</v>
      </c>
      <c r="T89" s="458">
        <v>0</v>
      </c>
      <c r="U89" s="447">
        <v>0</v>
      </c>
      <c r="V89" s="447">
        <v>0</v>
      </c>
      <c r="W89" s="447">
        <v>0</v>
      </c>
      <c r="X89" s="447">
        <v>0</v>
      </c>
      <c r="Y89" s="458">
        <v>0</v>
      </c>
      <c r="Z89" s="453">
        <v>0</v>
      </c>
      <c r="AA89" s="454">
        <v>0</v>
      </c>
      <c r="AB89" s="454">
        <v>0</v>
      </c>
      <c r="AC89" s="454">
        <v>0</v>
      </c>
      <c r="AD89" s="455">
        <v>0</v>
      </c>
      <c r="AE89" s="458">
        <v>0</v>
      </c>
      <c r="AF89" s="447">
        <v>0</v>
      </c>
      <c r="AG89" s="447">
        <v>0</v>
      </c>
      <c r="AH89" s="447">
        <v>0</v>
      </c>
      <c r="AI89" s="447">
        <v>0</v>
      </c>
      <c r="AJ89" s="448">
        <v>0</v>
      </c>
      <c r="AK89" s="456">
        <v>0</v>
      </c>
      <c r="AL89" s="456">
        <v>0</v>
      </c>
      <c r="AM89" s="447">
        <v>0</v>
      </c>
      <c r="AN89" s="447">
        <v>0</v>
      </c>
      <c r="AO89" s="447">
        <v>0</v>
      </c>
      <c r="AP89" s="457">
        <v>0</v>
      </c>
      <c r="AQ89" s="457">
        <v>0</v>
      </c>
      <c r="AR89" s="447">
        <v>0</v>
      </c>
      <c r="AS89" s="447">
        <v>0</v>
      </c>
      <c r="AT89" s="447">
        <v>0</v>
      </c>
      <c r="AU89" s="447">
        <v>0</v>
      </c>
      <c r="AV89" s="447">
        <v>0</v>
      </c>
      <c r="AW89" s="458">
        <v>0</v>
      </c>
      <c r="AX89" s="447">
        <v>0</v>
      </c>
      <c r="AY89" s="447">
        <v>0</v>
      </c>
      <c r="AZ89" s="447">
        <v>0</v>
      </c>
      <c r="BA89" s="447">
        <v>0</v>
      </c>
      <c r="BB89" s="447">
        <v>0</v>
      </c>
      <c r="BC89" s="458">
        <v>0</v>
      </c>
      <c r="BD89" s="447">
        <v>40</v>
      </c>
      <c r="BE89" s="447">
        <v>0</v>
      </c>
      <c r="BF89" s="447">
        <v>0</v>
      </c>
      <c r="BG89" s="447">
        <v>0</v>
      </c>
      <c r="BH89" s="447">
        <v>0</v>
      </c>
      <c r="BI89" s="460">
        <v>40</v>
      </c>
      <c r="BJ89" s="463">
        <v>40</v>
      </c>
    </row>
    <row r="90" spans="2:62" ht="13.5" thickBot="1" x14ac:dyDescent="0.25">
      <c r="B90" s="58" t="s">
        <v>153</v>
      </c>
      <c r="C90" s="53">
        <v>1816</v>
      </c>
      <c r="D90" s="51">
        <v>1850</v>
      </c>
      <c r="E90" s="51">
        <v>1880</v>
      </c>
      <c r="F90" s="51">
        <v>1880</v>
      </c>
      <c r="G90" s="52">
        <v>752</v>
      </c>
      <c r="H90" s="209">
        <v>8178</v>
      </c>
      <c r="I90" s="51">
        <v>1128</v>
      </c>
      <c r="J90" s="51">
        <v>1880</v>
      </c>
      <c r="K90" s="51">
        <v>1864</v>
      </c>
      <c r="L90" s="51">
        <v>1840</v>
      </c>
      <c r="M90" s="52">
        <v>736</v>
      </c>
      <c r="N90" s="208">
        <v>7448</v>
      </c>
      <c r="O90" s="51">
        <v>1104</v>
      </c>
      <c r="P90" s="51">
        <v>1840</v>
      </c>
      <c r="Q90" s="51">
        <v>1784</v>
      </c>
      <c r="R90" s="51">
        <v>1792</v>
      </c>
      <c r="S90" s="52">
        <v>1840</v>
      </c>
      <c r="T90" s="208">
        <v>8360</v>
      </c>
      <c r="U90" s="51">
        <v>1784</v>
      </c>
      <c r="V90" s="51">
        <v>1096</v>
      </c>
      <c r="W90" s="51">
        <v>1800</v>
      </c>
      <c r="X90" s="51">
        <v>1840</v>
      </c>
      <c r="Y90" s="208">
        <v>6520</v>
      </c>
      <c r="Z90" s="53">
        <v>1472</v>
      </c>
      <c r="AA90" s="51">
        <v>1858.5</v>
      </c>
      <c r="AB90" s="51">
        <v>1904</v>
      </c>
      <c r="AC90" s="51">
        <v>1920</v>
      </c>
      <c r="AD90" s="51">
        <v>1144</v>
      </c>
      <c r="AE90" s="208">
        <v>8298.5</v>
      </c>
      <c r="AF90" s="51">
        <v>752</v>
      </c>
      <c r="AG90" s="51">
        <v>1856</v>
      </c>
      <c r="AH90" s="51">
        <v>1920</v>
      </c>
      <c r="AI90" s="51">
        <v>1848</v>
      </c>
      <c r="AJ90" s="52">
        <v>1440</v>
      </c>
      <c r="AK90" s="166">
        <v>7816</v>
      </c>
      <c r="AL90" s="166">
        <v>1688</v>
      </c>
      <c r="AM90" s="167">
        <v>1680</v>
      </c>
      <c r="AN90" s="167">
        <v>1640</v>
      </c>
      <c r="AO90" s="167">
        <v>1344</v>
      </c>
      <c r="AP90" s="168">
        <v>336</v>
      </c>
      <c r="AQ90" s="255">
        <v>6688</v>
      </c>
      <c r="AR90" s="51">
        <v>1328</v>
      </c>
      <c r="AS90" s="51">
        <v>1704</v>
      </c>
      <c r="AT90" s="51">
        <v>1784</v>
      </c>
      <c r="AU90" s="51">
        <v>1792</v>
      </c>
      <c r="AV90" s="51">
        <v>1056</v>
      </c>
      <c r="AW90" s="464">
        <v>7664</v>
      </c>
      <c r="AX90" s="51">
        <v>352</v>
      </c>
      <c r="AY90" s="51">
        <v>1760</v>
      </c>
      <c r="AZ90" s="51">
        <v>1760</v>
      </c>
      <c r="BA90" s="51">
        <v>1720</v>
      </c>
      <c r="BB90" s="51">
        <v>1784</v>
      </c>
      <c r="BC90" s="464">
        <v>7376</v>
      </c>
      <c r="BD90" s="51">
        <v>1720</v>
      </c>
      <c r="BE90" s="51">
        <v>0</v>
      </c>
      <c r="BF90" s="51">
        <v>0</v>
      </c>
      <c r="BG90" s="51">
        <v>0</v>
      </c>
      <c r="BH90" s="51">
        <v>0</v>
      </c>
      <c r="BI90" s="641">
        <v>1720</v>
      </c>
      <c r="BJ90" s="254">
        <v>70041.5</v>
      </c>
    </row>
    <row r="91" spans="2:62" ht="15" x14ac:dyDescent="0.2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2:62" ht="15" x14ac:dyDescent="0.2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2:62" ht="15" x14ac:dyDescent="0.2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2:62" ht="15" x14ac:dyDescent="0.2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2:62" ht="15" x14ac:dyDescent="0.2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2:62" ht="15" x14ac:dyDescent="0.2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2:16" ht="15" x14ac:dyDescent="0.2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2:16" ht="15" x14ac:dyDescent="0.2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2:16" ht="15" x14ac:dyDescent="0.2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2:16" ht="15" x14ac:dyDescent="0.2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2:16" ht="15" x14ac:dyDescent="0.2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2:16" ht="15" x14ac:dyDescent="0.2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2:16" ht="15" x14ac:dyDescent="0.2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2:16" ht="15" x14ac:dyDescent="0.2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  <row r="105" spans="2:16" ht="15" x14ac:dyDescent="0.2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</row>
    <row r="106" spans="2:16" ht="15" x14ac:dyDescent="0.2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</row>
    <row r="107" spans="2:16" ht="15" x14ac:dyDescent="0.2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</row>
    <row r="108" spans="2:16" ht="15" x14ac:dyDescent="0.2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</row>
    <row r="109" spans="2:16" ht="15" x14ac:dyDescent="0.2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</row>
    <row r="110" spans="2:16" ht="15" x14ac:dyDescent="0.2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</row>
    <row r="111" spans="2:16" ht="15" x14ac:dyDescent="0.2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</row>
    <row r="112" spans="2:16" ht="15" x14ac:dyDescent="0.2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</row>
    <row r="113" spans="2:16" ht="15" x14ac:dyDescent="0.2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</row>
  </sheetData>
  <mergeCells count="1">
    <mergeCell ref="R3:S3"/>
  </mergeCells>
  <hyperlinks>
    <hyperlink ref="R1" location="Distribucion_horas!A1" display="Volver a General"/>
    <hyperlink ref="R3:S3" location="'Rentabilidad x Proy'!A1" display="Ir a Rentabilidad x Proyecto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FFFF00"/>
  </sheetPr>
  <dimension ref="A1:AH230"/>
  <sheetViews>
    <sheetView topLeftCell="A7" workbookViewId="0">
      <selection activeCell="C32" sqref="C32"/>
    </sheetView>
  </sheetViews>
  <sheetFormatPr baseColWidth="10" defaultRowHeight="15" x14ac:dyDescent="0.25"/>
  <cols>
    <col min="2" max="2" width="13.42578125" bestFit="1" customWidth="1"/>
    <col min="3" max="3" width="25.140625" bestFit="1" customWidth="1"/>
    <col min="5" max="5" width="13.42578125" bestFit="1" customWidth="1"/>
    <col min="6" max="6" width="27.85546875" bestFit="1" customWidth="1"/>
    <col min="7" max="7" width="15.7109375" bestFit="1" customWidth="1"/>
    <col min="8" max="8" width="13.42578125" bestFit="1" customWidth="1"/>
    <col min="9" max="9" width="18.5703125" bestFit="1" customWidth="1"/>
    <col min="11" max="11" width="13.42578125" bestFit="1" customWidth="1"/>
    <col min="12" max="12" width="31.7109375" bestFit="1" customWidth="1"/>
  </cols>
  <sheetData>
    <row r="1" spans="1:34" ht="15.75" thickBot="1" x14ac:dyDescent="0.3">
      <c r="A1" s="637" t="s">
        <v>314</v>
      </c>
      <c r="B1" s="638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  <c r="AD1" s="121"/>
      <c r="AE1" s="121"/>
      <c r="AF1" s="121"/>
      <c r="AG1" s="121"/>
      <c r="AH1" s="121"/>
    </row>
    <row r="2" spans="1:34" ht="15.75" thickBot="1" x14ac:dyDescent="0.3">
      <c r="A2" s="121"/>
      <c r="B2" s="133" t="s">
        <v>72</v>
      </c>
      <c r="C2" s="154" t="s">
        <v>308</v>
      </c>
      <c r="D2" s="121"/>
      <c r="E2" s="137" t="s">
        <v>72</v>
      </c>
      <c r="F2" s="153" t="s">
        <v>317</v>
      </c>
      <c r="G2" s="121"/>
      <c r="H2" s="139" t="s">
        <v>72</v>
      </c>
      <c r="I2" s="156" t="s">
        <v>327</v>
      </c>
      <c r="J2" s="121"/>
      <c r="K2" s="147" t="s">
        <v>72</v>
      </c>
      <c r="L2" s="157" t="s">
        <v>335</v>
      </c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</row>
    <row r="3" spans="1:34" ht="15.75" thickBot="1" x14ac:dyDescent="0.3">
      <c r="A3" s="121"/>
      <c r="B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</row>
    <row r="4" spans="1:34" x14ac:dyDescent="0.25">
      <c r="A4" s="121"/>
      <c r="B4" s="127" t="s">
        <v>152</v>
      </c>
      <c r="C4" s="142" t="s">
        <v>80</v>
      </c>
      <c r="D4" s="121"/>
      <c r="E4" s="498" t="s">
        <v>152</v>
      </c>
      <c r="F4" s="499" t="s">
        <v>318</v>
      </c>
      <c r="G4" s="121"/>
      <c r="H4" s="127" t="s">
        <v>152</v>
      </c>
      <c r="I4" s="122" t="s">
        <v>96</v>
      </c>
      <c r="J4" s="121"/>
      <c r="K4" s="150" t="s">
        <v>152</v>
      </c>
      <c r="L4" s="152" t="s">
        <v>44</v>
      </c>
      <c r="M4" s="121"/>
      <c r="N4" s="121"/>
      <c r="O4" s="121"/>
      <c r="P4" s="121"/>
      <c r="Q4" s="121"/>
      <c r="R4" s="121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</row>
    <row r="5" spans="1:34" ht="15.75" thickBot="1" x14ac:dyDescent="0.3">
      <c r="A5" s="121"/>
      <c r="B5" s="128" t="s">
        <v>309</v>
      </c>
      <c r="C5" s="124" t="s">
        <v>310</v>
      </c>
      <c r="D5" s="121"/>
      <c r="E5" s="490" t="s">
        <v>309</v>
      </c>
      <c r="F5" s="148" t="s">
        <v>319</v>
      </c>
      <c r="G5" s="121"/>
      <c r="H5" s="128" t="s">
        <v>309</v>
      </c>
      <c r="I5" s="124" t="s">
        <v>328</v>
      </c>
      <c r="J5" s="121"/>
      <c r="K5" s="151" t="s">
        <v>309</v>
      </c>
      <c r="L5" s="148" t="s">
        <v>337</v>
      </c>
      <c r="M5" s="121" t="s">
        <v>984</v>
      </c>
      <c r="N5" s="121"/>
      <c r="O5" s="121"/>
      <c r="P5" s="121"/>
      <c r="Q5" s="121"/>
      <c r="R5" s="121"/>
      <c r="S5" s="121"/>
      <c r="T5" s="121"/>
      <c r="U5" s="121"/>
      <c r="V5" s="121"/>
      <c r="W5" s="121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</row>
    <row r="6" spans="1:34" x14ac:dyDescent="0.25">
      <c r="A6" s="121"/>
      <c r="B6" s="123"/>
      <c r="C6" s="124"/>
      <c r="D6" s="121"/>
      <c r="E6" s="491"/>
      <c r="F6" s="148" t="s">
        <v>320</v>
      </c>
      <c r="G6" s="121"/>
      <c r="H6" s="128"/>
      <c r="I6" s="124"/>
      <c r="J6" s="121"/>
      <c r="K6" s="131"/>
      <c r="L6" s="148" t="s">
        <v>338</v>
      </c>
      <c r="M6" s="121" t="s">
        <v>984</v>
      </c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</row>
    <row r="7" spans="1:34" ht="15.75" thickBot="1" x14ac:dyDescent="0.3">
      <c r="A7" s="121"/>
      <c r="B7" s="128" t="s">
        <v>152</v>
      </c>
      <c r="C7" s="160" t="s">
        <v>82</v>
      </c>
      <c r="D7" s="121"/>
      <c r="E7" s="492"/>
      <c r="F7" s="148" t="s">
        <v>321</v>
      </c>
      <c r="G7" s="121"/>
      <c r="H7" s="128" t="s">
        <v>152</v>
      </c>
      <c r="I7" s="124" t="s">
        <v>89</v>
      </c>
      <c r="J7" s="121"/>
      <c r="K7" s="131"/>
      <c r="L7" s="148" t="s">
        <v>339</v>
      </c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</row>
    <row r="8" spans="1:34" x14ac:dyDescent="0.25">
      <c r="A8" s="121"/>
      <c r="B8" s="128" t="s">
        <v>309</v>
      </c>
      <c r="C8" s="124" t="s">
        <v>311</v>
      </c>
      <c r="D8" s="121"/>
      <c r="E8" s="121"/>
      <c r="F8" s="148" t="s">
        <v>325</v>
      </c>
      <c r="G8" s="121"/>
      <c r="H8" s="128" t="s">
        <v>309</v>
      </c>
      <c r="I8" s="124" t="s">
        <v>328</v>
      </c>
      <c r="J8" s="121"/>
      <c r="K8" s="131"/>
      <c r="L8" s="148" t="s">
        <v>340</v>
      </c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/>
      <c r="Y8" s="121"/>
      <c r="Z8" s="121"/>
      <c r="AA8" s="121"/>
      <c r="AB8" s="121"/>
      <c r="AC8" s="121"/>
      <c r="AD8" s="121"/>
      <c r="AE8" s="121"/>
      <c r="AF8" s="121"/>
      <c r="AG8" s="121"/>
      <c r="AH8" s="121"/>
    </row>
    <row r="9" spans="1:34" s="247" customFormat="1" x14ac:dyDescent="0.25">
      <c r="A9" s="121"/>
      <c r="B9" s="123"/>
      <c r="C9" s="124" t="s">
        <v>641</v>
      </c>
      <c r="D9" s="121"/>
      <c r="E9" s="121"/>
      <c r="F9" s="148" t="s">
        <v>880</v>
      </c>
      <c r="G9" s="121"/>
      <c r="H9" s="128" t="s">
        <v>152</v>
      </c>
      <c r="I9" s="124" t="s">
        <v>329</v>
      </c>
      <c r="J9" s="121"/>
      <c r="K9" s="131"/>
      <c r="L9" s="148" t="s">
        <v>341</v>
      </c>
      <c r="M9" s="121"/>
      <c r="N9" s="121"/>
      <c r="O9" s="121"/>
      <c r="P9" s="121"/>
      <c r="Q9" s="121"/>
      <c r="R9" s="121"/>
      <c r="S9" s="121"/>
      <c r="T9" s="121"/>
      <c r="U9" s="121"/>
      <c r="V9" s="121"/>
      <c r="W9" s="121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</row>
    <row r="10" spans="1:34" s="247" customFormat="1" x14ac:dyDescent="0.25">
      <c r="A10" s="121"/>
      <c r="B10" s="128" t="s">
        <v>152</v>
      </c>
      <c r="C10" s="160" t="s">
        <v>84</v>
      </c>
      <c r="D10" s="121"/>
      <c r="E10" s="121"/>
      <c r="F10" s="504" t="s">
        <v>957</v>
      </c>
      <c r="G10" s="121"/>
      <c r="H10" s="128" t="s">
        <v>309</v>
      </c>
      <c r="I10" s="124" t="s">
        <v>328</v>
      </c>
      <c r="J10" s="121"/>
      <c r="K10" s="131"/>
      <c r="L10" s="148" t="s">
        <v>342</v>
      </c>
      <c r="M10" s="121"/>
      <c r="N10" s="121"/>
      <c r="O10" s="121"/>
      <c r="P10" s="121"/>
      <c r="Q10" s="121"/>
      <c r="R10" s="121"/>
      <c r="S10" s="121"/>
      <c r="T10" s="121"/>
      <c r="U10" s="121"/>
      <c r="V10" s="121"/>
      <c r="W10" s="121"/>
      <c r="X10" s="121"/>
      <c r="Y10" s="121"/>
      <c r="Z10" s="121"/>
      <c r="AA10" s="121"/>
      <c r="AB10" s="121"/>
      <c r="AC10" s="121"/>
      <c r="AD10" s="121"/>
      <c r="AE10" s="121"/>
      <c r="AF10" s="121"/>
      <c r="AG10" s="121"/>
      <c r="AH10" s="121"/>
    </row>
    <row r="11" spans="1:34" s="247" customFormat="1" x14ac:dyDescent="0.25">
      <c r="A11" s="121"/>
      <c r="B11" s="128" t="s">
        <v>309</v>
      </c>
      <c r="C11" s="124" t="s">
        <v>312</v>
      </c>
      <c r="D11" s="121"/>
      <c r="E11" s="121"/>
      <c r="F11" s="515" t="s">
        <v>961</v>
      </c>
      <c r="G11" s="121"/>
      <c r="H11" s="123"/>
      <c r="I11" s="124"/>
      <c r="J11" s="121"/>
      <c r="K11" s="131"/>
      <c r="L11" s="148" t="s">
        <v>343</v>
      </c>
      <c r="M11" s="121"/>
      <c r="N11" s="121"/>
      <c r="O11" s="121"/>
      <c r="P11" s="121"/>
      <c r="Q11" s="121"/>
      <c r="R11" s="121"/>
      <c r="S11" s="121"/>
      <c r="T11" s="121"/>
      <c r="U11" s="121"/>
      <c r="V11" s="121"/>
      <c r="W11" s="121"/>
      <c r="X11" s="121"/>
      <c r="Y11" s="121"/>
      <c r="Z11" s="121"/>
      <c r="AA11" s="121"/>
      <c r="AB11" s="121"/>
      <c r="AC11" s="121"/>
      <c r="AD11" s="121"/>
      <c r="AE11" s="121"/>
      <c r="AF11" s="121"/>
      <c r="AG11" s="121"/>
      <c r="AH11" s="121"/>
    </row>
    <row r="12" spans="1:34" ht="15.75" thickBot="1" x14ac:dyDescent="0.3">
      <c r="A12" s="121"/>
      <c r="B12" s="123"/>
      <c r="C12" s="124"/>
      <c r="D12" s="121"/>
      <c r="E12" s="121"/>
      <c r="F12" s="149" t="s">
        <v>958</v>
      </c>
      <c r="G12" s="121"/>
      <c r="H12" s="128" t="s">
        <v>152</v>
      </c>
      <c r="I12" s="124" t="s">
        <v>330</v>
      </c>
      <c r="J12" s="121"/>
      <c r="K12" s="131"/>
      <c r="L12" s="148" t="s">
        <v>344</v>
      </c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</row>
    <row r="13" spans="1:34" s="247" customFormat="1" ht="15.75" thickBot="1" x14ac:dyDescent="0.3">
      <c r="A13" s="121"/>
      <c r="B13" s="123"/>
      <c r="C13" s="124"/>
      <c r="D13" s="121"/>
      <c r="E13" s="121"/>
      <c r="F13" s="516"/>
      <c r="G13" s="121"/>
      <c r="H13" s="158"/>
      <c r="I13" s="363"/>
      <c r="J13" s="121"/>
      <c r="K13" s="131"/>
      <c r="L13" s="148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</row>
    <row r="14" spans="1:34" ht="15.75" thickBot="1" x14ac:dyDescent="0.3">
      <c r="A14" s="121"/>
      <c r="B14" s="128" t="s">
        <v>152</v>
      </c>
      <c r="C14" s="160" t="s">
        <v>86</v>
      </c>
      <c r="D14" s="121"/>
      <c r="E14" s="138" t="s">
        <v>72</v>
      </c>
      <c r="F14" s="364" t="s">
        <v>322</v>
      </c>
      <c r="G14" s="121"/>
      <c r="H14" s="136" t="s">
        <v>309</v>
      </c>
      <c r="I14" s="126" t="s">
        <v>331</v>
      </c>
      <c r="J14" s="121"/>
      <c r="K14" s="131"/>
      <c r="L14" s="148" t="s">
        <v>345</v>
      </c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</row>
    <row r="15" spans="1:34" ht="15.75" thickBot="1" x14ac:dyDescent="0.3">
      <c r="A15" s="121"/>
      <c r="B15" s="128" t="s">
        <v>309</v>
      </c>
      <c r="C15" s="502" t="s">
        <v>950</v>
      </c>
      <c r="D15" s="121"/>
      <c r="E15" s="121"/>
      <c r="F15" s="121"/>
      <c r="G15" s="121"/>
      <c r="H15" s="132"/>
      <c r="I15" s="131"/>
      <c r="J15" s="121"/>
      <c r="K15" s="131"/>
      <c r="L15" s="148" t="s">
        <v>346</v>
      </c>
      <c r="M15" s="121"/>
      <c r="N15" s="121"/>
      <c r="O15" s="121"/>
      <c r="P15" s="121"/>
      <c r="Q15" s="121"/>
      <c r="R15" s="121"/>
      <c r="S15" s="121"/>
      <c r="T15" s="121"/>
      <c r="U15" s="121"/>
      <c r="V15" s="121"/>
      <c r="W15" s="121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</row>
    <row r="16" spans="1:34" ht="15.75" thickBot="1" x14ac:dyDescent="0.3">
      <c r="A16" s="121"/>
      <c r="B16" s="158"/>
      <c r="C16" s="126" t="s">
        <v>363</v>
      </c>
      <c r="D16" s="121"/>
      <c r="E16" s="127" t="s">
        <v>152</v>
      </c>
      <c r="F16" s="122" t="s">
        <v>48</v>
      </c>
      <c r="G16" s="121"/>
      <c r="H16" s="121"/>
      <c r="I16" s="121"/>
      <c r="J16" s="121"/>
      <c r="K16" s="131"/>
      <c r="L16" s="148" t="s">
        <v>347</v>
      </c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</row>
    <row r="17" spans="1:34" x14ac:dyDescent="0.25">
      <c r="A17" s="121"/>
      <c r="B17" s="500"/>
      <c r="C17" s="363" t="s">
        <v>313</v>
      </c>
      <c r="D17" s="121"/>
      <c r="E17" s="123"/>
      <c r="F17" s="124"/>
      <c r="G17" s="121"/>
      <c r="H17" s="121"/>
      <c r="I17" s="121"/>
      <c r="J17" s="121"/>
      <c r="K17" s="131"/>
      <c r="L17" s="148" t="s">
        <v>348</v>
      </c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ht="15.75" thickBot="1" x14ac:dyDescent="0.3">
      <c r="A18" s="121"/>
      <c r="B18" s="128" t="s">
        <v>959</v>
      </c>
      <c r="C18" s="501" t="s">
        <v>50</v>
      </c>
      <c r="D18" s="121"/>
      <c r="E18" s="128" t="s">
        <v>152</v>
      </c>
      <c r="F18" s="124" t="s">
        <v>45</v>
      </c>
      <c r="G18" s="121"/>
      <c r="H18" s="121"/>
      <c r="I18" s="121"/>
      <c r="J18" s="121"/>
      <c r="K18" s="131"/>
      <c r="L18" s="148" t="s">
        <v>349</v>
      </c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ht="15.75" thickBot="1" x14ac:dyDescent="0.3">
      <c r="A19" s="121"/>
      <c r="B19" s="136" t="s">
        <v>953</v>
      </c>
      <c r="C19" s="126" t="s">
        <v>960</v>
      </c>
      <c r="D19" s="121"/>
      <c r="E19" s="128" t="s">
        <v>309</v>
      </c>
      <c r="F19" s="503" t="s">
        <v>948</v>
      </c>
      <c r="G19" s="121"/>
      <c r="H19" s="145" t="s">
        <v>72</v>
      </c>
      <c r="I19" s="146" t="s">
        <v>332</v>
      </c>
      <c r="J19" s="121"/>
      <c r="K19" s="131"/>
      <c r="L19" s="148" t="s">
        <v>350</v>
      </c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ht="15.75" thickBot="1" x14ac:dyDescent="0.3">
      <c r="A20" s="121"/>
      <c r="B20" s="121"/>
      <c r="C20" s="121"/>
      <c r="D20" s="121"/>
      <c r="E20" s="125"/>
      <c r="F20" s="502" t="s">
        <v>949</v>
      </c>
      <c r="G20" s="121"/>
      <c r="H20" s="121"/>
      <c r="I20" s="121"/>
      <c r="J20" s="121"/>
      <c r="K20" s="131"/>
      <c r="L20" s="148" t="s">
        <v>351</v>
      </c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ht="15.75" thickBot="1" x14ac:dyDescent="0.3">
      <c r="A21" s="121"/>
      <c r="B21" s="134" t="s">
        <v>72</v>
      </c>
      <c r="C21" s="155" t="s">
        <v>315</v>
      </c>
      <c r="D21" s="121"/>
      <c r="G21" s="121"/>
      <c r="H21" s="141" t="s">
        <v>152</v>
      </c>
      <c r="I21" s="140" t="s">
        <v>333</v>
      </c>
      <c r="J21" s="121"/>
      <c r="K21" s="131"/>
      <c r="L21" s="148" t="s">
        <v>358</v>
      </c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</row>
    <row r="22" spans="1:34" ht="15.75" thickBot="1" x14ac:dyDescent="0.3">
      <c r="A22" s="131"/>
      <c r="B22" s="121"/>
      <c r="C22" s="121"/>
      <c r="D22" s="121"/>
      <c r="E22" s="121"/>
      <c r="F22" s="121"/>
      <c r="G22" s="121"/>
      <c r="H22" s="121"/>
      <c r="I22" s="121"/>
      <c r="J22" s="121"/>
      <c r="K22" s="131"/>
      <c r="L22" s="148" t="s">
        <v>352</v>
      </c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</row>
    <row r="23" spans="1:34" ht="15.75" thickBot="1" x14ac:dyDescent="0.3">
      <c r="A23" s="121"/>
      <c r="B23" s="127" t="s">
        <v>316</v>
      </c>
      <c r="C23" s="142" t="s">
        <v>76</v>
      </c>
      <c r="D23" s="121"/>
      <c r="E23" s="121"/>
      <c r="F23" s="121"/>
      <c r="G23" s="121"/>
      <c r="H23" s="144" t="s">
        <v>72</v>
      </c>
      <c r="I23" s="161" t="s">
        <v>335</v>
      </c>
      <c r="J23" s="121"/>
      <c r="K23" s="131"/>
      <c r="L23" s="148" t="s">
        <v>353</v>
      </c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</row>
    <row r="24" spans="1:34" ht="15.75" thickBot="1" x14ac:dyDescent="0.3">
      <c r="A24" s="121"/>
      <c r="B24" s="128" t="s">
        <v>152</v>
      </c>
      <c r="C24" s="124" t="s">
        <v>334</v>
      </c>
      <c r="D24" s="121"/>
      <c r="E24" s="505" t="s">
        <v>72</v>
      </c>
      <c r="F24" s="506" t="s">
        <v>323</v>
      </c>
      <c r="G24" s="121"/>
      <c r="H24" s="121"/>
      <c r="I24" s="121"/>
      <c r="J24" s="121"/>
      <c r="K24" s="131"/>
      <c r="L24" s="148" t="s">
        <v>359</v>
      </c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</row>
    <row r="25" spans="1:34" ht="15.75" thickBot="1" x14ac:dyDescent="0.3">
      <c r="A25" s="121"/>
      <c r="B25" s="128" t="s">
        <v>309</v>
      </c>
      <c r="C25" s="124" t="s">
        <v>951</v>
      </c>
      <c r="D25" s="121"/>
      <c r="E25" s="484"/>
      <c r="F25" s="484"/>
      <c r="G25" s="121"/>
      <c r="H25" s="127" t="s">
        <v>152</v>
      </c>
      <c r="I25" s="142" t="s">
        <v>334</v>
      </c>
      <c r="J25" s="121"/>
      <c r="K25" s="131"/>
      <c r="L25" s="148" t="s">
        <v>354</v>
      </c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</row>
    <row r="26" spans="1:34" ht="15.75" thickBot="1" x14ac:dyDescent="0.3">
      <c r="A26" s="121"/>
      <c r="B26" s="123"/>
      <c r="C26" s="124"/>
      <c r="D26" s="121"/>
      <c r="E26" s="507" t="s">
        <v>152</v>
      </c>
      <c r="F26" s="508" t="s">
        <v>78</v>
      </c>
      <c r="G26" s="121"/>
      <c r="H26" s="136" t="s">
        <v>309</v>
      </c>
      <c r="I26" s="143" t="s">
        <v>336</v>
      </c>
      <c r="J26" s="121"/>
      <c r="K26" s="131"/>
      <c r="L26" s="148" t="s">
        <v>355</v>
      </c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</row>
    <row r="27" spans="1:34" ht="15.75" thickBot="1" x14ac:dyDescent="0.3">
      <c r="A27" s="121"/>
      <c r="B27" s="136"/>
      <c r="C27" s="126"/>
      <c r="D27" s="121"/>
      <c r="E27" s="509" t="s">
        <v>324</v>
      </c>
      <c r="F27" s="503" t="s">
        <v>325</v>
      </c>
      <c r="G27" s="121"/>
      <c r="H27" s="132"/>
      <c r="I27" s="159"/>
      <c r="J27" s="121"/>
      <c r="K27" s="131"/>
      <c r="L27" s="148" t="s">
        <v>356</v>
      </c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</row>
    <row r="28" spans="1:34" ht="15.75" thickBot="1" x14ac:dyDescent="0.3">
      <c r="A28" s="121"/>
      <c r="B28" s="121"/>
      <c r="C28" s="121"/>
      <c r="D28" s="121"/>
      <c r="E28" s="510"/>
      <c r="F28" s="503"/>
      <c r="G28" s="121"/>
      <c r="H28" s="132"/>
      <c r="I28" s="159"/>
      <c r="J28" s="121"/>
      <c r="K28" s="131"/>
      <c r="L28" s="149" t="s">
        <v>357</v>
      </c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</row>
    <row r="29" spans="1:34" x14ac:dyDescent="0.25">
      <c r="A29" s="121"/>
      <c r="B29" s="121"/>
      <c r="C29" s="121"/>
      <c r="D29" s="121"/>
      <c r="E29" s="509" t="s">
        <v>152</v>
      </c>
      <c r="F29" s="511" t="s">
        <v>326</v>
      </c>
      <c r="G29" s="121"/>
      <c r="H29" s="495" t="s">
        <v>179</v>
      </c>
      <c r="I29" s="496" t="s">
        <v>583</v>
      </c>
      <c r="J29" s="121"/>
      <c r="K29" s="131"/>
      <c r="L29" s="13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</row>
    <row r="30" spans="1:34" x14ac:dyDescent="0.25">
      <c r="A30" s="121"/>
      <c r="B30" s="121"/>
      <c r="C30" s="121"/>
      <c r="D30" s="121"/>
      <c r="E30" s="509" t="s">
        <v>309</v>
      </c>
      <c r="F30" s="503" t="s">
        <v>325</v>
      </c>
      <c r="G30" s="121"/>
      <c r="H30" s="494" t="s">
        <v>952</v>
      </c>
      <c r="I30" s="493" t="s">
        <v>562</v>
      </c>
      <c r="J30" s="121"/>
      <c r="K30" s="131"/>
      <c r="L30" s="131">
        <v>24</v>
      </c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</row>
    <row r="31" spans="1:34" x14ac:dyDescent="0.25">
      <c r="A31" s="121"/>
      <c r="B31" s="121"/>
      <c r="C31" s="121"/>
      <c r="D31" s="121"/>
      <c r="E31" s="510"/>
      <c r="F31" s="503"/>
      <c r="G31" s="121"/>
      <c r="H31" s="494" t="s">
        <v>953</v>
      </c>
      <c r="I31" s="365" t="s">
        <v>954</v>
      </c>
      <c r="J31" s="121"/>
      <c r="K31" s="131"/>
      <c r="L31" s="13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</row>
    <row r="32" spans="1:34" x14ac:dyDescent="0.25">
      <c r="A32" s="121"/>
      <c r="B32" s="121"/>
      <c r="C32" s="121"/>
      <c r="D32" s="121"/>
      <c r="E32" s="509" t="s">
        <v>152</v>
      </c>
      <c r="F32" s="511" t="s">
        <v>50</v>
      </c>
      <c r="G32" s="121"/>
      <c r="H32" s="121"/>
      <c r="I32" s="365" t="s">
        <v>955</v>
      </c>
      <c r="J32" s="121"/>
      <c r="K32" s="131"/>
      <c r="L32" s="13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21"/>
      <c r="AH32" s="121"/>
    </row>
    <row r="33" spans="1:34" ht="15.75" thickBot="1" x14ac:dyDescent="0.3">
      <c r="A33" s="121"/>
      <c r="B33" s="121"/>
      <c r="C33" s="121"/>
      <c r="D33" s="121"/>
      <c r="E33" s="509" t="s">
        <v>309</v>
      </c>
      <c r="F33" s="512" t="s">
        <v>195</v>
      </c>
      <c r="G33" s="121"/>
      <c r="H33" s="121"/>
      <c r="I33" s="365" t="s">
        <v>956</v>
      </c>
      <c r="J33" s="121"/>
      <c r="K33" s="131"/>
      <c r="L33" s="13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</row>
    <row r="34" spans="1:34" x14ac:dyDescent="0.25">
      <c r="A34" s="121"/>
      <c r="B34" s="121"/>
      <c r="C34" s="121"/>
      <c r="D34" s="121"/>
      <c r="E34" s="509"/>
      <c r="F34" s="513" t="s">
        <v>325</v>
      </c>
      <c r="G34" s="121"/>
      <c r="H34" s="494" t="s">
        <v>952</v>
      </c>
      <c r="I34" s="497" t="s">
        <v>913</v>
      </c>
      <c r="J34" s="121"/>
      <c r="K34" s="131"/>
      <c r="L34" s="13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</row>
    <row r="35" spans="1:34" x14ac:dyDescent="0.25">
      <c r="A35" s="121"/>
      <c r="B35" s="121"/>
      <c r="C35" s="121"/>
      <c r="D35" s="121"/>
      <c r="E35" s="510"/>
      <c r="F35" s="503"/>
      <c r="G35" s="121"/>
      <c r="H35" s="494" t="s">
        <v>953</v>
      </c>
      <c r="I35" s="365" t="s">
        <v>954</v>
      </c>
      <c r="J35" s="121"/>
      <c r="K35" s="131"/>
      <c r="L35" s="13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</row>
    <row r="36" spans="1:34" x14ac:dyDescent="0.25">
      <c r="A36" s="121"/>
      <c r="B36" s="121"/>
      <c r="C36" s="121"/>
      <c r="D36" s="121"/>
      <c r="E36" s="509" t="s">
        <v>152</v>
      </c>
      <c r="F36" s="511" t="s">
        <v>91</v>
      </c>
      <c r="G36" s="121"/>
      <c r="H36" s="121"/>
      <c r="I36" s="365" t="s">
        <v>955</v>
      </c>
      <c r="J36" s="121"/>
      <c r="K36" s="131"/>
      <c r="L36" s="13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</row>
    <row r="37" spans="1:34" ht="15.75" thickBot="1" x14ac:dyDescent="0.3">
      <c r="A37" s="121"/>
      <c r="B37" s="121"/>
      <c r="C37" s="121"/>
      <c r="D37" s="121"/>
      <c r="E37" s="514" t="s">
        <v>309</v>
      </c>
      <c r="F37" s="502" t="s">
        <v>325</v>
      </c>
      <c r="G37" s="121"/>
      <c r="H37" s="121"/>
      <c r="I37" s="121"/>
      <c r="J37" s="121"/>
      <c r="K37" s="131"/>
      <c r="M37" s="121"/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21"/>
      <c r="AH37" s="121"/>
    </row>
    <row r="38" spans="1:34" x14ac:dyDescent="0.25">
      <c r="A38" s="121"/>
      <c r="B38" s="121"/>
      <c r="C38" s="121"/>
      <c r="D38" s="121"/>
      <c r="E38" s="132"/>
      <c r="F38" s="131"/>
      <c r="G38" s="121"/>
      <c r="H38" s="121"/>
      <c r="I38" s="121"/>
      <c r="J38" s="121"/>
      <c r="K38" s="121"/>
      <c r="L38" s="121"/>
      <c r="M38" s="121"/>
      <c r="N38" s="121"/>
      <c r="O38" s="121"/>
      <c r="P38" s="121"/>
      <c r="Q38" s="121"/>
      <c r="R38" s="121"/>
      <c r="S38" s="121"/>
      <c r="T38" s="121"/>
      <c r="U38" s="121"/>
      <c r="V38" s="121"/>
      <c r="W38" s="121"/>
      <c r="X38" s="121"/>
      <c r="Y38" s="121"/>
      <c r="Z38" s="121"/>
      <c r="AA38" s="121"/>
      <c r="AB38" s="121"/>
      <c r="AC38" s="121"/>
      <c r="AD38" s="121"/>
      <c r="AE38" s="121"/>
      <c r="AF38" s="121"/>
      <c r="AG38" s="121"/>
      <c r="AH38" s="121"/>
    </row>
    <row r="39" spans="1:34" x14ac:dyDescent="0.25">
      <c r="A39" s="121"/>
      <c r="B39" s="121"/>
      <c r="C39" s="121"/>
      <c r="D39" s="121"/>
      <c r="E39" s="121"/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1"/>
    </row>
    <row r="40" spans="1:34" x14ac:dyDescent="0.25">
      <c r="A40" s="121"/>
      <c r="B40" s="121"/>
      <c r="C40" s="121"/>
      <c r="D40" s="121"/>
      <c r="E40" s="121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1"/>
    </row>
    <row r="41" spans="1:34" x14ac:dyDescent="0.25">
      <c r="A41" s="121"/>
      <c r="B41" s="121"/>
      <c r="C41" s="121"/>
      <c r="D41" s="121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</row>
    <row r="42" spans="1:34" x14ac:dyDescent="0.25">
      <c r="A42" s="121"/>
      <c r="B42" s="121"/>
      <c r="C42" s="121"/>
      <c r="D42" s="121"/>
      <c r="E42" s="121"/>
      <c r="F42" s="121"/>
      <c r="G42" s="121"/>
      <c r="H42" s="121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21"/>
      <c r="T42" s="121"/>
      <c r="U42" s="121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/>
      <c r="AH42" s="121"/>
    </row>
    <row r="43" spans="1:34" x14ac:dyDescent="0.25">
      <c r="A43" s="121"/>
      <c r="B43" s="121"/>
      <c r="C43" s="121"/>
      <c r="D43" s="121"/>
      <c r="E43" s="121"/>
      <c r="F43" s="121"/>
      <c r="G43" s="121"/>
      <c r="H43" s="121"/>
      <c r="I43" s="121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</row>
    <row r="44" spans="1:34" x14ac:dyDescent="0.25">
      <c r="A44" s="121"/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</row>
    <row r="45" spans="1:34" x14ac:dyDescent="0.25">
      <c r="A45" s="121"/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21"/>
      <c r="AH45" s="121"/>
    </row>
    <row r="46" spans="1:34" x14ac:dyDescent="0.25">
      <c r="A46" s="121"/>
      <c r="B46" s="121"/>
      <c r="C46" s="121"/>
      <c r="D46" s="121"/>
      <c r="E46" s="121"/>
      <c r="F46" s="121"/>
      <c r="G46" s="121"/>
      <c r="H46" s="121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  <c r="Y46" s="121"/>
      <c r="Z46" s="121"/>
      <c r="AA46" s="121"/>
      <c r="AB46" s="121"/>
      <c r="AC46" s="121"/>
      <c r="AD46" s="121"/>
      <c r="AE46" s="121"/>
      <c r="AF46" s="121"/>
      <c r="AG46" s="121"/>
      <c r="AH46" s="121"/>
    </row>
    <row r="47" spans="1:34" x14ac:dyDescent="0.25">
      <c r="A47" s="121"/>
      <c r="B47" s="121"/>
      <c r="C47" s="121"/>
      <c r="D47" s="121"/>
      <c r="E47" s="121"/>
      <c r="F47" s="121"/>
      <c r="G47" s="121"/>
      <c r="H47" s="121"/>
      <c r="I47" s="121"/>
      <c r="J47" s="121"/>
      <c r="K47" s="121"/>
      <c r="L47" s="121"/>
      <c r="M47" s="121"/>
      <c r="N47" s="121"/>
      <c r="O47" s="121"/>
      <c r="P47" s="121"/>
      <c r="Q47" s="121"/>
      <c r="R47" s="121"/>
      <c r="S47" s="121"/>
      <c r="T47" s="121"/>
      <c r="U47" s="121"/>
      <c r="V47" s="121"/>
      <c r="W47" s="121"/>
      <c r="X47" s="121"/>
      <c r="Y47" s="121"/>
      <c r="Z47" s="121"/>
      <c r="AA47" s="121"/>
      <c r="AB47" s="121"/>
      <c r="AC47" s="121"/>
      <c r="AD47" s="121"/>
      <c r="AE47" s="121"/>
      <c r="AF47" s="121"/>
      <c r="AG47" s="121"/>
      <c r="AH47" s="121"/>
    </row>
    <row r="48" spans="1:34" x14ac:dyDescent="0.25">
      <c r="A48" s="121"/>
      <c r="B48" s="121"/>
      <c r="C48" s="121"/>
      <c r="D48" s="121"/>
      <c r="E48" s="121"/>
      <c r="F48" s="121"/>
      <c r="G48" s="121"/>
      <c r="H48" s="121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T48" s="121"/>
      <c r="U48" s="121"/>
      <c r="V48" s="121"/>
      <c r="W48" s="121"/>
      <c r="X48" s="121"/>
      <c r="Y48" s="121"/>
      <c r="Z48" s="121"/>
      <c r="AA48" s="121"/>
      <c r="AB48" s="121"/>
      <c r="AC48" s="121"/>
      <c r="AD48" s="121"/>
      <c r="AE48" s="121"/>
      <c r="AF48" s="121"/>
      <c r="AG48" s="121"/>
      <c r="AH48" s="121"/>
    </row>
    <row r="49" spans="1:34" x14ac:dyDescent="0.25">
      <c r="A49" s="121"/>
      <c r="B49" s="121"/>
      <c r="C49" s="121"/>
      <c r="D49" s="121"/>
      <c r="E49" s="121"/>
      <c r="F49" s="121"/>
      <c r="G49" s="121"/>
      <c r="H49" s="121"/>
      <c r="I49" s="121"/>
      <c r="J49" s="121"/>
      <c r="K49" s="121"/>
      <c r="L49" s="121"/>
      <c r="M49" s="121"/>
      <c r="N49" s="121"/>
      <c r="O49" s="121"/>
      <c r="P49" s="121"/>
      <c r="Q49" s="121"/>
      <c r="R49" s="121"/>
      <c r="S49" s="121"/>
      <c r="T49" s="121"/>
      <c r="U49" s="121"/>
      <c r="V49" s="121"/>
      <c r="W49" s="121"/>
      <c r="X49" s="121"/>
      <c r="Y49" s="121"/>
      <c r="Z49" s="121"/>
      <c r="AA49" s="121"/>
      <c r="AB49" s="121"/>
      <c r="AC49" s="121"/>
      <c r="AD49" s="121"/>
      <c r="AE49" s="121"/>
      <c r="AF49" s="121"/>
      <c r="AG49" s="121"/>
      <c r="AH49" s="121"/>
    </row>
    <row r="50" spans="1:34" x14ac:dyDescent="0.25">
      <c r="A50" s="121"/>
      <c r="B50" s="121"/>
      <c r="C50" s="121"/>
      <c r="D50" s="121"/>
      <c r="E50" s="121"/>
      <c r="F50" s="121"/>
      <c r="G50" s="121"/>
      <c r="H50" s="121"/>
      <c r="I50" s="121"/>
      <c r="J50" s="121"/>
      <c r="K50" s="121"/>
      <c r="L50" s="121"/>
      <c r="M50" s="121"/>
      <c r="N50" s="121"/>
      <c r="O50" s="121"/>
      <c r="P50" s="121"/>
      <c r="Q50" s="121"/>
      <c r="R50" s="121"/>
      <c r="S50" s="121"/>
      <c r="T50" s="121"/>
      <c r="U50" s="121"/>
      <c r="V50" s="121"/>
      <c r="W50" s="121"/>
      <c r="X50" s="121"/>
      <c r="Y50" s="121"/>
      <c r="Z50" s="121"/>
      <c r="AA50" s="121"/>
      <c r="AB50" s="121"/>
      <c r="AC50" s="121"/>
      <c r="AD50" s="121"/>
      <c r="AE50" s="121"/>
      <c r="AF50" s="121"/>
      <c r="AG50" s="121"/>
      <c r="AH50" s="121"/>
    </row>
    <row r="51" spans="1:34" x14ac:dyDescent="0.25">
      <c r="A51" s="121"/>
      <c r="B51" s="121"/>
      <c r="C51" s="121"/>
      <c r="D51" s="121"/>
      <c r="E51" s="121"/>
      <c r="F51" s="121"/>
      <c r="G51" s="121"/>
      <c r="H51" s="121"/>
      <c r="I51" s="121"/>
      <c r="J51" s="121"/>
      <c r="K51" s="121"/>
      <c r="L51" s="121"/>
      <c r="M51" s="121"/>
      <c r="N51" s="121"/>
      <c r="O51" s="121"/>
      <c r="P51" s="121"/>
      <c r="Q51" s="121"/>
      <c r="R51" s="121"/>
      <c r="S51" s="121"/>
      <c r="T51" s="121"/>
      <c r="U51" s="121"/>
      <c r="V51" s="121"/>
      <c r="W51" s="121"/>
      <c r="X51" s="121"/>
      <c r="Y51" s="121"/>
      <c r="Z51" s="121"/>
      <c r="AA51" s="121"/>
      <c r="AB51" s="121"/>
      <c r="AC51" s="121"/>
      <c r="AD51" s="121"/>
      <c r="AE51" s="121"/>
      <c r="AF51" s="121"/>
      <c r="AG51" s="121"/>
      <c r="AH51" s="121"/>
    </row>
    <row r="52" spans="1:34" x14ac:dyDescent="0.25">
      <c r="A52" s="121"/>
      <c r="B52" s="121"/>
      <c r="C52" s="121"/>
      <c r="D52" s="121"/>
      <c r="E52" s="121"/>
      <c r="F52" s="121"/>
      <c r="G52" s="121"/>
      <c r="H52" s="121"/>
      <c r="I52" s="121"/>
      <c r="J52" s="121"/>
      <c r="K52" s="121"/>
      <c r="L52" s="121"/>
      <c r="M52" s="121"/>
      <c r="N52" s="121"/>
      <c r="O52" s="121"/>
      <c r="P52" s="121"/>
      <c r="Q52" s="121"/>
      <c r="R52" s="121"/>
      <c r="S52" s="121"/>
      <c r="T52" s="121"/>
      <c r="U52" s="121"/>
      <c r="V52" s="121"/>
      <c r="W52" s="121"/>
      <c r="X52" s="121"/>
      <c r="Y52" s="121"/>
      <c r="Z52" s="121"/>
      <c r="AA52" s="121"/>
      <c r="AB52" s="121"/>
      <c r="AC52" s="121"/>
      <c r="AD52" s="121"/>
      <c r="AE52" s="121"/>
      <c r="AF52" s="121"/>
      <c r="AG52" s="121"/>
      <c r="AH52" s="121"/>
    </row>
    <row r="53" spans="1:34" x14ac:dyDescent="0.25">
      <c r="A53" s="121"/>
      <c r="B53" s="121"/>
      <c r="C53" s="121"/>
      <c r="D53" s="121"/>
      <c r="E53" s="121"/>
      <c r="F53" s="121"/>
      <c r="G53" s="121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T53" s="121"/>
      <c r="U53" s="121"/>
      <c r="V53" s="121"/>
      <c r="W53" s="121"/>
      <c r="X53" s="121"/>
      <c r="Y53" s="121"/>
      <c r="Z53" s="121"/>
      <c r="AA53" s="121"/>
      <c r="AB53" s="121"/>
      <c r="AC53" s="121"/>
      <c r="AD53" s="121"/>
      <c r="AE53" s="121"/>
      <c r="AF53" s="121"/>
      <c r="AG53" s="121"/>
      <c r="AH53" s="121"/>
    </row>
    <row r="54" spans="1:34" x14ac:dyDescent="0.25">
      <c r="A54" s="121"/>
      <c r="B54" s="121"/>
      <c r="C54" s="121"/>
      <c r="D54" s="121"/>
      <c r="E54" s="121"/>
      <c r="F54" s="121"/>
      <c r="G54" s="121"/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  <c r="AA54" s="121"/>
      <c r="AB54" s="121"/>
      <c r="AC54" s="121"/>
      <c r="AD54" s="121"/>
      <c r="AE54" s="121"/>
      <c r="AF54" s="121"/>
      <c r="AG54" s="121"/>
      <c r="AH54" s="121"/>
    </row>
    <row r="55" spans="1:34" x14ac:dyDescent="0.25">
      <c r="A55" s="121"/>
      <c r="B55" s="121"/>
      <c r="C55" s="121"/>
      <c r="D55" s="121"/>
      <c r="E55" s="121"/>
      <c r="F55" s="121"/>
      <c r="G55" s="121"/>
      <c r="H55" s="121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  <c r="Z55" s="121"/>
      <c r="AA55" s="121"/>
      <c r="AB55" s="121"/>
      <c r="AC55" s="121"/>
      <c r="AD55" s="121"/>
      <c r="AE55" s="121"/>
      <c r="AF55" s="121"/>
      <c r="AG55" s="121"/>
      <c r="AH55" s="121"/>
    </row>
    <row r="56" spans="1:34" x14ac:dyDescent="0.25">
      <c r="A56" s="121"/>
      <c r="B56" s="121"/>
      <c r="C56" s="121"/>
      <c r="D56" s="121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/>
      <c r="AG56" s="121"/>
      <c r="AH56" s="121"/>
    </row>
    <row r="57" spans="1:34" x14ac:dyDescent="0.25">
      <c r="A57" s="121"/>
      <c r="B57" s="121"/>
      <c r="C57" s="121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</row>
    <row r="58" spans="1:34" x14ac:dyDescent="0.25">
      <c r="A58" s="121"/>
      <c r="B58" s="121"/>
      <c r="C58" s="121"/>
      <c r="D58" s="121"/>
      <c r="E58" s="121"/>
      <c r="F58" s="121"/>
      <c r="G58" s="121"/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  <c r="AA58" s="121"/>
      <c r="AB58" s="121"/>
      <c r="AC58" s="121"/>
      <c r="AD58" s="121"/>
      <c r="AE58" s="121"/>
      <c r="AF58" s="121"/>
      <c r="AG58" s="121"/>
      <c r="AH58" s="121"/>
    </row>
    <row r="59" spans="1:34" x14ac:dyDescent="0.25">
      <c r="A59" s="121"/>
      <c r="B59" s="121"/>
      <c r="C59" s="121"/>
      <c r="D59" s="121"/>
      <c r="E59" s="121"/>
      <c r="F59" s="121"/>
      <c r="G59" s="121"/>
      <c r="H59" s="121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21"/>
      <c r="AH59" s="121"/>
    </row>
    <row r="60" spans="1:34" x14ac:dyDescent="0.25">
      <c r="A60" s="121"/>
      <c r="B60" s="121"/>
      <c r="C60" s="121"/>
      <c r="D60" s="121"/>
      <c r="E60" s="121"/>
      <c r="F60" s="121"/>
      <c r="G60" s="121"/>
      <c r="H60" s="121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21"/>
      <c r="AH60" s="121"/>
    </row>
    <row r="61" spans="1:34" x14ac:dyDescent="0.25">
      <c r="A61" s="121"/>
      <c r="B61" s="121"/>
      <c r="C61" s="121"/>
      <c r="D61" s="121"/>
      <c r="E61" s="121"/>
      <c r="F61" s="121"/>
      <c r="G61" s="121"/>
      <c r="H61" s="121"/>
      <c r="I61" s="121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</row>
    <row r="62" spans="1:34" x14ac:dyDescent="0.25">
      <c r="A62" s="121"/>
      <c r="B62" s="121"/>
      <c r="C62" s="121"/>
      <c r="D62" s="121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1"/>
      <c r="U62" s="121"/>
      <c r="V62" s="121"/>
      <c r="W62" s="121"/>
      <c r="X62" s="121"/>
      <c r="Y62" s="121"/>
      <c r="Z62" s="121"/>
      <c r="AA62" s="121"/>
      <c r="AB62" s="121"/>
      <c r="AC62" s="121"/>
      <c r="AD62" s="121"/>
      <c r="AE62" s="121"/>
      <c r="AF62" s="121"/>
      <c r="AG62" s="121"/>
      <c r="AH62" s="121"/>
    </row>
    <row r="63" spans="1:34" x14ac:dyDescent="0.25">
      <c r="A63" s="121"/>
      <c r="B63" s="121"/>
      <c r="C63" s="121"/>
      <c r="D63" s="121"/>
      <c r="E63" s="121"/>
      <c r="F63" s="121"/>
      <c r="G63" s="121"/>
      <c r="H63" s="121"/>
      <c r="I63" s="121"/>
      <c r="J63" s="121"/>
      <c r="K63" s="121"/>
      <c r="L63" s="121"/>
      <c r="M63" s="121"/>
      <c r="N63" s="121"/>
      <c r="O63" s="121"/>
      <c r="P63" s="121"/>
      <c r="Q63" s="121"/>
      <c r="R63" s="121"/>
      <c r="S63" s="121"/>
      <c r="T63" s="121"/>
      <c r="U63" s="121"/>
      <c r="V63" s="121"/>
      <c r="W63" s="121"/>
      <c r="X63" s="121"/>
      <c r="Y63" s="121"/>
      <c r="Z63" s="121"/>
      <c r="AA63" s="121"/>
      <c r="AB63" s="121"/>
      <c r="AC63" s="121"/>
      <c r="AD63" s="121"/>
      <c r="AE63" s="121"/>
      <c r="AF63" s="121"/>
      <c r="AG63" s="121"/>
      <c r="AH63" s="121"/>
    </row>
    <row r="64" spans="1:34" x14ac:dyDescent="0.25">
      <c r="A64" s="121"/>
      <c r="B64" s="121"/>
      <c r="C64" s="121"/>
      <c r="D64" s="121"/>
      <c r="E64" s="121"/>
      <c r="F64" s="121"/>
      <c r="G64" s="121"/>
      <c r="H64" s="121"/>
      <c r="I64" s="121"/>
      <c r="J64" s="121"/>
      <c r="K64" s="121"/>
      <c r="L64" s="121"/>
      <c r="M64" s="121"/>
      <c r="N64" s="121"/>
      <c r="O64" s="121"/>
      <c r="P64" s="121"/>
      <c r="Q64" s="121"/>
      <c r="R64" s="121"/>
      <c r="S64" s="121"/>
      <c r="T64" s="121"/>
      <c r="U64" s="121"/>
      <c r="V64" s="121"/>
      <c r="W64" s="121"/>
      <c r="X64" s="121"/>
      <c r="Y64" s="121"/>
      <c r="Z64" s="121"/>
      <c r="AA64" s="121"/>
      <c r="AB64" s="121"/>
      <c r="AC64" s="121"/>
      <c r="AD64" s="121"/>
      <c r="AE64" s="121"/>
      <c r="AF64" s="121"/>
      <c r="AG64" s="121"/>
      <c r="AH64" s="121"/>
    </row>
    <row r="65" spans="1:34" x14ac:dyDescent="0.25">
      <c r="A65" s="121"/>
      <c r="B65" s="121"/>
      <c r="C65" s="121"/>
      <c r="D65" s="121"/>
      <c r="E65" s="121"/>
      <c r="F65" s="121"/>
      <c r="G65" s="121"/>
      <c r="H65" s="121"/>
      <c r="I65" s="121"/>
      <c r="J65" s="121"/>
      <c r="K65" s="121"/>
      <c r="L65" s="121"/>
      <c r="M65" s="121"/>
      <c r="N65" s="121"/>
      <c r="O65" s="121"/>
      <c r="P65" s="121"/>
      <c r="Q65" s="121"/>
      <c r="R65" s="121"/>
      <c r="S65" s="121"/>
      <c r="T65" s="121"/>
      <c r="U65" s="121"/>
      <c r="V65" s="121"/>
      <c r="W65" s="121"/>
      <c r="X65" s="121"/>
      <c r="Y65" s="121"/>
      <c r="Z65" s="121"/>
      <c r="AA65" s="121"/>
      <c r="AB65" s="121"/>
      <c r="AC65" s="121"/>
      <c r="AD65" s="121"/>
      <c r="AE65" s="121"/>
      <c r="AF65" s="121"/>
      <c r="AG65" s="121"/>
      <c r="AH65" s="121"/>
    </row>
    <row r="66" spans="1:34" x14ac:dyDescent="0.25">
      <c r="A66" s="121"/>
      <c r="B66" s="121"/>
      <c r="C66" s="121"/>
      <c r="D66" s="121"/>
      <c r="E66" s="121"/>
      <c r="F66" s="121"/>
      <c r="G66" s="121"/>
      <c r="H66" s="121"/>
      <c r="I66" s="121"/>
      <c r="J66" s="121"/>
      <c r="K66" s="121"/>
      <c r="L66" s="121"/>
      <c r="M66" s="121"/>
      <c r="N66" s="121"/>
      <c r="O66" s="121"/>
      <c r="P66" s="121"/>
      <c r="Q66" s="121"/>
      <c r="R66" s="121"/>
      <c r="S66" s="121"/>
      <c r="T66" s="121"/>
      <c r="U66" s="121"/>
      <c r="V66" s="121"/>
      <c r="W66" s="121"/>
      <c r="X66" s="121"/>
      <c r="Y66" s="121"/>
      <c r="Z66" s="121"/>
      <c r="AA66" s="121"/>
      <c r="AB66" s="121"/>
      <c r="AC66" s="121"/>
      <c r="AD66" s="121"/>
      <c r="AE66" s="121"/>
      <c r="AF66" s="121"/>
      <c r="AG66" s="121"/>
      <c r="AH66" s="121"/>
    </row>
    <row r="67" spans="1:34" x14ac:dyDescent="0.25">
      <c r="A67" s="121"/>
      <c r="B67" s="121"/>
      <c r="C67" s="121"/>
      <c r="D67" s="121"/>
      <c r="E67" s="121"/>
      <c r="F67" s="121"/>
      <c r="G67" s="121"/>
      <c r="H67" s="121"/>
      <c r="I67" s="121"/>
      <c r="J67" s="121"/>
      <c r="K67" s="121"/>
      <c r="L67" s="121"/>
      <c r="M67" s="121"/>
      <c r="N67" s="121"/>
      <c r="O67" s="121"/>
      <c r="P67" s="121"/>
      <c r="Q67" s="121"/>
      <c r="R67" s="121"/>
      <c r="S67" s="121"/>
      <c r="T67" s="121"/>
      <c r="U67" s="121"/>
      <c r="V67" s="121"/>
      <c r="W67" s="12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</row>
    <row r="68" spans="1:34" x14ac:dyDescent="0.25">
      <c r="A68" s="121"/>
      <c r="B68" s="121"/>
      <c r="C68" s="121"/>
      <c r="D68" s="121"/>
      <c r="E68" s="121"/>
      <c r="F68" s="121"/>
      <c r="G68" s="121"/>
      <c r="H68" s="121"/>
      <c r="I68" s="121"/>
      <c r="J68" s="121"/>
      <c r="K68" s="121"/>
      <c r="L68" s="121"/>
      <c r="M68" s="121"/>
      <c r="N68" s="121"/>
      <c r="O68" s="121"/>
      <c r="P68" s="121"/>
      <c r="Q68" s="121"/>
      <c r="R68" s="121"/>
      <c r="S68" s="121"/>
      <c r="T68" s="121"/>
      <c r="U68" s="121"/>
      <c r="V68" s="121"/>
      <c r="W68" s="121"/>
      <c r="X68" s="121"/>
      <c r="Y68" s="121"/>
      <c r="Z68" s="121"/>
      <c r="AA68" s="121"/>
      <c r="AB68" s="121"/>
      <c r="AC68" s="121"/>
      <c r="AD68" s="121"/>
      <c r="AE68" s="121"/>
      <c r="AF68" s="121"/>
      <c r="AG68" s="121"/>
      <c r="AH68" s="121"/>
    </row>
    <row r="69" spans="1:34" x14ac:dyDescent="0.25">
      <c r="A69" s="121"/>
      <c r="B69" s="121"/>
      <c r="C69" s="121"/>
      <c r="D69" s="121"/>
      <c r="E69" s="121"/>
      <c r="F69" s="121"/>
      <c r="G69" s="121"/>
      <c r="H69" s="121"/>
      <c r="I69" s="121"/>
      <c r="J69" s="121"/>
      <c r="K69" s="121"/>
      <c r="L69" s="121"/>
      <c r="M69" s="121"/>
      <c r="N69" s="121"/>
      <c r="O69" s="121"/>
      <c r="P69" s="121"/>
      <c r="Q69" s="121"/>
      <c r="R69" s="121"/>
      <c r="S69" s="121"/>
      <c r="T69" s="121"/>
      <c r="U69" s="121"/>
      <c r="V69" s="121"/>
      <c r="W69" s="121"/>
      <c r="X69" s="121"/>
      <c r="Y69" s="121"/>
      <c r="Z69" s="121"/>
      <c r="AA69" s="121"/>
      <c r="AB69" s="121"/>
      <c r="AC69" s="121"/>
      <c r="AD69" s="121"/>
      <c r="AE69" s="121"/>
      <c r="AF69" s="121"/>
      <c r="AG69" s="121"/>
      <c r="AH69" s="121"/>
    </row>
    <row r="70" spans="1:34" x14ac:dyDescent="0.25">
      <c r="A70" s="121"/>
      <c r="B70" s="121"/>
      <c r="C70" s="121"/>
      <c r="D70" s="121"/>
      <c r="E70" s="121"/>
      <c r="F70" s="121"/>
      <c r="G70" s="121"/>
      <c r="H70" s="121"/>
      <c r="I70" s="121"/>
      <c r="J70" s="121"/>
      <c r="K70" s="121"/>
      <c r="L70" s="121"/>
      <c r="M70" s="121"/>
      <c r="N70" s="121"/>
      <c r="O70" s="121"/>
      <c r="P70" s="121"/>
      <c r="Q70" s="121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  <c r="AE70" s="121"/>
      <c r="AF70" s="121"/>
      <c r="AG70" s="121"/>
      <c r="AH70" s="121"/>
    </row>
    <row r="71" spans="1:34" x14ac:dyDescent="0.25">
      <c r="A71" s="121"/>
      <c r="B71" s="121"/>
      <c r="C71" s="121"/>
      <c r="D71" s="121"/>
      <c r="E71" s="121"/>
      <c r="F71" s="121"/>
      <c r="G71" s="121"/>
      <c r="H71" s="121"/>
      <c r="I71" s="121"/>
      <c r="J71" s="121"/>
      <c r="K71" s="121"/>
      <c r="L71" s="121"/>
      <c r="M71" s="121"/>
      <c r="N71" s="121"/>
      <c r="O71" s="121"/>
      <c r="P71" s="121"/>
      <c r="Q71" s="121"/>
      <c r="R71" s="121"/>
      <c r="S71" s="121"/>
      <c r="T71" s="121"/>
      <c r="U71" s="121"/>
      <c r="V71" s="121"/>
      <c r="W71" s="121"/>
      <c r="X71" s="121"/>
      <c r="Y71" s="121"/>
      <c r="Z71" s="121"/>
      <c r="AA71" s="121"/>
      <c r="AB71" s="121"/>
      <c r="AC71" s="121"/>
      <c r="AD71" s="121"/>
      <c r="AE71" s="121"/>
      <c r="AF71" s="121"/>
      <c r="AG71" s="121"/>
      <c r="AH71" s="121"/>
    </row>
    <row r="72" spans="1:34" x14ac:dyDescent="0.25">
      <c r="A72" s="121"/>
      <c r="B72" s="121"/>
      <c r="C72" s="121"/>
      <c r="D72" s="121"/>
      <c r="E72" s="121"/>
      <c r="F72" s="121"/>
      <c r="G72" s="121"/>
      <c r="H72" s="121"/>
      <c r="I72" s="121"/>
      <c r="J72" s="121"/>
      <c r="K72" s="121"/>
      <c r="L72" s="121"/>
      <c r="M72" s="121"/>
      <c r="N72" s="121"/>
      <c r="O72" s="121"/>
      <c r="P72" s="121"/>
      <c r="Q72" s="121"/>
      <c r="R72" s="121"/>
      <c r="S72" s="121"/>
      <c r="T72" s="121"/>
      <c r="U72" s="121"/>
      <c r="V72" s="121"/>
      <c r="W72" s="121"/>
      <c r="X72" s="121"/>
      <c r="Y72" s="121"/>
      <c r="Z72" s="121"/>
      <c r="AA72" s="121"/>
      <c r="AB72" s="121"/>
      <c r="AC72" s="121"/>
      <c r="AD72" s="121"/>
      <c r="AE72" s="121"/>
      <c r="AF72" s="121"/>
      <c r="AG72" s="121"/>
      <c r="AH72" s="121"/>
    </row>
    <row r="73" spans="1:34" x14ac:dyDescent="0.25">
      <c r="A73" s="121"/>
      <c r="B73" s="121"/>
      <c r="C73" s="121"/>
      <c r="D73" s="121"/>
      <c r="E73" s="121"/>
      <c r="F73" s="121"/>
      <c r="G73" s="121"/>
      <c r="H73" s="121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1"/>
      <c r="V73" s="121"/>
      <c r="W73" s="121"/>
      <c r="X73" s="121"/>
      <c r="Y73" s="121"/>
      <c r="Z73" s="121"/>
      <c r="AA73" s="121"/>
      <c r="AB73" s="121"/>
      <c r="AC73" s="121"/>
      <c r="AD73" s="121"/>
      <c r="AE73" s="121"/>
      <c r="AF73" s="121"/>
      <c r="AG73" s="121"/>
      <c r="AH73" s="121"/>
    </row>
    <row r="74" spans="1:34" x14ac:dyDescent="0.25">
      <c r="A74" s="121"/>
      <c r="B74" s="121"/>
      <c r="C74" s="121"/>
      <c r="D74" s="121"/>
      <c r="E74" s="121"/>
      <c r="F74" s="121"/>
      <c r="G74" s="121"/>
      <c r="H74" s="121"/>
      <c r="I74" s="121"/>
      <c r="J74" s="121"/>
      <c r="K74" s="121"/>
      <c r="L74" s="121"/>
      <c r="M74" s="121"/>
      <c r="N74" s="121"/>
      <c r="O74" s="121"/>
      <c r="P74" s="121"/>
      <c r="Q74" s="121"/>
      <c r="R74" s="121"/>
      <c r="S74" s="121"/>
      <c r="T74" s="121"/>
      <c r="U74" s="121"/>
      <c r="V74" s="121"/>
      <c r="W74" s="121"/>
      <c r="X74" s="121"/>
      <c r="Y74" s="121"/>
      <c r="Z74" s="121"/>
      <c r="AA74" s="121"/>
      <c r="AB74" s="121"/>
      <c r="AC74" s="121"/>
      <c r="AD74" s="121"/>
      <c r="AE74" s="121"/>
      <c r="AF74" s="121"/>
      <c r="AG74" s="121"/>
      <c r="AH74" s="121"/>
    </row>
    <row r="75" spans="1:34" x14ac:dyDescent="0.25">
      <c r="A75" s="121"/>
      <c r="B75" s="121"/>
      <c r="C75" s="121"/>
      <c r="D75" s="121"/>
      <c r="E75" s="121"/>
      <c r="F75" s="121"/>
      <c r="G75" s="121"/>
      <c r="H75" s="121"/>
      <c r="I75" s="121"/>
      <c r="J75" s="121"/>
      <c r="K75" s="121"/>
      <c r="L75" s="121"/>
      <c r="M75" s="121"/>
      <c r="N75" s="121"/>
      <c r="O75" s="121"/>
      <c r="P75" s="121"/>
      <c r="Q75" s="121"/>
      <c r="R75" s="121"/>
      <c r="S75" s="121"/>
      <c r="T75" s="121"/>
      <c r="U75" s="121"/>
      <c r="V75" s="121"/>
      <c r="W75" s="121"/>
      <c r="X75" s="121"/>
      <c r="Y75" s="121"/>
      <c r="Z75" s="121"/>
      <c r="AA75" s="121"/>
      <c r="AB75" s="121"/>
      <c r="AC75" s="121"/>
      <c r="AD75" s="121"/>
      <c r="AE75" s="121"/>
      <c r="AF75" s="121"/>
      <c r="AG75" s="121"/>
      <c r="AH75" s="121"/>
    </row>
    <row r="76" spans="1:34" x14ac:dyDescent="0.25">
      <c r="A76" s="121"/>
      <c r="B76" s="121"/>
      <c r="C76" s="121"/>
      <c r="D76" s="121"/>
      <c r="E76" s="121"/>
      <c r="F76" s="121"/>
      <c r="G76" s="121"/>
      <c r="H76" s="121"/>
      <c r="I76" s="121"/>
      <c r="J76" s="121"/>
      <c r="K76" s="121"/>
      <c r="L76" s="121"/>
      <c r="M76" s="121"/>
      <c r="N76" s="121"/>
      <c r="O76" s="121"/>
      <c r="P76" s="121"/>
      <c r="Q76" s="121"/>
      <c r="R76" s="121"/>
      <c r="S76" s="121"/>
      <c r="T76" s="121"/>
      <c r="U76" s="121"/>
      <c r="V76" s="121"/>
      <c r="W76" s="121"/>
      <c r="X76" s="121"/>
      <c r="Y76" s="121"/>
      <c r="Z76" s="121"/>
      <c r="AA76" s="121"/>
      <c r="AB76" s="121"/>
      <c r="AC76" s="121"/>
      <c r="AD76" s="121"/>
      <c r="AE76" s="121"/>
      <c r="AF76" s="121"/>
      <c r="AG76" s="121"/>
      <c r="AH76" s="121"/>
    </row>
    <row r="77" spans="1:34" x14ac:dyDescent="0.25">
      <c r="A77" s="121"/>
      <c r="B77" s="121"/>
      <c r="C77" s="121"/>
      <c r="D77" s="121"/>
      <c r="E77" s="121"/>
      <c r="F77" s="121"/>
      <c r="G77" s="121"/>
      <c r="H77" s="121"/>
      <c r="I77" s="121"/>
      <c r="J77" s="121"/>
      <c r="K77" s="121"/>
      <c r="L77" s="121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1"/>
      <c r="AA77" s="121"/>
      <c r="AB77" s="121"/>
      <c r="AC77" s="121"/>
      <c r="AD77" s="121"/>
      <c r="AE77" s="121"/>
      <c r="AF77" s="121"/>
      <c r="AG77" s="121"/>
      <c r="AH77" s="121"/>
    </row>
    <row r="78" spans="1:34" x14ac:dyDescent="0.25">
      <c r="A78" s="121"/>
      <c r="B78" s="121"/>
      <c r="C78" s="121"/>
      <c r="D78" s="121"/>
      <c r="E78" s="121"/>
      <c r="F78" s="121"/>
      <c r="G78" s="121"/>
      <c r="H78" s="121"/>
      <c r="I78" s="121"/>
      <c r="J78" s="121"/>
      <c r="K78" s="121"/>
      <c r="L78" s="121"/>
      <c r="M78" s="121"/>
      <c r="N78" s="121"/>
      <c r="O78" s="121"/>
      <c r="P78" s="121"/>
      <c r="Q78" s="121"/>
      <c r="R78" s="121"/>
      <c r="S78" s="121"/>
      <c r="T78" s="121"/>
      <c r="U78" s="121"/>
      <c r="V78" s="121"/>
      <c r="W78" s="121"/>
      <c r="X78" s="121"/>
      <c r="Y78" s="121"/>
      <c r="Z78" s="121"/>
      <c r="AA78" s="121"/>
      <c r="AB78" s="121"/>
      <c r="AC78" s="121"/>
      <c r="AD78" s="121"/>
      <c r="AE78" s="121"/>
      <c r="AF78" s="121"/>
      <c r="AG78" s="121"/>
      <c r="AH78" s="121"/>
    </row>
    <row r="79" spans="1:34" x14ac:dyDescent="0.25">
      <c r="A79" s="121"/>
      <c r="B79" s="121"/>
      <c r="C79" s="121"/>
      <c r="D79" s="121"/>
      <c r="E79" s="121"/>
      <c r="F79" s="121"/>
      <c r="G79" s="121"/>
      <c r="H79" s="121"/>
      <c r="I79" s="121"/>
      <c r="J79" s="121"/>
      <c r="K79" s="121"/>
      <c r="L79" s="121"/>
      <c r="M79" s="121"/>
      <c r="N79" s="121"/>
      <c r="O79" s="121"/>
      <c r="P79" s="121"/>
      <c r="Q79" s="121"/>
      <c r="R79" s="121"/>
      <c r="S79" s="121"/>
      <c r="T79" s="121"/>
      <c r="U79" s="121"/>
      <c r="V79" s="121"/>
      <c r="W79" s="121"/>
      <c r="X79" s="121"/>
      <c r="Y79" s="121"/>
      <c r="Z79" s="121"/>
      <c r="AA79" s="121"/>
      <c r="AB79" s="121"/>
      <c r="AC79" s="121"/>
      <c r="AD79" s="121"/>
      <c r="AE79" s="121"/>
      <c r="AF79" s="121"/>
      <c r="AG79" s="121"/>
      <c r="AH79" s="121"/>
    </row>
    <row r="80" spans="1:34" x14ac:dyDescent="0.25">
      <c r="A80" s="121"/>
      <c r="B80" s="121"/>
      <c r="C80" s="121"/>
      <c r="D80" s="121"/>
      <c r="E80" s="121"/>
      <c r="F80" s="121"/>
      <c r="G80" s="121"/>
      <c r="H80" s="121"/>
      <c r="I80" s="121"/>
      <c r="J80" s="121"/>
      <c r="K80" s="121"/>
      <c r="L80" s="121"/>
      <c r="M80" s="121"/>
      <c r="N80" s="121"/>
      <c r="O80" s="121"/>
      <c r="P80" s="121"/>
      <c r="Q80" s="121"/>
      <c r="R80" s="121"/>
      <c r="S80" s="121"/>
      <c r="T80" s="121"/>
      <c r="U80" s="121"/>
      <c r="V80" s="121"/>
      <c r="W80" s="121"/>
      <c r="X80" s="121"/>
      <c r="Y80" s="121"/>
      <c r="Z80" s="121"/>
      <c r="AA80" s="121"/>
      <c r="AB80" s="121"/>
      <c r="AC80" s="121"/>
      <c r="AD80" s="121"/>
      <c r="AE80" s="121"/>
      <c r="AF80" s="121"/>
      <c r="AG80" s="121"/>
      <c r="AH80" s="121"/>
    </row>
    <row r="81" spans="1:34" x14ac:dyDescent="0.25">
      <c r="A81" s="121"/>
      <c r="B81" s="121"/>
      <c r="C81" s="121"/>
      <c r="D81" s="121"/>
      <c r="E81" s="121"/>
      <c r="F81" s="121"/>
      <c r="G81" s="121"/>
      <c r="H81" s="121"/>
      <c r="I81" s="121"/>
      <c r="J81" s="121"/>
      <c r="K81" s="121"/>
      <c r="L81" s="121"/>
      <c r="M81" s="121"/>
      <c r="N81" s="121"/>
      <c r="O81" s="121"/>
      <c r="P81" s="121"/>
      <c r="Q81" s="121"/>
      <c r="R81" s="121"/>
      <c r="S81" s="121"/>
      <c r="T81" s="121"/>
      <c r="U81" s="121"/>
      <c r="V81" s="121"/>
      <c r="W81" s="121"/>
      <c r="X81" s="121"/>
      <c r="Y81" s="121"/>
      <c r="Z81" s="121"/>
      <c r="AA81" s="121"/>
      <c r="AB81" s="121"/>
      <c r="AC81" s="121"/>
      <c r="AD81" s="121"/>
      <c r="AE81" s="121"/>
      <c r="AF81" s="121"/>
      <c r="AG81" s="121"/>
      <c r="AH81" s="121"/>
    </row>
    <row r="82" spans="1:34" x14ac:dyDescent="0.25">
      <c r="A82" s="121"/>
      <c r="B82" s="121"/>
      <c r="C82" s="121"/>
      <c r="D82" s="121"/>
      <c r="E82" s="121"/>
      <c r="F82" s="121"/>
      <c r="G82" s="121"/>
      <c r="H82" s="121"/>
      <c r="I82" s="121"/>
      <c r="J82" s="121"/>
      <c r="K82" s="121"/>
      <c r="L82" s="121"/>
      <c r="M82" s="121"/>
      <c r="N82" s="121"/>
      <c r="O82" s="121"/>
      <c r="P82" s="121"/>
      <c r="Q82" s="121"/>
      <c r="R82" s="121"/>
      <c r="S82" s="121"/>
      <c r="T82" s="121"/>
      <c r="U82" s="121"/>
      <c r="V82" s="121"/>
      <c r="W82" s="121"/>
      <c r="X82" s="121"/>
      <c r="Y82" s="121"/>
      <c r="Z82" s="121"/>
      <c r="AA82" s="121"/>
      <c r="AB82" s="121"/>
      <c r="AC82" s="121"/>
      <c r="AD82" s="121"/>
      <c r="AE82" s="121"/>
      <c r="AF82" s="121"/>
      <c r="AG82" s="121"/>
      <c r="AH82" s="121"/>
    </row>
    <row r="83" spans="1:34" x14ac:dyDescent="0.25">
      <c r="A83" s="121"/>
      <c r="B83" s="121"/>
      <c r="C83" s="121"/>
      <c r="D83" s="121"/>
      <c r="E83" s="121"/>
      <c r="F83" s="121"/>
      <c r="G83" s="121"/>
      <c r="H83" s="121"/>
      <c r="I83" s="121"/>
      <c r="J83" s="121"/>
      <c r="K83" s="121"/>
      <c r="L83" s="121"/>
      <c r="M83" s="121"/>
      <c r="N83" s="121"/>
      <c r="O83" s="121"/>
      <c r="P83" s="121"/>
      <c r="Q83" s="121"/>
      <c r="R83" s="121"/>
      <c r="S83" s="121"/>
      <c r="T83" s="121"/>
      <c r="U83" s="121"/>
      <c r="V83" s="121"/>
      <c r="W83" s="121"/>
      <c r="X83" s="121"/>
      <c r="Y83" s="121"/>
      <c r="Z83" s="121"/>
      <c r="AA83" s="121"/>
      <c r="AB83" s="121"/>
      <c r="AC83" s="121"/>
      <c r="AD83" s="121"/>
      <c r="AE83" s="121"/>
      <c r="AF83" s="121"/>
      <c r="AG83" s="121"/>
      <c r="AH83" s="121"/>
    </row>
    <row r="84" spans="1:34" x14ac:dyDescent="0.25">
      <c r="A84" s="121"/>
      <c r="B84" s="121"/>
      <c r="C84" s="121"/>
      <c r="D84" s="121"/>
      <c r="E84" s="121"/>
      <c r="F84" s="121"/>
      <c r="G84" s="121"/>
      <c r="H84" s="121"/>
      <c r="I84" s="121"/>
      <c r="J84" s="121"/>
      <c r="K84" s="121"/>
      <c r="L84" s="121"/>
      <c r="M84" s="121"/>
      <c r="N84" s="121"/>
      <c r="O84" s="121"/>
      <c r="P84" s="121"/>
      <c r="Q84" s="121"/>
      <c r="R84" s="121"/>
      <c r="S84" s="121"/>
      <c r="T84" s="121"/>
      <c r="U84" s="121"/>
      <c r="V84" s="121"/>
      <c r="W84" s="121"/>
      <c r="X84" s="121"/>
      <c r="Y84" s="121"/>
      <c r="Z84" s="121"/>
      <c r="AA84" s="121"/>
      <c r="AB84" s="121"/>
      <c r="AC84" s="121"/>
      <c r="AD84" s="121"/>
      <c r="AE84" s="121"/>
      <c r="AF84" s="121"/>
      <c r="AG84" s="121"/>
      <c r="AH84" s="121"/>
    </row>
    <row r="85" spans="1:34" x14ac:dyDescent="0.25">
      <c r="A85" s="121"/>
      <c r="B85" s="121"/>
      <c r="C85" s="121"/>
      <c r="D85" s="121"/>
      <c r="E85" s="121"/>
      <c r="F85" s="121"/>
      <c r="G85" s="121"/>
      <c r="H85" s="121"/>
      <c r="I85" s="121"/>
      <c r="J85" s="121"/>
      <c r="K85" s="121"/>
      <c r="L85" s="121"/>
      <c r="M85" s="121"/>
      <c r="N85" s="121"/>
      <c r="O85" s="121"/>
      <c r="P85" s="121"/>
      <c r="Q85" s="121"/>
      <c r="R85" s="121"/>
      <c r="S85" s="121"/>
      <c r="T85" s="121"/>
      <c r="U85" s="121"/>
      <c r="V85" s="121"/>
      <c r="W85" s="121"/>
      <c r="X85" s="121"/>
      <c r="Y85" s="121"/>
      <c r="Z85" s="121"/>
      <c r="AA85" s="121"/>
      <c r="AB85" s="121"/>
      <c r="AC85" s="121"/>
      <c r="AD85" s="121"/>
      <c r="AE85" s="121"/>
      <c r="AF85" s="121"/>
      <c r="AG85" s="121"/>
      <c r="AH85" s="121"/>
    </row>
    <row r="86" spans="1:34" x14ac:dyDescent="0.25">
      <c r="A86" s="121"/>
      <c r="B86" s="121"/>
      <c r="C86" s="121"/>
      <c r="D86" s="121"/>
      <c r="E86" s="121"/>
      <c r="F86" s="121"/>
      <c r="G86" s="121"/>
      <c r="H86" s="121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 s="121"/>
      <c r="Y86" s="121"/>
      <c r="Z86" s="121"/>
      <c r="AA86" s="121"/>
      <c r="AB86" s="121"/>
      <c r="AC86" s="121"/>
      <c r="AD86" s="121"/>
      <c r="AE86" s="121"/>
      <c r="AF86" s="121"/>
      <c r="AG86" s="121"/>
      <c r="AH86" s="121"/>
    </row>
    <row r="87" spans="1:34" x14ac:dyDescent="0.25">
      <c r="A87" s="121"/>
      <c r="B87" s="121"/>
      <c r="C87" s="121"/>
      <c r="D87" s="121"/>
      <c r="E87" s="121"/>
      <c r="F87" s="121"/>
      <c r="G87" s="121"/>
      <c r="H87" s="121"/>
      <c r="I87" s="121"/>
      <c r="J87" s="121"/>
      <c r="K87" s="121"/>
      <c r="L87" s="121"/>
      <c r="M87" s="121"/>
      <c r="N87" s="121"/>
      <c r="O87" s="121"/>
      <c r="P87" s="121"/>
      <c r="Q87" s="121"/>
      <c r="R87" s="121"/>
      <c r="S87" s="121"/>
      <c r="T87" s="121"/>
      <c r="U87" s="121"/>
      <c r="V87" s="121"/>
      <c r="W87" s="121"/>
      <c r="X87" s="121"/>
      <c r="Y87" s="121"/>
      <c r="Z87" s="121"/>
      <c r="AA87" s="121"/>
      <c r="AB87" s="121"/>
      <c r="AC87" s="121"/>
      <c r="AD87" s="121"/>
      <c r="AE87" s="121"/>
      <c r="AF87" s="121"/>
      <c r="AG87" s="121"/>
      <c r="AH87" s="121"/>
    </row>
    <row r="88" spans="1:34" x14ac:dyDescent="0.25">
      <c r="A88" s="121"/>
      <c r="B88" s="121"/>
      <c r="C88" s="121"/>
      <c r="D88" s="121"/>
      <c r="E88" s="121"/>
      <c r="F88" s="121"/>
      <c r="G88" s="121"/>
      <c r="H88" s="121"/>
      <c r="I88" s="121"/>
      <c r="J88" s="121"/>
      <c r="K88" s="121"/>
      <c r="L88" s="121"/>
      <c r="M88" s="121"/>
      <c r="N88" s="121"/>
      <c r="O88" s="121"/>
      <c r="P88" s="121"/>
      <c r="Q88" s="121"/>
      <c r="R88" s="121"/>
      <c r="S88" s="121"/>
      <c r="T88" s="121"/>
      <c r="U88" s="121"/>
      <c r="V88" s="121"/>
      <c r="W88" s="121"/>
      <c r="X88" s="121"/>
      <c r="Y88" s="121"/>
      <c r="Z88" s="121"/>
      <c r="AA88" s="121"/>
      <c r="AB88" s="121"/>
      <c r="AC88" s="121"/>
      <c r="AD88" s="121"/>
      <c r="AE88" s="121"/>
      <c r="AF88" s="121"/>
      <c r="AG88" s="121"/>
      <c r="AH88" s="121"/>
    </row>
    <row r="89" spans="1:34" x14ac:dyDescent="0.25">
      <c r="A89" s="121"/>
      <c r="B89" s="121"/>
      <c r="C89" s="121"/>
      <c r="D89" s="121"/>
      <c r="E89" s="121"/>
      <c r="F89" s="121"/>
      <c r="G89" s="121"/>
      <c r="H89" s="121"/>
      <c r="I89" s="121"/>
      <c r="J89" s="121"/>
      <c r="K89" s="121"/>
      <c r="L89" s="121"/>
      <c r="M89" s="121"/>
      <c r="N89" s="121"/>
      <c r="O89" s="121"/>
      <c r="P89" s="121"/>
      <c r="Q89" s="121"/>
      <c r="R89" s="121"/>
      <c r="S89" s="121"/>
      <c r="T89" s="121"/>
      <c r="U89" s="121"/>
      <c r="V89" s="121"/>
      <c r="W89" s="121"/>
      <c r="X89" s="121"/>
      <c r="Y89" s="121"/>
      <c r="Z89" s="121"/>
      <c r="AA89" s="121"/>
      <c r="AB89" s="121"/>
      <c r="AC89" s="121"/>
      <c r="AD89" s="121"/>
      <c r="AE89" s="121"/>
      <c r="AF89" s="121"/>
      <c r="AG89" s="121"/>
      <c r="AH89" s="121"/>
    </row>
    <row r="90" spans="1:34" x14ac:dyDescent="0.25">
      <c r="A90" s="121"/>
      <c r="B90" s="121"/>
      <c r="C90" s="121"/>
      <c r="D90" s="121"/>
      <c r="E90" s="121"/>
      <c r="F90" s="121"/>
      <c r="G90" s="121"/>
      <c r="H90" s="121"/>
      <c r="I90" s="121"/>
      <c r="J90" s="121"/>
      <c r="K90" s="121"/>
      <c r="L90" s="121"/>
      <c r="M90" s="121"/>
      <c r="N90" s="121"/>
      <c r="O90" s="121"/>
      <c r="P90" s="121"/>
      <c r="Q90" s="121"/>
      <c r="R90" s="121"/>
      <c r="S90" s="121"/>
      <c r="T90" s="121"/>
      <c r="U90" s="121"/>
      <c r="V90" s="121"/>
      <c r="W90" s="121"/>
      <c r="X90" s="121"/>
      <c r="Y90" s="121"/>
      <c r="Z90" s="121"/>
      <c r="AA90" s="121"/>
      <c r="AB90" s="121"/>
      <c r="AC90" s="121"/>
      <c r="AD90" s="121"/>
      <c r="AE90" s="121"/>
      <c r="AF90" s="121"/>
      <c r="AG90" s="121"/>
      <c r="AH90" s="121"/>
    </row>
    <row r="91" spans="1:34" x14ac:dyDescent="0.25">
      <c r="A91" s="121"/>
      <c r="B91" s="121"/>
      <c r="C91" s="121"/>
      <c r="D91" s="121"/>
      <c r="E91" s="121"/>
      <c r="F91" s="121"/>
      <c r="G91" s="121"/>
      <c r="H91" s="121"/>
      <c r="I91" s="121"/>
      <c r="J91" s="121"/>
      <c r="K91" s="121"/>
      <c r="L91" s="121"/>
      <c r="M91" s="121"/>
      <c r="N91" s="121"/>
      <c r="O91" s="121"/>
      <c r="P91" s="121"/>
      <c r="Q91" s="121"/>
      <c r="R91" s="121"/>
      <c r="S91" s="121"/>
      <c r="T91" s="121"/>
      <c r="U91" s="121"/>
      <c r="V91" s="121"/>
      <c r="W91" s="121"/>
      <c r="X91" s="121"/>
      <c r="Y91" s="121"/>
      <c r="Z91" s="121"/>
      <c r="AA91" s="121"/>
      <c r="AB91" s="121"/>
      <c r="AC91" s="121"/>
      <c r="AD91" s="121"/>
      <c r="AE91" s="121"/>
      <c r="AF91" s="121"/>
      <c r="AG91" s="121"/>
      <c r="AH91" s="121"/>
    </row>
    <row r="92" spans="1:34" x14ac:dyDescent="0.25">
      <c r="A92" s="121"/>
      <c r="B92" s="121"/>
      <c r="C92" s="121"/>
      <c r="D92" s="121"/>
      <c r="E92" s="121"/>
      <c r="F92" s="121"/>
      <c r="G92" s="121"/>
      <c r="H92" s="121"/>
      <c r="I92" s="121"/>
      <c r="J92" s="121"/>
      <c r="K92" s="121"/>
      <c r="L92" s="121"/>
      <c r="M92" s="121"/>
      <c r="N92" s="121"/>
      <c r="O92" s="121"/>
      <c r="P92" s="121"/>
      <c r="Q92" s="121"/>
      <c r="R92" s="121"/>
      <c r="S92" s="121"/>
      <c r="T92" s="121"/>
      <c r="U92" s="121"/>
      <c r="V92" s="121"/>
      <c r="W92" s="121"/>
      <c r="X92" s="121"/>
      <c r="Y92" s="121"/>
      <c r="Z92" s="121"/>
      <c r="AA92" s="121"/>
      <c r="AB92" s="121"/>
      <c r="AC92" s="121"/>
      <c r="AD92" s="121"/>
      <c r="AE92" s="121"/>
      <c r="AF92" s="121"/>
      <c r="AG92" s="121"/>
      <c r="AH92" s="121"/>
    </row>
    <row r="93" spans="1:34" x14ac:dyDescent="0.25">
      <c r="A93" s="121"/>
      <c r="B93" s="121"/>
      <c r="C93" s="121"/>
      <c r="D93" s="121"/>
      <c r="E93" s="121"/>
      <c r="F93" s="121"/>
      <c r="G93" s="121"/>
      <c r="H93" s="121"/>
      <c r="I93" s="121"/>
      <c r="J93" s="121"/>
      <c r="K93" s="121"/>
      <c r="L93" s="121"/>
      <c r="M93" s="121"/>
      <c r="N93" s="121"/>
      <c r="O93" s="121"/>
      <c r="P93" s="121"/>
      <c r="Q93" s="121"/>
      <c r="R93" s="121"/>
      <c r="S93" s="121"/>
      <c r="T93" s="121"/>
      <c r="U93" s="121"/>
      <c r="V93" s="121"/>
      <c r="W93" s="121"/>
      <c r="X93" s="121"/>
      <c r="Y93" s="121"/>
      <c r="Z93" s="121"/>
      <c r="AA93" s="121"/>
      <c r="AB93" s="121"/>
      <c r="AC93" s="121"/>
      <c r="AD93" s="121"/>
      <c r="AE93" s="121"/>
      <c r="AF93" s="121"/>
      <c r="AG93" s="121"/>
      <c r="AH93" s="121"/>
    </row>
    <row r="94" spans="1:34" x14ac:dyDescent="0.25">
      <c r="A94" s="121"/>
      <c r="B94" s="121"/>
      <c r="C94" s="121"/>
      <c r="D94" s="121"/>
      <c r="E94" s="121"/>
      <c r="F94" s="121"/>
      <c r="G94" s="121"/>
      <c r="H94" s="121"/>
      <c r="I94" s="121"/>
      <c r="J94" s="121"/>
      <c r="K94" s="121"/>
      <c r="L94" s="121"/>
      <c r="M94" s="121"/>
      <c r="N94" s="121"/>
      <c r="O94" s="121"/>
      <c r="P94" s="121"/>
      <c r="Q94" s="121"/>
      <c r="R94" s="121"/>
      <c r="S94" s="121"/>
      <c r="T94" s="121"/>
      <c r="U94" s="121"/>
      <c r="V94" s="121"/>
      <c r="W94" s="121"/>
      <c r="X94" s="121"/>
      <c r="Y94" s="121"/>
      <c r="Z94" s="121"/>
      <c r="AA94" s="121"/>
      <c r="AB94" s="121"/>
      <c r="AC94" s="121"/>
      <c r="AD94" s="121"/>
      <c r="AE94" s="121"/>
      <c r="AF94" s="121"/>
      <c r="AG94" s="121"/>
      <c r="AH94" s="121"/>
    </row>
    <row r="95" spans="1:34" x14ac:dyDescent="0.25">
      <c r="A95" s="121"/>
      <c r="B95" s="121"/>
      <c r="C95" s="121"/>
      <c r="D95" s="121"/>
      <c r="E95" s="121"/>
      <c r="F95" s="121"/>
      <c r="G95" s="121"/>
      <c r="H95" s="121"/>
      <c r="I95" s="121"/>
      <c r="J95" s="121"/>
      <c r="K95" s="121"/>
      <c r="L95" s="121"/>
      <c r="M95" s="121"/>
      <c r="N95" s="121"/>
      <c r="O95" s="121"/>
      <c r="P95" s="121"/>
      <c r="Q95" s="121"/>
      <c r="R95" s="121"/>
      <c r="S95" s="121"/>
      <c r="T95" s="121"/>
      <c r="U95" s="121"/>
      <c r="V95" s="121"/>
      <c r="W95" s="121"/>
      <c r="X95" s="121"/>
      <c r="Y95" s="121"/>
      <c r="Z95" s="121"/>
      <c r="AA95" s="121"/>
      <c r="AB95" s="121"/>
      <c r="AC95" s="121"/>
      <c r="AD95" s="121"/>
      <c r="AE95" s="121"/>
      <c r="AF95" s="121"/>
      <c r="AG95" s="121"/>
      <c r="AH95" s="121"/>
    </row>
    <row r="96" spans="1:34" x14ac:dyDescent="0.25">
      <c r="A96" s="121"/>
      <c r="B96" s="121"/>
      <c r="C96" s="121"/>
      <c r="D96" s="121"/>
      <c r="E96" s="121"/>
      <c r="F96" s="121"/>
      <c r="G96" s="121"/>
      <c r="H96" s="121"/>
      <c r="I96" s="121"/>
      <c r="J96" s="121"/>
      <c r="K96" s="121"/>
      <c r="L96" s="121"/>
      <c r="M96" s="121"/>
      <c r="N96" s="121"/>
      <c r="O96" s="121"/>
      <c r="P96" s="121"/>
      <c r="Q96" s="121"/>
      <c r="R96" s="121"/>
      <c r="S96" s="121"/>
      <c r="T96" s="121"/>
      <c r="U96" s="121"/>
      <c r="V96" s="121"/>
      <c r="W96" s="121"/>
      <c r="X96" s="121"/>
      <c r="Y96" s="121"/>
      <c r="Z96" s="121"/>
      <c r="AA96" s="121"/>
      <c r="AB96" s="121"/>
      <c r="AC96" s="121"/>
      <c r="AD96" s="121"/>
      <c r="AE96" s="121"/>
      <c r="AF96" s="121"/>
      <c r="AG96" s="121"/>
      <c r="AH96" s="121"/>
    </row>
    <row r="97" spans="1:34" x14ac:dyDescent="0.25">
      <c r="A97" s="121"/>
      <c r="B97" s="121"/>
      <c r="C97" s="121"/>
      <c r="D97" s="121"/>
      <c r="E97" s="121"/>
      <c r="F97" s="121"/>
      <c r="G97" s="121"/>
      <c r="H97" s="121"/>
      <c r="I97" s="121"/>
      <c r="J97" s="121"/>
      <c r="K97" s="121"/>
      <c r="L97" s="121"/>
      <c r="M97" s="121"/>
      <c r="N97" s="121"/>
      <c r="O97" s="121"/>
      <c r="P97" s="121"/>
      <c r="Q97" s="121"/>
      <c r="R97" s="121"/>
      <c r="S97" s="121"/>
      <c r="T97" s="121"/>
      <c r="U97" s="121"/>
      <c r="V97" s="121"/>
      <c r="W97" s="121"/>
      <c r="X97" s="121"/>
      <c r="Y97" s="121"/>
      <c r="Z97" s="121"/>
      <c r="AA97" s="121"/>
      <c r="AB97" s="121"/>
      <c r="AC97" s="121"/>
      <c r="AD97" s="121"/>
      <c r="AE97" s="121"/>
      <c r="AF97" s="121"/>
      <c r="AG97" s="121"/>
      <c r="AH97" s="121"/>
    </row>
    <row r="98" spans="1:34" x14ac:dyDescent="0.25">
      <c r="A98" s="121"/>
      <c r="B98" s="121"/>
      <c r="C98" s="121"/>
      <c r="D98" s="121"/>
      <c r="E98" s="121"/>
      <c r="F98" s="121"/>
      <c r="G98" s="121"/>
      <c r="H98" s="121"/>
      <c r="I98" s="121"/>
      <c r="J98" s="121"/>
      <c r="K98" s="121"/>
      <c r="L98" s="121"/>
      <c r="M98" s="121"/>
      <c r="N98" s="121"/>
      <c r="O98" s="121"/>
      <c r="P98" s="121"/>
      <c r="Q98" s="121"/>
      <c r="R98" s="121"/>
      <c r="S98" s="121"/>
      <c r="T98" s="121"/>
      <c r="U98" s="121"/>
      <c r="V98" s="121"/>
      <c r="W98" s="121"/>
      <c r="X98" s="121"/>
      <c r="Y98" s="121"/>
      <c r="Z98" s="121"/>
      <c r="AA98" s="121"/>
      <c r="AB98" s="121"/>
      <c r="AC98" s="121"/>
      <c r="AD98" s="121"/>
      <c r="AE98" s="121"/>
      <c r="AF98" s="121"/>
      <c r="AG98" s="121"/>
      <c r="AH98" s="121"/>
    </row>
    <row r="99" spans="1:34" x14ac:dyDescent="0.25">
      <c r="A99" s="121"/>
      <c r="B99" s="121"/>
      <c r="C99" s="121"/>
      <c r="D99" s="121"/>
      <c r="E99" s="121"/>
      <c r="F99" s="121"/>
      <c r="G99" s="121"/>
      <c r="H99" s="121"/>
      <c r="I99" s="121"/>
      <c r="J99" s="121"/>
      <c r="K99" s="121"/>
      <c r="L99" s="121"/>
      <c r="M99" s="121"/>
      <c r="N99" s="121"/>
      <c r="O99" s="121"/>
      <c r="P99" s="121"/>
      <c r="Q99" s="121"/>
      <c r="R99" s="121"/>
      <c r="S99" s="121"/>
      <c r="T99" s="121"/>
      <c r="U99" s="121"/>
      <c r="V99" s="121"/>
      <c r="W99" s="121"/>
      <c r="X99" s="121"/>
      <c r="Y99" s="121"/>
      <c r="Z99" s="121"/>
      <c r="AA99" s="121"/>
      <c r="AB99" s="121"/>
      <c r="AC99" s="121"/>
      <c r="AD99" s="121"/>
      <c r="AE99" s="121"/>
      <c r="AF99" s="121"/>
      <c r="AG99" s="121"/>
      <c r="AH99" s="121"/>
    </row>
    <row r="100" spans="1:34" x14ac:dyDescent="0.25">
      <c r="A100" s="121"/>
      <c r="B100" s="121"/>
      <c r="C100" s="121"/>
      <c r="D100" s="121"/>
      <c r="E100" s="121"/>
      <c r="F100" s="121"/>
      <c r="G100" s="121"/>
      <c r="H100" s="121"/>
      <c r="I100" s="121"/>
      <c r="J100" s="121"/>
      <c r="K100" s="121"/>
      <c r="L100" s="121"/>
      <c r="M100" s="121"/>
      <c r="N100" s="121"/>
      <c r="O100" s="121"/>
      <c r="P100" s="121"/>
      <c r="Q100" s="121"/>
      <c r="R100" s="121"/>
      <c r="S100" s="121"/>
      <c r="T100" s="121"/>
      <c r="U100" s="121"/>
      <c r="V100" s="121"/>
      <c r="W100" s="121"/>
      <c r="X100" s="121"/>
      <c r="Y100" s="121"/>
      <c r="Z100" s="121"/>
      <c r="AA100" s="121"/>
      <c r="AB100" s="121"/>
      <c r="AC100" s="121"/>
      <c r="AD100" s="121"/>
      <c r="AE100" s="121"/>
      <c r="AF100" s="121"/>
      <c r="AG100" s="121"/>
      <c r="AH100" s="121"/>
    </row>
    <row r="101" spans="1:34" x14ac:dyDescent="0.25">
      <c r="A101" s="121"/>
      <c r="B101" s="121"/>
      <c r="C101" s="121"/>
      <c r="D101" s="121"/>
      <c r="E101" s="121"/>
      <c r="F101" s="121"/>
      <c r="G101" s="121"/>
      <c r="H101" s="121"/>
      <c r="I101" s="121"/>
      <c r="J101" s="121"/>
      <c r="K101" s="121"/>
      <c r="L101" s="121"/>
      <c r="M101" s="121"/>
      <c r="N101" s="121"/>
      <c r="O101" s="121"/>
      <c r="P101" s="121"/>
      <c r="Q101" s="121"/>
      <c r="R101" s="121"/>
      <c r="S101" s="121"/>
      <c r="T101" s="121"/>
      <c r="U101" s="121"/>
      <c r="V101" s="121"/>
      <c r="W101" s="121"/>
      <c r="X101" s="121"/>
      <c r="Y101" s="121"/>
      <c r="Z101" s="121"/>
      <c r="AA101" s="121"/>
      <c r="AB101" s="121"/>
      <c r="AC101" s="121"/>
      <c r="AD101" s="121"/>
      <c r="AE101" s="121"/>
      <c r="AF101" s="121"/>
      <c r="AG101" s="121"/>
      <c r="AH101" s="121"/>
    </row>
    <row r="102" spans="1:34" x14ac:dyDescent="0.25">
      <c r="A102" s="121"/>
      <c r="B102" s="121"/>
      <c r="C102" s="121"/>
      <c r="D102" s="121"/>
      <c r="E102" s="121"/>
      <c r="F102" s="121"/>
      <c r="G102" s="121"/>
      <c r="H102" s="121"/>
      <c r="I102" s="121"/>
      <c r="J102" s="121"/>
      <c r="K102" s="121"/>
      <c r="L102" s="121"/>
      <c r="M102" s="121"/>
      <c r="N102" s="121"/>
      <c r="O102" s="121"/>
      <c r="P102" s="121"/>
      <c r="Q102" s="121"/>
      <c r="R102" s="121"/>
      <c r="S102" s="121"/>
      <c r="T102" s="121"/>
      <c r="U102" s="121"/>
      <c r="V102" s="121"/>
      <c r="W102" s="121"/>
      <c r="X102" s="121"/>
      <c r="Y102" s="121"/>
      <c r="Z102" s="121"/>
      <c r="AA102" s="121"/>
      <c r="AB102" s="121"/>
      <c r="AC102" s="121"/>
      <c r="AD102" s="121"/>
      <c r="AE102" s="121"/>
      <c r="AF102" s="121"/>
      <c r="AG102" s="121"/>
      <c r="AH102" s="121"/>
    </row>
    <row r="103" spans="1:34" x14ac:dyDescent="0.25">
      <c r="A103" s="121"/>
      <c r="B103" s="121"/>
      <c r="C103" s="121"/>
      <c r="D103" s="121"/>
      <c r="E103" s="121"/>
      <c r="F103" s="121"/>
      <c r="G103" s="121"/>
      <c r="H103" s="121"/>
      <c r="I103" s="121"/>
      <c r="J103" s="121"/>
      <c r="K103" s="121"/>
      <c r="L103" s="121"/>
      <c r="M103" s="121"/>
      <c r="N103" s="121"/>
      <c r="O103" s="121"/>
      <c r="P103" s="121"/>
      <c r="Q103" s="121"/>
      <c r="R103" s="121"/>
      <c r="S103" s="121"/>
      <c r="T103" s="121"/>
      <c r="U103" s="121"/>
      <c r="V103" s="121"/>
      <c r="W103" s="121"/>
      <c r="X103" s="121"/>
      <c r="Y103" s="121"/>
      <c r="Z103" s="121"/>
      <c r="AA103" s="121"/>
      <c r="AB103" s="121"/>
      <c r="AC103" s="121"/>
      <c r="AD103" s="121"/>
      <c r="AE103" s="121"/>
      <c r="AF103" s="121"/>
      <c r="AG103" s="121"/>
      <c r="AH103" s="121"/>
    </row>
    <row r="104" spans="1:34" x14ac:dyDescent="0.25">
      <c r="A104" s="121"/>
      <c r="B104" s="121"/>
      <c r="C104" s="121"/>
      <c r="D104" s="121"/>
      <c r="E104" s="121"/>
      <c r="F104" s="121"/>
      <c r="G104" s="121"/>
      <c r="H104" s="121"/>
      <c r="I104" s="121"/>
      <c r="J104" s="121"/>
      <c r="K104" s="121"/>
      <c r="L104" s="121"/>
      <c r="M104" s="121"/>
      <c r="N104" s="121"/>
      <c r="O104" s="121"/>
      <c r="P104" s="121"/>
      <c r="Q104" s="121"/>
      <c r="R104" s="121"/>
      <c r="S104" s="121"/>
      <c r="T104" s="121"/>
      <c r="U104" s="121"/>
      <c r="V104" s="121"/>
      <c r="W104" s="121"/>
      <c r="X104" s="121"/>
      <c r="Y104" s="121"/>
      <c r="Z104" s="121"/>
      <c r="AA104" s="121"/>
      <c r="AB104" s="121"/>
      <c r="AC104" s="121"/>
      <c r="AD104" s="121"/>
      <c r="AE104" s="121"/>
      <c r="AF104" s="121"/>
      <c r="AG104" s="121"/>
      <c r="AH104" s="121"/>
    </row>
    <row r="105" spans="1:34" x14ac:dyDescent="0.25">
      <c r="A105" s="121"/>
      <c r="B105" s="121"/>
      <c r="C105" s="121"/>
      <c r="D105" s="121"/>
      <c r="E105" s="121"/>
      <c r="F105" s="121"/>
      <c r="G105" s="121"/>
      <c r="H105" s="121"/>
      <c r="I105" s="121"/>
      <c r="J105" s="121"/>
      <c r="K105" s="121"/>
      <c r="L105" s="121"/>
      <c r="M105" s="121"/>
      <c r="N105" s="121"/>
      <c r="O105" s="121"/>
      <c r="P105" s="121"/>
      <c r="Q105" s="121"/>
      <c r="R105" s="121"/>
      <c r="S105" s="121"/>
      <c r="T105" s="121"/>
      <c r="U105" s="121"/>
      <c r="V105" s="121"/>
      <c r="W105" s="121"/>
      <c r="X105" s="121"/>
      <c r="Y105" s="121"/>
      <c r="Z105" s="121"/>
      <c r="AA105" s="121"/>
      <c r="AB105" s="121"/>
      <c r="AC105" s="121"/>
      <c r="AD105" s="121"/>
      <c r="AE105" s="121"/>
      <c r="AF105" s="121"/>
      <c r="AG105" s="121"/>
      <c r="AH105" s="121"/>
    </row>
    <row r="106" spans="1:34" x14ac:dyDescent="0.25">
      <c r="A106" s="121"/>
      <c r="B106" s="121"/>
      <c r="C106" s="121"/>
      <c r="D106" s="121"/>
      <c r="E106" s="121"/>
      <c r="F106" s="121"/>
      <c r="G106" s="121"/>
      <c r="H106" s="121"/>
      <c r="I106" s="121"/>
      <c r="J106" s="121"/>
      <c r="K106" s="121"/>
      <c r="L106" s="121"/>
      <c r="M106" s="121"/>
      <c r="N106" s="121"/>
      <c r="O106" s="121"/>
      <c r="P106" s="121"/>
      <c r="Q106" s="121"/>
      <c r="R106" s="121"/>
      <c r="S106" s="121"/>
      <c r="T106" s="121"/>
      <c r="U106" s="121"/>
      <c r="V106" s="121"/>
      <c r="W106" s="121"/>
      <c r="X106" s="121"/>
      <c r="Y106" s="121"/>
      <c r="Z106" s="121"/>
      <c r="AA106" s="121"/>
      <c r="AB106" s="121"/>
      <c r="AC106" s="121"/>
      <c r="AD106" s="121"/>
      <c r="AE106" s="121"/>
      <c r="AF106" s="121"/>
      <c r="AG106" s="121"/>
      <c r="AH106" s="121"/>
    </row>
    <row r="107" spans="1:34" x14ac:dyDescent="0.25">
      <c r="A107" s="121"/>
      <c r="B107" s="121"/>
      <c r="C107" s="121"/>
      <c r="D107" s="121"/>
      <c r="E107" s="121"/>
      <c r="F107" s="121"/>
      <c r="G107" s="121"/>
      <c r="H107" s="121"/>
      <c r="I107" s="121"/>
      <c r="J107" s="121"/>
      <c r="K107" s="121"/>
      <c r="L107" s="121"/>
      <c r="M107" s="121"/>
      <c r="N107" s="121"/>
      <c r="O107" s="121"/>
      <c r="P107" s="121"/>
      <c r="Q107" s="121"/>
      <c r="R107" s="121"/>
      <c r="S107" s="121"/>
      <c r="T107" s="121"/>
      <c r="U107" s="121"/>
      <c r="V107" s="121"/>
      <c r="W107" s="121"/>
      <c r="X107" s="121"/>
      <c r="Y107" s="121"/>
      <c r="Z107" s="121"/>
      <c r="AA107" s="121"/>
      <c r="AB107" s="121"/>
      <c r="AC107" s="121"/>
      <c r="AD107" s="121"/>
      <c r="AE107" s="121"/>
      <c r="AF107" s="121"/>
      <c r="AG107" s="121"/>
      <c r="AH107" s="121"/>
    </row>
    <row r="108" spans="1:34" x14ac:dyDescent="0.25">
      <c r="A108" s="121"/>
      <c r="B108" s="121"/>
      <c r="C108" s="121"/>
      <c r="D108" s="121"/>
      <c r="E108" s="121"/>
      <c r="F108" s="121"/>
      <c r="G108" s="121"/>
      <c r="H108" s="121"/>
      <c r="I108" s="121"/>
      <c r="J108" s="121"/>
      <c r="K108" s="121"/>
      <c r="L108" s="121"/>
      <c r="M108" s="121"/>
      <c r="N108" s="121"/>
      <c r="O108" s="121"/>
      <c r="P108" s="121"/>
      <c r="Q108" s="121"/>
      <c r="R108" s="121"/>
      <c r="S108" s="121"/>
      <c r="T108" s="121"/>
      <c r="U108" s="121"/>
      <c r="V108" s="121"/>
      <c r="W108" s="121"/>
      <c r="X108" s="121"/>
      <c r="Y108" s="121"/>
      <c r="Z108" s="121"/>
      <c r="AA108" s="121"/>
      <c r="AB108" s="121"/>
      <c r="AC108" s="121"/>
      <c r="AD108" s="121"/>
      <c r="AE108" s="121"/>
      <c r="AF108" s="121"/>
      <c r="AG108" s="121"/>
      <c r="AH108" s="121"/>
    </row>
    <row r="109" spans="1:34" x14ac:dyDescent="0.25">
      <c r="A109" s="121"/>
      <c r="B109" s="121"/>
      <c r="C109" s="121"/>
      <c r="D109" s="121"/>
      <c r="E109" s="121"/>
      <c r="F109" s="121"/>
      <c r="G109" s="121"/>
      <c r="H109" s="121"/>
      <c r="I109" s="121"/>
      <c r="J109" s="121"/>
      <c r="K109" s="121"/>
      <c r="L109" s="121"/>
      <c r="M109" s="121"/>
      <c r="N109" s="121"/>
      <c r="O109" s="121"/>
      <c r="P109" s="121"/>
      <c r="Q109" s="121"/>
      <c r="R109" s="121"/>
      <c r="S109" s="121"/>
      <c r="T109" s="121"/>
      <c r="U109" s="121"/>
      <c r="V109" s="121"/>
      <c r="W109" s="121"/>
      <c r="X109" s="121"/>
      <c r="Y109" s="121"/>
      <c r="Z109" s="121"/>
      <c r="AA109" s="121"/>
      <c r="AB109" s="121"/>
      <c r="AC109" s="121"/>
      <c r="AD109" s="121"/>
      <c r="AE109" s="121"/>
      <c r="AF109" s="121"/>
      <c r="AG109" s="121"/>
      <c r="AH109" s="121"/>
    </row>
    <row r="110" spans="1:34" x14ac:dyDescent="0.25">
      <c r="A110" s="121"/>
      <c r="B110" s="121"/>
      <c r="C110" s="121"/>
      <c r="D110" s="121"/>
      <c r="E110" s="121"/>
      <c r="F110" s="121"/>
      <c r="G110" s="121"/>
      <c r="H110" s="121"/>
      <c r="I110" s="121"/>
      <c r="J110" s="121"/>
      <c r="K110" s="121"/>
      <c r="L110" s="121"/>
      <c r="M110" s="121"/>
      <c r="N110" s="121"/>
      <c r="O110" s="121"/>
      <c r="P110" s="121"/>
      <c r="Q110" s="121"/>
      <c r="R110" s="121"/>
      <c r="S110" s="121"/>
      <c r="T110" s="121"/>
      <c r="U110" s="121"/>
      <c r="V110" s="121"/>
      <c r="W110" s="121"/>
      <c r="X110" s="121"/>
      <c r="Y110" s="121"/>
      <c r="Z110" s="121"/>
      <c r="AA110" s="121"/>
      <c r="AB110" s="121"/>
      <c r="AC110" s="121"/>
      <c r="AD110" s="121"/>
      <c r="AE110" s="121"/>
      <c r="AF110" s="121"/>
      <c r="AG110" s="121"/>
      <c r="AH110" s="121"/>
    </row>
    <row r="111" spans="1:34" x14ac:dyDescent="0.25">
      <c r="A111" s="121"/>
      <c r="B111" s="121"/>
      <c r="C111" s="121"/>
      <c r="D111" s="121"/>
      <c r="E111" s="121"/>
      <c r="F111" s="121"/>
      <c r="G111" s="121"/>
      <c r="H111" s="121"/>
      <c r="I111" s="121"/>
      <c r="J111" s="121"/>
      <c r="K111" s="121"/>
      <c r="L111" s="121"/>
      <c r="M111" s="121"/>
      <c r="N111" s="121"/>
      <c r="O111" s="121"/>
      <c r="P111" s="121"/>
      <c r="Q111" s="121"/>
      <c r="R111" s="121"/>
      <c r="S111" s="121"/>
      <c r="T111" s="121"/>
      <c r="U111" s="121"/>
      <c r="V111" s="121"/>
      <c r="W111" s="121"/>
      <c r="X111" s="121"/>
      <c r="Y111" s="121"/>
      <c r="Z111" s="121"/>
      <c r="AA111" s="121"/>
      <c r="AB111" s="121"/>
      <c r="AC111" s="121"/>
      <c r="AD111" s="121"/>
      <c r="AE111" s="121"/>
      <c r="AF111" s="121"/>
      <c r="AG111" s="121"/>
      <c r="AH111" s="121"/>
    </row>
    <row r="112" spans="1:34" x14ac:dyDescent="0.25">
      <c r="A112" s="121"/>
      <c r="B112" s="121"/>
      <c r="C112" s="121"/>
      <c r="D112" s="121"/>
      <c r="E112" s="121"/>
      <c r="F112" s="121"/>
      <c r="G112" s="121"/>
      <c r="H112" s="121"/>
      <c r="I112" s="121"/>
      <c r="J112" s="121"/>
      <c r="K112" s="121"/>
      <c r="L112" s="121"/>
      <c r="M112" s="121"/>
      <c r="N112" s="121"/>
      <c r="O112" s="121"/>
      <c r="P112" s="121"/>
      <c r="Q112" s="121"/>
      <c r="R112" s="121"/>
      <c r="S112" s="121"/>
      <c r="T112" s="121"/>
      <c r="U112" s="121"/>
      <c r="V112" s="121"/>
      <c r="W112" s="121"/>
      <c r="X112" s="121"/>
      <c r="Y112" s="121"/>
      <c r="Z112" s="121"/>
      <c r="AA112" s="121"/>
      <c r="AB112" s="121"/>
      <c r="AC112" s="121"/>
      <c r="AD112" s="121"/>
      <c r="AE112" s="121"/>
      <c r="AF112" s="121"/>
      <c r="AG112" s="121"/>
      <c r="AH112" s="121"/>
    </row>
    <row r="113" spans="1:34" x14ac:dyDescent="0.25">
      <c r="A113" s="121"/>
      <c r="B113" s="121"/>
      <c r="C113" s="121"/>
      <c r="D113" s="121"/>
      <c r="E113" s="121"/>
      <c r="F113" s="121"/>
      <c r="G113" s="121"/>
      <c r="H113" s="121"/>
      <c r="I113" s="121"/>
      <c r="J113" s="121"/>
      <c r="K113" s="121"/>
      <c r="L113" s="121"/>
      <c r="M113" s="121"/>
      <c r="N113" s="121"/>
      <c r="O113" s="121"/>
      <c r="P113" s="121"/>
      <c r="Q113" s="121"/>
      <c r="R113" s="121"/>
      <c r="S113" s="121"/>
      <c r="T113" s="121"/>
      <c r="U113" s="121"/>
      <c r="V113" s="121"/>
      <c r="W113" s="121"/>
      <c r="X113" s="121"/>
      <c r="Y113" s="121"/>
      <c r="Z113" s="121"/>
      <c r="AA113" s="121"/>
      <c r="AB113" s="121"/>
      <c r="AC113" s="121"/>
      <c r="AD113" s="121"/>
      <c r="AE113" s="121"/>
      <c r="AF113" s="121"/>
      <c r="AG113" s="121"/>
      <c r="AH113" s="121"/>
    </row>
    <row r="114" spans="1:34" x14ac:dyDescent="0.25">
      <c r="A114" s="121"/>
      <c r="B114" s="121"/>
      <c r="C114" s="121"/>
      <c r="D114" s="121"/>
      <c r="E114" s="121"/>
      <c r="F114" s="121"/>
      <c r="G114" s="121"/>
      <c r="H114" s="121"/>
      <c r="I114" s="121"/>
      <c r="J114" s="121"/>
      <c r="K114" s="121"/>
      <c r="L114" s="121"/>
      <c r="M114" s="121"/>
      <c r="N114" s="121"/>
      <c r="O114" s="121"/>
      <c r="P114" s="121"/>
      <c r="Q114" s="121"/>
      <c r="R114" s="121"/>
      <c r="S114" s="121"/>
      <c r="T114" s="121"/>
      <c r="U114" s="121"/>
      <c r="V114" s="121"/>
      <c r="W114" s="121"/>
      <c r="X114" s="121"/>
      <c r="Y114" s="121"/>
      <c r="Z114" s="121"/>
      <c r="AA114" s="121"/>
      <c r="AB114" s="121"/>
      <c r="AC114" s="121"/>
      <c r="AD114" s="121"/>
      <c r="AE114" s="121"/>
      <c r="AF114" s="121"/>
      <c r="AG114" s="121"/>
      <c r="AH114" s="121"/>
    </row>
    <row r="115" spans="1:34" x14ac:dyDescent="0.25">
      <c r="A115" s="121"/>
      <c r="B115" s="121"/>
      <c r="C115" s="121"/>
      <c r="D115" s="121"/>
      <c r="E115" s="121"/>
      <c r="F115" s="121"/>
      <c r="G115" s="121"/>
      <c r="H115" s="121"/>
      <c r="I115" s="121"/>
      <c r="J115" s="121"/>
      <c r="K115" s="121"/>
      <c r="L115" s="121"/>
      <c r="M115" s="121"/>
      <c r="N115" s="121"/>
      <c r="O115" s="121"/>
      <c r="P115" s="121"/>
      <c r="Q115" s="121"/>
      <c r="R115" s="121"/>
      <c r="S115" s="121"/>
      <c r="T115" s="121"/>
      <c r="U115" s="121"/>
      <c r="V115" s="121"/>
      <c r="W115" s="121"/>
      <c r="X115" s="121"/>
      <c r="Y115" s="121"/>
      <c r="Z115" s="121"/>
      <c r="AA115" s="121"/>
      <c r="AB115" s="121"/>
      <c r="AC115" s="121"/>
      <c r="AD115" s="121"/>
      <c r="AE115" s="121"/>
      <c r="AF115" s="121"/>
      <c r="AG115" s="121"/>
      <c r="AH115" s="121"/>
    </row>
    <row r="116" spans="1:34" x14ac:dyDescent="0.25">
      <c r="A116" s="121"/>
      <c r="B116" s="121"/>
      <c r="C116" s="121"/>
      <c r="D116" s="121"/>
      <c r="E116" s="121"/>
      <c r="F116" s="121"/>
      <c r="G116" s="121"/>
      <c r="H116" s="121"/>
      <c r="I116" s="121"/>
      <c r="J116" s="121"/>
      <c r="K116" s="121"/>
      <c r="L116" s="121"/>
      <c r="M116" s="121"/>
      <c r="N116" s="121"/>
      <c r="O116" s="121"/>
      <c r="P116" s="121"/>
      <c r="Q116" s="121"/>
      <c r="R116" s="121"/>
      <c r="S116" s="121"/>
      <c r="T116" s="121"/>
      <c r="U116" s="121"/>
      <c r="V116" s="121"/>
      <c r="W116" s="121"/>
      <c r="X116" s="121"/>
      <c r="Y116" s="121"/>
      <c r="Z116" s="121"/>
      <c r="AA116" s="121"/>
      <c r="AB116" s="121"/>
      <c r="AC116" s="121"/>
      <c r="AD116" s="121"/>
      <c r="AE116" s="121"/>
      <c r="AF116" s="121"/>
      <c r="AG116" s="121"/>
      <c r="AH116" s="121"/>
    </row>
    <row r="117" spans="1:34" x14ac:dyDescent="0.25">
      <c r="A117" s="121"/>
      <c r="B117" s="121"/>
      <c r="C117" s="121"/>
      <c r="D117" s="121"/>
      <c r="E117" s="121"/>
      <c r="F117" s="121"/>
      <c r="G117" s="121"/>
      <c r="H117" s="121"/>
      <c r="I117" s="121"/>
      <c r="J117" s="121"/>
      <c r="K117" s="121"/>
      <c r="L117" s="121"/>
      <c r="M117" s="121"/>
      <c r="N117" s="121"/>
      <c r="O117" s="121"/>
      <c r="P117" s="121"/>
      <c r="Q117" s="121"/>
      <c r="R117" s="121"/>
      <c r="S117" s="121"/>
      <c r="T117" s="121"/>
      <c r="U117" s="121"/>
      <c r="V117" s="121"/>
      <c r="W117" s="121"/>
      <c r="X117" s="121"/>
      <c r="Y117" s="121"/>
      <c r="Z117" s="121"/>
      <c r="AA117" s="121"/>
      <c r="AB117" s="121"/>
      <c r="AC117" s="121"/>
      <c r="AD117" s="121"/>
      <c r="AE117" s="121"/>
      <c r="AF117" s="121"/>
      <c r="AG117" s="121"/>
      <c r="AH117" s="121"/>
    </row>
    <row r="118" spans="1:34" x14ac:dyDescent="0.25">
      <c r="A118" s="121"/>
      <c r="B118" s="121"/>
      <c r="C118" s="121"/>
      <c r="D118" s="121"/>
      <c r="E118" s="121"/>
      <c r="F118" s="121"/>
      <c r="G118" s="121"/>
      <c r="H118" s="121"/>
      <c r="I118" s="121"/>
      <c r="J118" s="121"/>
      <c r="K118" s="121"/>
      <c r="L118" s="121"/>
      <c r="M118" s="121"/>
      <c r="N118" s="121"/>
      <c r="O118" s="121"/>
      <c r="P118" s="121"/>
      <c r="Q118" s="121"/>
      <c r="R118" s="121"/>
      <c r="S118" s="121"/>
      <c r="T118" s="121"/>
      <c r="U118" s="121"/>
      <c r="V118" s="121"/>
      <c r="W118" s="121"/>
      <c r="X118" s="121"/>
      <c r="Y118" s="121"/>
      <c r="Z118" s="121"/>
      <c r="AA118" s="121"/>
      <c r="AB118" s="121"/>
      <c r="AC118" s="121"/>
      <c r="AD118" s="121"/>
      <c r="AE118" s="121"/>
      <c r="AF118" s="121"/>
      <c r="AG118" s="121"/>
      <c r="AH118" s="121"/>
    </row>
    <row r="119" spans="1:34" x14ac:dyDescent="0.25">
      <c r="A119" s="121"/>
      <c r="B119" s="121"/>
      <c r="C119" s="121"/>
      <c r="D119" s="121"/>
      <c r="E119" s="121"/>
      <c r="F119" s="121"/>
      <c r="G119" s="121"/>
      <c r="H119" s="121"/>
      <c r="I119" s="121"/>
      <c r="J119" s="121"/>
      <c r="K119" s="121"/>
      <c r="L119" s="121"/>
      <c r="M119" s="121"/>
      <c r="N119" s="121"/>
      <c r="O119" s="121"/>
      <c r="P119" s="121"/>
      <c r="Q119" s="121"/>
      <c r="R119" s="121"/>
      <c r="S119" s="121"/>
      <c r="T119" s="121"/>
      <c r="U119" s="121"/>
      <c r="V119" s="121"/>
      <c r="W119" s="121"/>
      <c r="X119" s="121"/>
      <c r="Y119" s="121"/>
      <c r="Z119" s="121"/>
      <c r="AA119" s="121"/>
      <c r="AB119" s="121"/>
      <c r="AC119" s="121"/>
      <c r="AD119" s="121"/>
      <c r="AE119" s="121"/>
      <c r="AF119" s="121"/>
      <c r="AG119" s="121"/>
      <c r="AH119" s="121"/>
    </row>
    <row r="120" spans="1:34" x14ac:dyDescent="0.25">
      <c r="A120" s="121"/>
      <c r="B120" s="121"/>
      <c r="C120" s="121"/>
      <c r="D120" s="121"/>
      <c r="E120" s="121"/>
      <c r="F120" s="121"/>
      <c r="G120" s="121"/>
      <c r="H120" s="121"/>
      <c r="I120" s="121"/>
      <c r="J120" s="121"/>
      <c r="K120" s="121"/>
      <c r="L120" s="121"/>
      <c r="M120" s="121"/>
      <c r="N120" s="121"/>
      <c r="O120" s="121"/>
      <c r="P120" s="121"/>
      <c r="Q120" s="121"/>
      <c r="R120" s="121"/>
      <c r="S120" s="121"/>
      <c r="T120" s="121"/>
      <c r="U120" s="121"/>
      <c r="V120" s="121"/>
      <c r="W120" s="121"/>
      <c r="X120" s="121"/>
      <c r="Y120" s="121"/>
      <c r="Z120" s="121"/>
      <c r="AA120" s="121"/>
      <c r="AB120" s="121"/>
      <c r="AC120" s="121"/>
      <c r="AD120" s="121"/>
      <c r="AE120" s="121"/>
      <c r="AF120" s="121"/>
      <c r="AG120" s="121"/>
      <c r="AH120" s="121"/>
    </row>
    <row r="121" spans="1:34" x14ac:dyDescent="0.25">
      <c r="A121" s="121"/>
      <c r="B121" s="121"/>
      <c r="C121" s="121"/>
      <c r="D121" s="121"/>
      <c r="E121" s="121"/>
      <c r="F121" s="121"/>
      <c r="G121" s="121"/>
      <c r="H121" s="121"/>
      <c r="I121" s="121"/>
      <c r="J121" s="121"/>
      <c r="K121" s="121"/>
      <c r="L121" s="121"/>
      <c r="M121" s="121"/>
      <c r="N121" s="121"/>
      <c r="O121" s="121"/>
      <c r="P121" s="121"/>
      <c r="Q121" s="121"/>
      <c r="R121" s="121"/>
      <c r="S121" s="121"/>
      <c r="T121" s="121"/>
      <c r="U121" s="121"/>
      <c r="V121" s="121"/>
      <c r="W121" s="121"/>
      <c r="X121" s="121"/>
      <c r="Y121" s="121"/>
      <c r="Z121" s="121"/>
      <c r="AA121" s="121"/>
      <c r="AB121" s="121"/>
      <c r="AC121" s="121"/>
      <c r="AD121" s="121"/>
      <c r="AE121" s="121"/>
      <c r="AF121" s="121"/>
      <c r="AG121" s="121"/>
      <c r="AH121" s="121"/>
    </row>
    <row r="122" spans="1:34" x14ac:dyDescent="0.25">
      <c r="A122" s="121"/>
      <c r="B122" s="121"/>
      <c r="C122" s="121"/>
      <c r="D122" s="121"/>
      <c r="E122" s="121"/>
      <c r="F122" s="121"/>
      <c r="G122" s="121"/>
      <c r="H122" s="121"/>
      <c r="I122" s="121"/>
      <c r="J122" s="121"/>
      <c r="K122" s="121"/>
      <c r="L122" s="121"/>
      <c r="M122" s="121"/>
      <c r="N122" s="121"/>
      <c r="O122" s="121"/>
      <c r="P122" s="121"/>
      <c r="Q122" s="121"/>
      <c r="R122" s="121"/>
      <c r="S122" s="121"/>
      <c r="T122" s="121"/>
      <c r="U122" s="121"/>
      <c r="V122" s="121"/>
      <c r="W122" s="121"/>
      <c r="X122" s="121"/>
      <c r="Y122" s="121"/>
      <c r="Z122" s="121"/>
      <c r="AA122" s="121"/>
      <c r="AB122" s="121"/>
      <c r="AC122" s="121"/>
      <c r="AD122" s="121"/>
      <c r="AE122" s="121"/>
      <c r="AF122" s="121"/>
      <c r="AG122" s="121"/>
      <c r="AH122" s="121"/>
    </row>
    <row r="123" spans="1:34" x14ac:dyDescent="0.25">
      <c r="A123" s="121"/>
      <c r="B123" s="121"/>
      <c r="C123" s="121"/>
      <c r="D123" s="121"/>
      <c r="E123" s="121"/>
      <c r="F123" s="121"/>
      <c r="G123" s="121"/>
      <c r="H123" s="121"/>
      <c r="I123" s="121"/>
      <c r="J123" s="121"/>
      <c r="K123" s="121"/>
      <c r="L123" s="121"/>
      <c r="M123" s="121"/>
      <c r="N123" s="121"/>
      <c r="O123" s="121"/>
      <c r="P123" s="121"/>
      <c r="Q123" s="121"/>
      <c r="R123" s="121"/>
      <c r="S123" s="121"/>
      <c r="T123" s="121"/>
      <c r="U123" s="121"/>
      <c r="V123" s="121"/>
      <c r="W123" s="121"/>
      <c r="X123" s="121"/>
      <c r="Y123" s="121"/>
      <c r="Z123" s="121"/>
      <c r="AA123" s="121"/>
      <c r="AB123" s="121"/>
      <c r="AC123" s="121"/>
      <c r="AD123" s="121"/>
      <c r="AE123" s="121"/>
      <c r="AF123" s="121"/>
      <c r="AG123" s="121"/>
      <c r="AH123" s="121"/>
    </row>
    <row r="124" spans="1:34" x14ac:dyDescent="0.25">
      <c r="A124" s="121"/>
      <c r="B124" s="121"/>
      <c r="C124" s="121"/>
      <c r="D124" s="121"/>
      <c r="E124" s="121"/>
      <c r="F124" s="121"/>
      <c r="G124" s="121"/>
      <c r="H124" s="121"/>
      <c r="I124" s="121"/>
      <c r="J124" s="121"/>
      <c r="K124" s="121"/>
      <c r="L124" s="121"/>
      <c r="M124" s="121"/>
      <c r="N124" s="121"/>
      <c r="O124" s="121"/>
      <c r="P124" s="121"/>
      <c r="Q124" s="121"/>
      <c r="R124" s="121"/>
      <c r="S124" s="121"/>
      <c r="T124" s="121"/>
      <c r="U124" s="121"/>
      <c r="V124" s="121"/>
      <c r="W124" s="121"/>
      <c r="X124" s="121"/>
      <c r="Y124" s="121"/>
      <c r="Z124" s="121"/>
      <c r="AA124" s="121"/>
      <c r="AB124" s="121"/>
      <c r="AC124" s="121"/>
      <c r="AD124" s="121"/>
      <c r="AE124" s="121"/>
      <c r="AF124" s="121"/>
      <c r="AG124" s="121"/>
      <c r="AH124" s="121"/>
    </row>
    <row r="125" spans="1:34" x14ac:dyDescent="0.25">
      <c r="A125" s="121"/>
      <c r="B125" s="121"/>
      <c r="C125" s="121"/>
      <c r="D125" s="121"/>
      <c r="E125" s="121"/>
      <c r="F125" s="121"/>
      <c r="G125" s="121"/>
      <c r="H125" s="121"/>
      <c r="I125" s="121"/>
      <c r="J125" s="121"/>
      <c r="K125" s="121"/>
      <c r="L125" s="121"/>
      <c r="M125" s="121"/>
      <c r="N125" s="121"/>
      <c r="O125" s="121"/>
      <c r="P125" s="121"/>
      <c r="Q125" s="121"/>
      <c r="R125" s="121"/>
      <c r="S125" s="121"/>
      <c r="T125" s="121"/>
      <c r="U125" s="121"/>
      <c r="V125" s="121"/>
      <c r="W125" s="121"/>
      <c r="X125" s="121"/>
      <c r="Y125" s="121"/>
      <c r="Z125" s="121"/>
      <c r="AA125" s="121"/>
      <c r="AB125" s="121"/>
      <c r="AC125" s="121"/>
      <c r="AD125" s="121"/>
      <c r="AE125" s="121"/>
      <c r="AF125" s="121"/>
      <c r="AG125" s="121"/>
      <c r="AH125" s="121"/>
    </row>
    <row r="126" spans="1:34" x14ac:dyDescent="0.25">
      <c r="A126" s="121"/>
      <c r="B126" s="121"/>
      <c r="C126" s="121"/>
      <c r="D126" s="121"/>
      <c r="E126" s="121"/>
      <c r="F126" s="121"/>
      <c r="G126" s="121"/>
      <c r="H126" s="121"/>
      <c r="I126" s="121"/>
      <c r="J126" s="121"/>
      <c r="K126" s="121"/>
      <c r="L126" s="121"/>
      <c r="M126" s="121"/>
      <c r="N126" s="121"/>
      <c r="O126" s="121"/>
      <c r="P126" s="121"/>
      <c r="Q126" s="121"/>
      <c r="R126" s="121"/>
      <c r="S126" s="121"/>
      <c r="T126" s="121"/>
      <c r="U126" s="121"/>
      <c r="V126" s="121"/>
      <c r="W126" s="121"/>
      <c r="X126" s="121"/>
      <c r="Y126" s="121"/>
      <c r="Z126" s="121"/>
      <c r="AA126" s="121"/>
      <c r="AB126" s="121"/>
      <c r="AC126" s="121"/>
      <c r="AD126" s="121"/>
      <c r="AE126" s="121"/>
      <c r="AF126" s="121"/>
      <c r="AG126" s="121"/>
      <c r="AH126" s="121"/>
    </row>
    <row r="127" spans="1:34" x14ac:dyDescent="0.25">
      <c r="A127" s="121"/>
      <c r="B127" s="121"/>
      <c r="C127" s="121"/>
      <c r="D127" s="121"/>
      <c r="E127" s="121"/>
      <c r="F127" s="121"/>
      <c r="G127" s="121"/>
      <c r="H127" s="121"/>
      <c r="I127" s="121"/>
      <c r="J127" s="121"/>
      <c r="K127" s="121"/>
      <c r="L127" s="121"/>
      <c r="M127" s="121"/>
      <c r="N127" s="121"/>
      <c r="O127" s="121"/>
      <c r="P127" s="121"/>
      <c r="Q127" s="121"/>
      <c r="R127" s="121"/>
      <c r="S127" s="121"/>
      <c r="T127" s="121"/>
      <c r="U127" s="121"/>
      <c r="V127" s="121"/>
      <c r="W127" s="121"/>
      <c r="X127" s="121"/>
      <c r="Y127" s="121"/>
      <c r="Z127" s="121"/>
      <c r="AA127" s="121"/>
      <c r="AB127" s="121"/>
      <c r="AC127" s="121"/>
      <c r="AD127" s="121"/>
      <c r="AE127" s="121"/>
      <c r="AF127" s="121"/>
      <c r="AG127" s="121"/>
      <c r="AH127" s="121"/>
    </row>
    <row r="128" spans="1:34" x14ac:dyDescent="0.25">
      <c r="A128" s="121"/>
      <c r="B128" s="121"/>
      <c r="C128" s="121"/>
      <c r="D128" s="121"/>
      <c r="E128" s="121"/>
      <c r="F128" s="121"/>
      <c r="G128" s="121"/>
      <c r="H128" s="121"/>
      <c r="I128" s="121"/>
      <c r="J128" s="121"/>
      <c r="K128" s="121"/>
      <c r="L128" s="121"/>
      <c r="M128" s="121"/>
      <c r="N128" s="121"/>
      <c r="O128" s="121"/>
      <c r="P128" s="121"/>
      <c r="Q128" s="121"/>
      <c r="R128" s="121"/>
      <c r="S128" s="121"/>
      <c r="T128" s="121"/>
      <c r="U128" s="121"/>
      <c r="V128" s="121"/>
      <c r="W128" s="121"/>
      <c r="X128" s="121"/>
      <c r="Y128" s="121"/>
      <c r="Z128" s="121"/>
      <c r="AA128" s="121"/>
      <c r="AB128" s="121"/>
      <c r="AC128" s="121"/>
      <c r="AD128" s="121"/>
      <c r="AE128" s="121"/>
      <c r="AF128" s="121"/>
      <c r="AG128" s="121"/>
      <c r="AH128" s="121"/>
    </row>
    <row r="129" spans="1:34" x14ac:dyDescent="0.25">
      <c r="A129" s="121"/>
      <c r="B129" s="121"/>
      <c r="C129" s="121"/>
      <c r="D129" s="121"/>
      <c r="E129" s="121"/>
      <c r="F129" s="121"/>
      <c r="G129" s="121"/>
      <c r="H129" s="121"/>
      <c r="I129" s="121"/>
      <c r="J129" s="121"/>
      <c r="K129" s="121"/>
      <c r="L129" s="121"/>
      <c r="M129" s="121"/>
      <c r="N129" s="121"/>
      <c r="O129" s="121"/>
      <c r="P129" s="121"/>
      <c r="Q129" s="121"/>
      <c r="R129" s="121"/>
      <c r="S129" s="121"/>
      <c r="T129" s="121"/>
      <c r="U129" s="121"/>
      <c r="V129" s="121"/>
      <c r="W129" s="121"/>
      <c r="X129" s="121"/>
      <c r="Y129" s="121"/>
      <c r="Z129" s="121"/>
      <c r="AA129" s="121"/>
      <c r="AB129" s="121"/>
      <c r="AC129" s="121"/>
      <c r="AD129" s="121"/>
      <c r="AE129" s="121"/>
      <c r="AF129" s="121"/>
      <c r="AG129" s="121"/>
      <c r="AH129" s="121"/>
    </row>
    <row r="130" spans="1:34" x14ac:dyDescent="0.25">
      <c r="A130" s="121"/>
      <c r="B130" s="121"/>
      <c r="C130" s="121"/>
      <c r="D130" s="121"/>
      <c r="E130" s="121"/>
      <c r="F130" s="121"/>
      <c r="G130" s="121"/>
      <c r="H130" s="121"/>
      <c r="I130" s="121"/>
      <c r="J130" s="121"/>
      <c r="K130" s="121"/>
      <c r="L130" s="121"/>
      <c r="M130" s="121"/>
      <c r="N130" s="121"/>
      <c r="O130" s="121"/>
      <c r="P130" s="121"/>
      <c r="Q130" s="121"/>
      <c r="R130" s="121"/>
      <c r="S130" s="121"/>
      <c r="T130" s="121"/>
      <c r="U130" s="121"/>
      <c r="V130" s="121"/>
      <c r="W130" s="121"/>
      <c r="X130" s="121"/>
      <c r="Y130" s="121"/>
      <c r="Z130" s="121"/>
      <c r="AA130" s="121"/>
      <c r="AB130" s="121"/>
      <c r="AC130" s="121"/>
      <c r="AD130" s="121"/>
      <c r="AE130" s="121"/>
      <c r="AF130" s="121"/>
      <c r="AG130" s="121"/>
      <c r="AH130" s="121"/>
    </row>
    <row r="131" spans="1:34" x14ac:dyDescent="0.25">
      <c r="A131" s="121"/>
      <c r="B131" s="121"/>
      <c r="C131" s="121"/>
      <c r="D131" s="121"/>
      <c r="E131" s="121"/>
      <c r="F131" s="121"/>
      <c r="G131" s="121"/>
      <c r="H131" s="121"/>
      <c r="I131" s="121"/>
      <c r="J131" s="121"/>
      <c r="K131" s="121"/>
      <c r="L131" s="121"/>
      <c r="M131" s="121"/>
      <c r="N131" s="121"/>
      <c r="O131" s="121"/>
      <c r="P131" s="121"/>
      <c r="Q131" s="121"/>
      <c r="R131" s="121"/>
      <c r="S131" s="121"/>
      <c r="T131" s="121"/>
      <c r="U131" s="121"/>
      <c r="V131" s="121"/>
      <c r="W131" s="121"/>
      <c r="X131" s="121"/>
      <c r="Y131" s="121"/>
      <c r="Z131" s="121"/>
      <c r="AA131" s="121"/>
      <c r="AB131" s="121"/>
      <c r="AC131" s="121"/>
      <c r="AD131" s="121"/>
      <c r="AE131" s="121"/>
      <c r="AF131" s="121"/>
      <c r="AG131" s="121"/>
      <c r="AH131" s="121"/>
    </row>
    <row r="132" spans="1:34" x14ac:dyDescent="0.25">
      <c r="A132" s="121"/>
      <c r="B132" s="121"/>
      <c r="C132" s="121"/>
      <c r="D132" s="121"/>
      <c r="E132" s="121"/>
      <c r="F132" s="121"/>
      <c r="G132" s="121"/>
      <c r="H132" s="121"/>
      <c r="I132" s="121"/>
      <c r="J132" s="121"/>
      <c r="K132" s="121"/>
      <c r="L132" s="121"/>
      <c r="M132" s="121"/>
      <c r="N132" s="121"/>
      <c r="O132" s="121"/>
      <c r="P132" s="121"/>
      <c r="Q132" s="121"/>
      <c r="R132" s="121"/>
      <c r="S132" s="121"/>
      <c r="T132" s="121"/>
      <c r="U132" s="121"/>
      <c r="V132" s="121"/>
      <c r="W132" s="121"/>
      <c r="X132" s="121"/>
      <c r="Y132" s="121"/>
      <c r="Z132" s="121"/>
      <c r="AA132" s="121"/>
      <c r="AB132" s="121"/>
      <c r="AC132" s="121"/>
      <c r="AD132" s="121"/>
      <c r="AE132" s="121"/>
      <c r="AF132" s="121"/>
      <c r="AG132" s="121"/>
      <c r="AH132" s="121"/>
    </row>
    <row r="133" spans="1:34" x14ac:dyDescent="0.25">
      <c r="A133" s="121"/>
      <c r="B133" s="121"/>
      <c r="C133" s="121"/>
      <c r="D133" s="121"/>
      <c r="E133" s="121"/>
      <c r="F133" s="121"/>
      <c r="G133" s="121"/>
      <c r="H133" s="121"/>
      <c r="I133" s="121"/>
      <c r="J133" s="121"/>
      <c r="K133" s="121"/>
      <c r="L133" s="121"/>
      <c r="M133" s="121"/>
      <c r="N133" s="121"/>
      <c r="O133" s="121"/>
      <c r="P133" s="121"/>
      <c r="Q133" s="121"/>
      <c r="R133" s="121"/>
      <c r="S133" s="121"/>
      <c r="T133" s="121"/>
      <c r="U133" s="121"/>
      <c r="V133" s="121"/>
      <c r="W133" s="121"/>
      <c r="X133" s="121"/>
      <c r="Y133" s="121"/>
      <c r="Z133" s="121"/>
      <c r="AA133" s="121"/>
      <c r="AB133" s="121"/>
      <c r="AC133" s="121"/>
      <c r="AD133" s="121"/>
      <c r="AE133" s="121"/>
      <c r="AF133" s="121"/>
      <c r="AG133" s="121"/>
      <c r="AH133" s="121"/>
    </row>
    <row r="134" spans="1:34" x14ac:dyDescent="0.25">
      <c r="A134" s="121"/>
      <c r="B134" s="121"/>
      <c r="C134" s="121"/>
      <c r="D134" s="121"/>
      <c r="E134" s="121"/>
      <c r="F134" s="121"/>
      <c r="G134" s="121"/>
      <c r="H134" s="121"/>
      <c r="I134" s="121"/>
      <c r="J134" s="121"/>
      <c r="K134" s="121"/>
      <c r="L134" s="121"/>
      <c r="M134" s="121"/>
      <c r="N134" s="121"/>
      <c r="O134" s="121"/>
      <c r="P134" s="121"/>
      <c r="Q134" s="121"/>
      <c r="R134" s="121"/>
      <c r="S134" s="121"/>
      <c r="T134" s="121"/>
      <c r="U134" s="121"/>
      <c r="V134" s="121"/>
      <c r="W134" s="121"/>
      <c r="X134" s="121"/>
      <c r="Y134" s="121"/>
      <c r="Z134" s="121"/>
      <c r="AA134" s="121"/>
      <c r="AB134" s="121"/>
      <c r="AC134" s="121"/>
      <c r="AD134" s="121"/>
      <c r="AE134" s="121"/>
      <c r="AF134" s="121"/>
      <c r="AG134" s="121"/>
      <c r="AH134" s="121"/>
    </row>
    <row r="135" spans="1:34" x14ac:dyDescent="0.25">
      <c r="A135" s="121"/>
      <c r="B135" s="121"/>
      <c r="C135" s="121"/>
      <c r="D135" s="121"/>
      <c r="E135" s="121"/>
      <c r="F135" s="121"/>
      <c r="G135" s="121"/>
      <c r="H135" s="121"/>
      <c r="I135" s="121"/>
      <c r="J135" s="121"/>
      <c r="K135" s="121"/>
      <c r="L135" s="121"/>
      <c r="M135" s="121"/>
      <c r="N135" s="121"/>
      <c r="O135" s="121"/>
      <c r="P135" s="121"/>
      <c r="Q135" s="121"/>
      <c r="R135" s="121"/>
      <c r="S135" s="121"/>
      <c r="T135" s="121"/>
      <c r="U135" s="121"/>
      <c r="V135" s="121"/>
      <c r="W135" s="121"/>
      <c r="X135" s="121"/>
      <c r="Y135" s="121"/>
      <c r="Z135" s="121"/>
      <c r="AA135" s="121"/>
      <c r="AB135" s="121"/>
      <c r="AC135" s="121"/>
      <c r="AD135" s="121"/>
      <c r="AE135" s="121"/>
      <c r="AF135" s="121"/>
      <c r="AG135" s="121"/>
      <c r="AH135" s="121"/>
    </row>
    <row r="136" spans="1:34" x14ac:dyDescent="0.25">
      <c r="A136" s="121"/>
      <c r="B136" s="121"/>
      <c r="C136" s="121"/>
      <c r="D136" s="121"/>
      <c r="E136" s="121"/>
      <c r="F136" s="121"/>
      <c r="G136" s="121"/>
      <c r="H136" s="121"/>
      <c r="I136" s="121"/>
      <c r="J136" s="121"/>
      <c r="K136" s="121"/>
      <c r="L136" s="121"/>
      <c r="M136" s="121"/>
      <c r="N136" s="121"/>
      <c r="O136" s="121"/>
      <c r="P136" s="121"/>
      <c r="Q136" s="121"/>
      <c r="R136" s="121"/>
      <c r="S136" s="121"/>
      <c r="T136" s="121"/>
      <c r="U136" s="121"/>
      <c r="V136" s="121"/>
      <c r="W136" s="121"/>
      <c r="X136" s="121"/>
      <c r="Y136" s="121"/>
      <c r="Z136" s="121"/>
      <c r="AA136" s="121"/>
      <c r="AB136" s="121"/>
      <c r="AC136" s="121"/>
      <c r="AD136" s="121"/>
      <c r="AE136" s="121"/>
      <c r="AF136" s="121"/>
      <c r="AG136" s="121"/>
      <c r="AH136" s="121"/>
    </row>
    <row r="137" spans="1:34" x14ac:dyDescent="0.25">
      <c r="A137" s="121"/>
      <c r="B137" s="121"/>
      <c r="C137" s="121"/>
      <c r="D137" s="121"/>
      <c r="E137" s="121"/>
      <c r="F137" s="121"/>
      <c r="G137" s="121"/>
      <c r="H137" s="121"/>
      <c r="I137" s="121"/>
      <c r="J137" s="121"/>
      <c r="K137" s="121"/>
      <c r="L137" s="121"/>
      <c r="M137" s="121"/>
      <c r="N137" s="121"/>
      <c r="O137" s="121"/>
      <c r="P137" s="121"/>
      <c r="Q137" s="121"/>
      <c r="R137" s="121"/>
      <c r="S137" s="121"/>
      <c r="T137" s="121"/>
      <c r="U137" s="121"/>
      <c r="V137" s="121"/>
      <c r="W137" s="121"/>
      <c r="X137" s="121"/>
      <c r="Y137" s="121"/>
      <c r="Z137" s="121"/>
      <c r="AA137" s="121"/>
      <c r="AB137" s="121"/>
      <c r="AC137" s="121"/>
      <c r="AD137" s="121"/>
      <c r="AE137" s="121"/>
      <c r="AF137" s="121"/>
      <c r="AG137" s="121"/>
      <c r="AH137" s="121"/>
    </row>
    <row r="138" spans="1:34" x14ac:dyDescent="0.25">
      <c r="A138" s="121"/>
      <c r="B138" s="121"/>
      <c r="C138" s="121"/>
      <c r="D138" s="121"/>
      <c r="E138" s="121"/>
      <c r="F138" s="121"/>
      <c r="G138" s="121"/>
      <c r="H138" s="121"/>
      <c r="I138" s="121"/>
      <c r="J138" s="121"/>
      <c r="K138" s="121"/>
      <c r="L138" s="121"/>
      <c r="M138" s="121"/>
      <c r="N138" s="121"/>
      <c r="O138" s="121"/>
      <c r="P138" s="121"/>
      <c r="Q138" s="121"/>
      <c r="R138" s="121"/>
      <c r="S138" s="121"/>
      <c r="T138" s="121"/>
      <c r="U138" s="121"/>
      <c r="V138" s="121"/>
      <c r="W138" s="121"/>
      <c r="X138" s="121"/>
      <c r="Y138" s="121"/>
      <c r="Z138" s="121"/>
      <c r="AA138" s="121"/>
      <c r="AB138" s="121"/>
      <c r="AC138" s="121"/>
      <c r="AD138" s="121"/>
      <c r="AE138" s="121"/>
      <c r="AF138" s="121"/>
      <c r="AG138" s="121"/>
      <c r="AH138" s="121"/>
    </row>
    <row r="139" spans="1:34" x14ac:dyDescent="0.25">
      <c r="A139" s="121"/>
      <c r="B139" s="121"/>
      <c r="C139" s="121"/>
      <c r="D139" s="121"/>
      <c r="E139" s="121"/>
      <c r="F139" s="121"/>
      <c r="G139" s="121"/>
      <c r="H139" s="121"/>
      <c r="I139" s="121"/>
      <c r="J139" s="121"/>
      <c r="K139" s="121"/>
      <c r="L139" s="121"/>
      <c r="M139" s="121"/>
      <c r="N139" s="121"/>
      <c r="O139" s="121"/>
      <c r="P139" s="121"/>
      <c r="Q139" s="121"/>
      <c r="R139" s="121"/>
      <c r="S139" s="121"/>
      <c r="T139" s="121"/>
      <c r="U139" s="121"/>
      <c r="V139" s="121"/>
      <c r="W139" s="121"/>
      <c r="X139" s="121"/>
      <c r="Y139" s="121"/>
      <c r="Z139" s="121"/>
      <c r="AA139" s="121"/>
      <c r="AB139" s="121"/>
      <c r="AC139" s="121"/>
      <c r="AD139" s="121"/>
      <c r="AE139" s="121"/>
      <c r="AF139" s="121"/>
      <c r="AG139" s="121"/>
      <c r="AH139" s="121"/>
    </row>
    <row r="140" spans="1:34" x14ac:dyDescent="0.25">
      <c r="A140" s="121"/>
      <c r="B140" s="121"/>
      <c r="C140" s="121"/>
      <c r="D140" s="121"/>
      <c r="E140" s="121"/>
      <c r="F140" s="121"/>
      <c r="G140" s="121"/>
      <c r="H140" s="121"/>
      <c r="I140" s="121"/>
      <c r="J140" s="121"/>
      <c r="K140" s="121"/>
      <c r="L140" s="121"/>
      <c r="M140" s="121"/>
      <c r="N140" s="121"/>
      <c r="O140" s="121"/>
      <c r="P140" s="121"/>
      <c r="Q140" s="121"/>
      <c r="R140" s="121"/>
      <c r="S140" s="121"/>
      <c r="T140" s="121"/>
      <c r="U140" s="121"/>
      <c r="V140" s="121"/>
      <c r="W140" s="121"/>
      <c r="X140" s="121"/>
      <c r="Y140" s="121"/>
      <c r="Z140" s="121"/>
      <c r="AA140" s="121"/>
      <c r="AB140" s="121"/>
      <c r="AC140" s="121"/>
      <c r="AD140" s="121"/>
      <c r="AE140" s="121"/>
      <c r="AF140" s="121"/>
      <c r="AG140" s="121"/>
      <c r="AH140" s="121"/>
    </row>
    <row r="141" spans="1:34" x14ac:dyDescent="0.25">
      <c r="A141" s="121"/>
      <c r="B141" s="121"/>
      <c r="C141" s="121"/>
      <c r="D141" s="121"/>
      <c r="E141" s="121"/>
      <c r="F141" s="121"/>
      <c r="G141" s="121"/>
      <c r="H141" s="121"/>
      <c r="I141" s="121"/>
      <c r="J141" s="121"/>
      <c r="K141" s="121"/>
      <c r="L141" s="121"/>
      <c r="M141" s="121"/>
      <c r="N141" s="121"/>
      <c r="O141" s="121"/>
      <c r="P141" s="121"/>
      <c r="Q141" s="121"/>
      <c r="R141" s="121"/>
      <c r="S141" s="121"/>
      <c r="T141" s="121"/>
      <c r="U141" s="121"/>
      <c r="V141" s="121"/>
      <c r="W141" s="121"/>
      <c r="X141" s="121"/>
      <c r="Y141" s="121"/>
      <c r="Z141" s="121"/>
      <c r="AA141" s="121"/>
      <c r="AB141" s="121"/>
      <c r="AC141" s="121"/>
      <c r="AD141" s="121"/>
      <c r="AE141" s="121"/>
      <c r="AF141" s="121"/>
      <c r="AG141" s="121"/>
      <c r="AH141" s="121"/>
    </row>
    <row r="142" spans="1:34" x14ac:dyDescent="0.25">
      <c r="A142" s="121"/>
      <c r="B142" s="121"/>
      <c r="C142" s="121"/>
      <c r="D142" s="121"/>
      <c r="E142" s="121"/>
      <c r="F142" s="121"/>
      <c r="G142" s="121"/>
      <c r="H142" s="121"/>
      <c r="I142" s="121"/>
      <c r="J142" s="121"/>
      <c r="K142" s="121"/>
      <c r="L142" s="121"/>
      <c r="M142" s="121"/>
      <c r="N142" s="121"/>
      <c r="O142" s="121"/>
      <c r="P142" s="121"/>
      <c r="Q142" s="121"/>
      <c r="R142" s="121"/>
      <c r="S142" s="121"/>
      <c r="T142" s="121"/>
      <c r="U142" s="121"/>
      <c r="V142" s="121"/>
      <c r="W142" s="121"/>
      <c r="X142" s="121"/>
      <c r="Y142" s="121"/>
      <c r="Z142" s="121"/>
      <c r="AA142" s="121"/>
      <c r="AB142" s="121"/>
      <c r="AC142" s="121"/>
      <c r="AD142" s="121"/>
      <c r="AE142" s="121"/>
      <c r="AF142" s="121"/>
      <c r="AG142" s="121"/>
      <c r="AH142" s="121"/>
    </row>
    <row r="143" spans="1:34" x14ac:dyDescent="0.25">
      <c r="A143" s="121"/>
      <c r="B143" s="121"/>
      <c r="C143" s="121"/>
      <c r="D143" s="121"/>
      <c r="E143" s="121"/>
      <c r="F143" s="121"/>
      <c r="G143" s="121"/>
      <c r="H143" s="121"/>
      <c r="I143" s="121"/>
      <c r="J143" s="121"/>
      <c r="K143" s="121"/>
      <c r="L143" s="121"/>
      <c r="M143" s="121"/>
      <c r="N143" s="121"/>
      <c r="O143" s="121"/>
      <c r="P143" s="121"/>
      <c r="Q143" s="121"/>
      <c r="R143" s="121"/>
      <c r="S143" s="121"/>
      <c r="T143" s="121"/>
      <c r="U143" s="121"/>
      <c r="V143" s="121"/>
      <c r="W143" s="121"/>
      <c r="X143" s="121"/>
      <c r="Y143" s="121"/>
      <c r="Z143" s="121"/>
      <c r="AA143" s="121"/>
      <c r="AB143" s="121"/>
      <c r="AC143" s="121"/>
      <c r="AD143" s="121"/>
      <c r="AE143" s="121"/>
      <c r="AF143" s="121"/>
      <c r="AG143" s="121"/>
      <c r="AH143" s="121"/>
    </row>
    <row r="144" spans="1:34" x14ac:dyDescent="0.25">
      <c r="A144" s="121"/>
      <c r="B144" s="121"/>
      <c r="C144" s="121"/>
      <c r="D144" s="121"/>
      <c r="E144" s="121"/>
      <c r="F144" s="121"/>
      <c r="G144" s="121"/>
      <c r="H144" s="121"/>
      <c r="I144" s="121"/>
      <c r="J144" s="121"/>
      <c r="K144" s="121"/>
      <c r="L144" s="121"/>
      <c r="M144" s="121"/>
      <c r="N144" s="121"/>
      <c r="O144" s="121"/>
      <c r="P144" s="121"/>
      <c r="Q144" s="121"/>
      <c r="R144" s="121"/>
      <c r="S144" s="121"/>
      <c r="T144" s="121"/>
      <c r="U144" s="121"/>
      <c r="V144" s="121"/>
      <c r="W144" s="121"/>
      <c r="X144" s="121"/>
      <c r="Y144" s="121"/>
      <c r="Z144" s="121"/>
      <c r="AA144" s="121"/>
      <c r="AB144" s="121"/>
      <c r="AC144" s="121"/>
      <c r="AD144" s="121"/>
      <c r="AE144" s="121"/>
      <c r="AF144" s="121"/>
      <c r="AG144" s="121"/>
      <c r="AH144" s="121"/>
    </row>
    <row r="145" spans="1:34" x14ac:dyDescent="0.25">
      <c r="A145" s="121"/>
      <c r="B145" s="121"/>
      <c r="C145" s="121"/>
      <c r="D145" s="121"/>
      <c r="E145" s="121"/>
      <c r="F145" s="121"/>
      <c r="G145" s="121"/>
      <c r="H145" s="121"/>
      <c r="I145" s="121"/>
      <c r="J145" s="121"/>
      <c r="K145" s="121"/>
      <c r="L145" s="121"/>
      <c r="M145" s="121"/>
      <c r="N145" s="121"/>
      <c r="O145" s="121"/>
      <c r="P145" s="121"/>
      <c r="Q145" s="121"/>
      <c r="R145" s="121"/>
      <c r="S145" s="121"/>
      <c r="T145" s="121"/>
      <c r="U145" s="121"/>
      <c r="V145" s="121"/>
      <c r="W145" s="121"/>
      <c r="X145" s="121"/>
      <c r="Y145" s="121"/>
      <c r="Z145" s="121"/>
      <c r="AA145" s="121"/>
      <c r="AB145" s="121"/>
      <c r="AC145" s="121"/>
      <c r="AD145" s="121"/>
      <c r="AE145" s="121"/>
      <c r="AF145" s="121"/>
      <c r="AG145" s="121"/>
      <c r="AH145" s="121"/>
    </row>
    <row r="146" spans="1:34" x14ac:dyDescent="0.25">
      <c r="A146" s="121"/>
      <c r="B146" s="121"/>
      <c r="C146" s="121"/>
      <c r="D146" s="121"/>
      <c r="E146" s="121"/>
      <c r="F146" s="121"/>
      <c r="G146" s="121"/>
      <c r="H146" s="121"/>
      <c r="I146" s="121"/>
      <c r="J146" s="121"/>
      <c r="K146" s="121"/>
      <c r="L146" s="121"/>
      <c r="M146" s="121"/>
      <c r="N146" s="121"/>
      <c r="O146" s="121"/>
      <c r="P146" s="121"/>
      <c r="Q146" s="121"/>
      <c r="R146" s="121"/>
      <c r="S146" s="121"/>
      <c r="T146" s="121"/>
      <c r="U146" s="121"/>
      <c r="V146" s="121"/>
      <c r="W146" s="121"/>
      <c r="X146" s="121"/>
      <c r="Y146" s="121"/>
      <c r="Z146" s="121"/>
      <c r="AA146" s="121"/>
      <c r="AB146" s="121"/>
      <c r="AC146" s="121"/>
      <c r="AD146" s="121"/>
      <c r="AE146" s="121"/>
      <c r="AF146" s="121"/>
      <c r="AG146" s="121"/>
      <c r="AH146" s="121"/>
    </row>
    <row r="147" spans="1:34" x14ac:dyDescent="0.25">
      <c r="A147" s="121"/>
      <c r="B147" s="121"/>
      <c r="C147" s="121"/>
      <c r="D147" s="121"/>
      <c r="E147" s="121"/>
      <c r="F147" s="121"/>
      <c r="G147" s="121"/>
      <c r="H147" s="121"/>
      <c r="I147" s="121"/>
      <c r="J147" s="121"/>
      <c r="K147" s="121"/>
      <c r="L147" s="121"/>
      <c r="M147" s="121"/>
      <c r="N147" s="121"/>
      <c r="O147" s="121"/>
      <c r="P147" s="121"/>
      <c r="Q147" s="121"/>
      <c r="R147" s="121"/>
      <c r="S147" s="121"/>
      <c r="T147" s="121"/>
      <c r="U147" s="121"/>
      <c r="V147" s="121"/>
      <c r="W147" s="121"/>
      <c r="X147" s="121"/>
      <c r="Y147" s="121"/>
      <c r="Z147" s="121"/>
      <c r="AA147" s="121"/>
      <c r="AB147" s="121"/>
      <c r="AC147" s="121"/>
      <c r="AD147" s="121"/>
      <c r="AE147" s="121"/>
      <c r="AF147" s="121"/>
      <c r="AG147" s="121"/>
      <c r="AH147" s="121"/>
    </row>
    <row r="148" spans="1:34" x14ac:dyDescent="0.25">
      <c r="A148" s="121"/>
      <c r="B148" s="121"/>
      <c r="C148" s="121"/>
      <c r="D148" s="121"/>
      <c r="E148" s="121"/>
      <c r="F148" s="121"/>
      <c r="G148" s="121"/>
      <c r="H148" s="121"/>
      <c r="I148" s="121"/>
      <c r="J148" s="121"/>
      <c r="K148" s="121"/>
      <c r="L148" s="121"/>
      <c r="M148" s="121"/>
      <c r="N148" s="121"/>
      <c r="O148" s="121"/>
      <c r="P148" s="121"/>
      <c r="Q148" s="121"/>
      <c r="R148" s="121"/>
      <c r="S148" s="121"/>
      <c r="T148" s="121"/>
      <c r="U148" s="121"/>
      <c r="V148" s="121"/>
      <c r="W148" s="121"/>
      <c r="X148" s="121"/>
      <c r="Y148" s="121"/>
      <c r="Z148" s="121"/>
      <c r="AA148" s="121"/>
      <c r="AB148" s="121"/>
      <c r="AC148" s="121"/>
      <c r="AD148" s="121"/>
      <c r="AE148" s="121"/>
      <c r="AF148" s="121"/>
      <c r="AG148" s="121"/>
      <c r="AH148" s="121"/>
    </row>
    <row r="149" spans="1:34" x14ac:dyDescent="0.25">
      <c r="A149" s="121"/>
      <c r="B149" s="121"/>
      <c r="C149" s="121"/>
      <c r="D149" s="121"/>
      <c r="E149" s="121"/>
      <c r="F149" s="121"/>
      <c r="G149" s="121"/>
      <c r="H149" s="121"/>
      <c r="I149" s="121"/>
      <c r="J149" s="121"/>
      <c r="K149" s="121"/>
      <c r="L149" s="121"/>
      <c r="M149" s="121"/>
      <c r="N149" s="121"/>
      <c r="O149" s="121"/>
      <c r="P149" s="121"/>
      <c r="Q149" s="121"/>
      <c r="R149" s="121"/>
      <c r="S149" s="121"/>
      <c r="T149" s="121"/>
      <c r="U149" s="121"/>
      <c r="V149" s="121"/>
      <c r="W149" s="121"/>
      <c r="X149" s="121"/>
      <c r="Y149" s="121"/>
      <c r="Z149" s="121"/>
      <c r="AA149" s="121"/>
      <c r="AB149" s="121"/>
      <c r="AC149" s="121"/>
      <c r="AD149" s="121"/>
      <c r="AE149" s="121"/>
      <c r="AF149" s="121"/>
      <c r="AG149" s="121"/>
      <c r="AH149" s="121"/>
    </row>
    <row r="150" spans="1:34" x14ac:dyDescent="0.25">
      <c r="A150" s="121"/>
      <c r="B150" s="121"/>
      <c r="C150" s="121"/>
      <c r="D150" s="121"/>
      <c r="E150" s="121"/>
      <c r="F150" s="121"/>
      <c r="G150" s="121"/>
      <c r="H150" s="121"/>
      <c r="I150" s="121"/>
      <c r="J150" s="121"/>
      <c r="K150" s="121"/>
      <c r="L150" s="121"/>
      <c r="M150" s="121"/>
      <c r="N150" s="121"/>
      <c r="O150" s="121"/>
      <c r="P150" s="121"/>
      <c r="Q150" s="121"/>
      <c r="R150" s="121"/>
      <c r="S150" s="121"/>
      <c r="T150" s="121"/>
      <c r="U150" s="121"/>
      <c r="V150" s="121"/>
      <c r="W150" s="121"/>
      <c r="X150" s="121"/>
      <c r="Y150" s="121"/>
      <c r="Z150" s="121"/>
      <c r="AA150" s="121"/>
      <c r="AB150" s="121"/>
      <c r="AC150" s="121"/>
      <c r="AD150" s="121"/>
      <c r="AE150" s="121"/>
      <c r="AF150" s="121"/>
      <c r="AG150" s="121"/>
      <c r="AH150" s="121"/>
    </row>
    <row r="151" spans="1:34" x14ac:dyDescent="0.25">
      <c r="A151" s="121"/>
      <c r="B151" s="121"/>
      <c r="C151" s="121"/>
      <c r="D151" s="121"/>
      <c r="E151" s="121"/>
      <c r="F151" s="121"/>
      <c r="G151" s="121"/>
      <c r="H151" s="121"/>
      <c r="I151" s="121"/>
      <c r="J151" s="121"/>
      <c r="K151" s="121"/>
      <c r="L151" s="121"/>
      <c r="M151" s="121"/>
      <c r="N151" s="121"/>
      <c r="O151" s="121"/>
      <c r="P151" s="121"/>
      <c r="Q151" s="121"/>
      <c r="R151" s="121"/>
      <c r="S151" s="121"/>
      <c r="T151" s="121"/>
      <c r="U151" s="121"/>
      <c r="V151" s="121"/>
      <c r="W151" s="121"/>
      <c r="X151" s="121"/>
      <c r="Y151" s="121"/>
      <c r="Z151" s="121"/>
      <c r="AA151" s="121"/>
      <c r="AB151" s="121"/>
      <c r="AC151" s="121"/>
      <c r="AD151" s="121"/>
      <c r="AE151" s="121"/>
      <c r="AF151" s="121"/>
      <c r="AG151" s="121"/>
      <c r="AH151" s="121"/>
    </row>
    <row r="152" spans="1:34" x14ac:dyDescent="0.25">
      <c r="A152" s="121"/>
      <c r="B152" s="121"/>
      <c r="C152" s="121"/>
      <c r="D152" s="121"/>
      <c r="E152" s="121"/>
      <c r="F152" s="121"/>
      <c r="G152" s="121"/>
      <c r="H152" s="121"/>
      <c r="I152" s="121"/>
      <c r="J152" s="121"/>
      <c r="K152" s="121"/>
      <c r="L152" s="121"/>
      <c r="M152" s="121"/>
      <c r="N152" s="121"/>
      <c r="O152" s="121"/>
      <c r="P152" s="121"/>
      <c r="Q152" s="121"/>
      <c r="R152" s="121"/>
      <c r="S152" s="121"/>
      <c r="T152" s="121"/>
      <c r="U152" s="121"/>
      <c r="V152" s="121"/>
      <c r="W152" s="121"/>
      <c r="X152" s="121"/>
      <c r="Y152" s="121"/>
      <c r="Z152" s="121"/>
      <c r="AA152" s="121"/>
      <c r="AB152" s="121"/>
      <c r="AC152" s="121"/>
      <c r="AD152" s="121"/>
      <c r="AE152" s="121"/>
      <c r="AF152" s="121"/>
      <c r="AG152" s="121"/>
      <c r="AH152" s="121"/>
    </row>
    <row r="153" spans="1:34" x14ac:dyDescent="0.25">
      <c r="A153" s="121"/>
      <c r="B153" s="121"/>
      <c r="C153" s="121"/>
      <c r="D153" s="121"/>
      <c r="E153" s="121"/>
      <c r="F153" s="121"/>
      <c r="G153" s="121"/>
      <c r="H153" s="121"/>
      <c r="I153" s="121"/>
      <c r="J153" s="121"/>
      <c r="K153" s="121"/>
      <c r="L153" s="121"/>
      <c r="M153" s="121"/>
      <c r="N153" s="121"/>
      <c r="O153" s="121"/>
      <c r="P153" s="121"/>
      <c r="Q153" s="121"/>
      <c r="R153" s="121"/>
      <c r="S153" s="121"/>
      <c r="T153" s="121"/>
      <c r="U153" s="121"/>
      <c r="V153" s="121"/>
      <c r="W153" s="121"/>
      <c r="X153" s="121"/>
      <c r="Y153" s="121"/>
      <c r="Z153" s="121"/>
      <c r="AA153" s="121"/>
      <c r="AB153" s="121"/>
      <c r="AC153" s="121"/>
      <c r="AD153" s="121"/>
      <c r="AE153" s="121"/>
      <c r="AF153" s="121"/>
      <c r="AG153" s="121"/>
      <c r="AH153" s="121"/>
    </row>
    <row r="154" spans="1:34" x14ac:dyDescent="0.25">
      <c r="A154" s="121"/>
      <c r="B154" s="121"/>
      <c r="C154" s="121"/>
      <c r="D154" s="121"/>
      <c r="E154" s="121"/>
      <c r="F154" s="121"/>
      <c r="G154" s="121"/>
      <c r="H154" s="121"/>
      <c r="I154" s="121"/>
      <c r="J154" s="121"/>
      <c r="K154" s="121"/>
      <c r="L154" s="121"/>
      <c r="M154" s="121"/>
      <c r="N154" s="121"/>
      <c r="O154" s="121"/>
      <c r="P154" s="121"/>
      <c r="Q154" s="121"/>
      <c r="R154" s="121"/>
      <c r="S154" s="121"/>
      <c r="T154" s="121"/>
      <c r="U154" s="121"/>
      <c r="V154" s="121"/>
      <c r="W154" s="121"/>
      <c r="X154" s="121"/>
      <c r="Y154" s="121"/>
      <c r="Z154" s="121"/>
      <c r="AA154" s="121"/>
      <c r="AB154" s="121"/>
      <c r="AC154" s="121"/>
      <c r="AD154" s="121"/>
      <c r="AE154" s="121"/>
      <c r="AF154" s="121"/>
      <c r="AG154" s="121"/>
      <c r="AH154" s="121"/>
    </row>
    <row r="155" spans="1:34" x14ac:dyDescent="0.25">
      <c r="A155" s="121"/>
      <c r="B155" s="121"/>
      <c r="C155" s="121"/>
      <c r="D155" s="121"/>
      <c r="E155" s="121"/>
      <c r="F155" s="121"/>
      <c r="G155" s="121"/>
      <c r="H155" s="121"/>
      <c r="I155" s="121"/>
      <c r="J155" s="121"/>
      <c r="K155" s="121"/>
      <c r="L155" s="121"/>
      <c r="M155" s="121"/>
      <c r="N155" s="121"/>
      <c r="O155" s="121"/>
      <c r="P155" s="121"/>
      <c r="Q155" s="121"/>
      <c r="R155" s="121"/>
      <c r="S155" s="121"/>
      <c r="T155" s="121"/>
      <c r="U155" s="121"/>
      <c r="V155" s="121"/>
      <c r="W155" s="121"/>
      <c r="X155" s="121"/>
      <c r="Y155" s="121"/>
      <c r="Z155" s="121"/>
      <c r="AA155" s="121"/>
      <c r="AB155" s="121"/>
      <c r="AC155" s="121"/>
      <c r="AD155" s="121"/>
      <c r="AE155" s="121"/>
      <c r="AF155" s="121"/>
      <c r="AG155" s="121"/>
      <c r="AH155" s="121"/>
    </row>
    <row r="156" spans="1:34" x14ac:dyDescent="0.25">
      <c r="A156" s="121"/>
      <c r="B156" s="121"/>
      <c r="C156" s="121"/>
      <c r="D156" s="121"/>
      <c r="E156" s="121"/>
      <c r="F156" s="121"/>
      <c r="G156" s="121"/>
      <c r="H156" s="121"/>
      <c r="I156" s="121"/>
      <c r="J156" s="121"/>
      <c r="K156" s="121"/>
      <c r="L156" s="121"/>
      <c r="M156" s="121"/>
      <c r="N156" s="121"/>
      <c r="O156" s="121"/>
      <c r="P156" s="121"/>
      <c r="Q156" s="121"/>
      <c r="R156" s="121"/>
      <c r="S156" s="121"/>
      <c r="T156" s="121"/>
      <c r="U156" s="121"/>
      <c r="V156" s="121"/>
      <c r="W156" s="121"/>
      <c r="X156" s="121"/>
      <c r="Y156" s="121"/>
      <c r="Z156" s="121"/>
      <c r="AA156" s="121"/>
      <c r="AB156" s="121"/>
      <c r="AC156" s="121"/>
      <c r="AD156" s="121"/>
      <c r="AE156" s="121"/>
      <c r="AF156" s="121"/>
      <c r="AG156" s="121"/>
      <c r="AH156" s="121"/>
    </row>
    <row r="157" spans="1:34" x14ac:dyDescent="0.25">
      <c r="A157" s="121"/>
      <c r="B157" s="121"/>
      <c r="C157" s="121"/>
      <c r="D157" s="121"/>
      <c r="E157" s="121"/>
      <c r="F157" s="121"/>
      <c r="G157" s="121"/>
      <c r="H157" s="121"/>
      <c r="I157" s="121"/>
      <c r="J157" s="121"/>
      <c r="K157" s="121"/>
      <c r="L157" s="121"/>
      <c r="M157" s="121"/>
      <c r="N157" s="121"/>
      <c r="O157" s="121"/>
      <c r="P157" s="121"/>
      <c r="Q157" s="121"/>
      <c r="R157" s="121"/>
      <c r="S157" s="121"/>
      <c r="T157" s="121"/>
      <c r="U157" s="121"/>
      <c r="V157" s="121"/>
      <c r="W157" s="121"/>
      <c r="X157" s="121"/>
      <c r="Y157" s="121"/>
      <c r="Z157" s="121"/>
      <c r="AA157" s="121"/>
      <c r="AB157" s="121"/>
      <c r="AC157" s="121"/>
      <c r="AD157" s="121"/>
      <c r="AE157" s="121"/>
      <c r="AF157" s="121"/>
      <c r="AG157" s="121"/>
      <c r="AH157" s="121"/>
    </row>
    <row r="158" spans="1:34" x14ac:dyDescent="0.25">
      <c r="A158" s="121"/>
      <c r="B158" s="121"/>
      <c r="C158" s="121"/>
      <c r="D158" s="121"/>
      <c r="E158" s="121"/>
      <c r="F158" s="121"/>
      <c r="G158" s="121"/>
      <c r="H158" s="121"/>
      <c r="I158" s="121"/>
      <c r="J158" s="121"/>
      <c r="K158" s="121"/>
      <c r="L158" s="121"/>
      <c r="M158" s="121"/>
      <c r="N158" s="121"/>
      <c r="O158" s="121"/>
      <c r="P158" s="121"/>
      <c r="Q158" s="121"/>
      <c r="R158" s="121"/>
      <c r="S158" s="121"/>
      <c r="T158" s="121"/>
      <c r="U158" s="121"/>
      <c r="V158" s="121"/>
      <c r="W158" s="121"/>
      <c r="X158" s="121"/>
      <c r="Y158" s="121"/>
      <c r="Z158" s="121"/>
      <c r="AA158" s="121"/>
      <c r="AB158" s="121"/>
      <c r="AC158" s="121"/>
      <c r="AD158" s="121"/>
      <c r="AE158" s="121"/>
      <c r="AF158" s="121"/>
      <c r="AG158" s="121"/>
      <c r="AH158" s="121"/>
    </row>
    <row r="159" spans="1:34" x14ac:dyDescent="0.25">
      <c r="A159" s="121"/>
      <c r="B159" s="121"/>
      <c r="C159" s="121"/>
      <c r="D159" s="121"/>
      <c r="E159" s="121"/>
      <c r="F159" s="121"/>
      <c r="G159" s="121"/>
      <c r="H159" s="121"/>
      <c r="I159" s="121"/>
      <c r="J159" s="121"/>
      <c r="K159" s="121"/>
      <c r="L159" s="121"/>
      <c r="M159" s="121"/>
      <c r="N159" s="121"/>
      <c r="O159" s="121"/>
      <c r="P159" s="121"/>
      <c r="Q159" s="121"/>
      <c r="R159" s="121"/>
      <c r="S159" s="121"/>
      <c r="T159" s="121"/>
      <c r="U159" s="121"/>
      <c r="V159" s="121"/>
      <c r="W159" s="121"/>
      <c r="X159" s="121"/>
      <c r="Y159" s="121"/>
      <c r="Z159" s="121"/>
      <c r="AA159" s="121"/>
      <c r="AB159" s="121"/>
      <c r="AC159" s="121"/>
      <c r="AD159" s="121"/>
      <c r="AE159" s="121"/>
      <c r="AF159" s="121"/>
      <c r="AG159" s="121"/>
      <c r="AH159" s="121"/>
    </row>
    <row r="160" spans="1:34" x14ac:dyDescent="0.25">
      <c r="A160" s="121"/>
      <c r="B160" s="121"/>
      <c r="C160" s="121"/>
      <c r="D160" s="121"/>
      <c r="E160" s="121"/>
      <c r="F160" s="121"/>
      <c r="G160" s="121"/>
      <c r="H160" s="121"/>
      <c r="I160" s="121"/>
      <c r="J160" s="121"/>
      <c r="K160" s="121"/>
      <c r="L160" s="121"/>
      <c r="M160" s="121"/>
      <c r="N160" s="121"/>
      <c r="O160" s="121"/>
      <c r="P160" s="121"/>
      <c r="Q160" s="121"/>
      <c r="R160" s="121"/>
      <c r="S160" s="121"/>
      <c r="T160" s="121"/>
      <c r="U160" s="121"/>
      <c r="V160" s="121"/>
      <c r="W160" s="121"/>
      <c r="X160" s="121"/>
      <c r="Y160" s="121"/>
      <c r="Z160" s="121"/>
      <c r="AA160" s="121"/>
      <c r="AB160" s="121"/>
      <c r="AC160" s="121"/>
      <c r="AD160" s="121"/>
      <c r="AE160" s="121"/>
      <c r="AF160" s="121"/>
      <c r="AG160" s="121"/>
      <c r="AH160" s="121"/>
    </row>
    <row r="161" spans="1:34" x14ac:dyDescent="0.25">
      <c r="A161" s="121"/>
      <c r="B161" s="121"/>
      <c r="C161" s="121"/>
      <c r="D161" s="121"/>
      <c r="E161" s="121"/>
      <c r="F161" s="121"/>
      <c r="G161" s="121"/>
      <c r="H161" s="121"/>
      <c r="I161" s="121"/>
      <c r="J161" s="121"/>
      <c r="K161" s="121"/>
      <c r="L161" s="121"/>
      <c r="M161" s="121"/>
      <c r="N161" s="121"/>
      <c r="O161" s="121"/>
      <c r="P161" s="121"/>
      <c r="Q161" s="121"/>
      <c r="R161" s="121"/>
      <c r="S161" s="121"/>
      <c r="T161" s="121"/>
      <c r="U161" s="121"/>
      <c r="V161" s="121"/>
      <c r="W161" s="121"/>
      <c r="X161" s="121"/>
      <c r="Y161" s="121"/>
      <c r="Z161" s="121"/>
      <c r="AA161" s="121"/>
      <c r="AB161" s="121"/>
      <c r="AC161" s="121"/>
      <c r="AD161" s="121"/>
      <c r="AE161" s="121"/>
      <c r="AF161" s="121"/>
      <c r="AG161" s="121"/>
      <c r="AH161" s="121"/>
    </row>
    <row r="162" spans="1:34" x14ac:dyDescent="0.25">
      <c r="A162" s="121"/>
      <c r="B162" s="121"/>
      <c r="C162" s="121"/>
      <c r="D162" s="121"/>
      <c r="E162" s="121"/>
      <c r="F162" s="121"/>
      <c r="G162" s="121"/>
      <c r="H162" s="121"/>
      <c r="I162" s="121"/>
      <c r="J162" s="121"/>
      <c r="K162" s="121"/>
      <c r="L162" s="121"/>
      <c r="M162" s="121"/>
      <c r="N162" s="121"/>
      <c r="O162" s="121"/>
      <c r="P162" s="121"/>
      <c r="Q162" s="121"/>
      <c r="R162" s="121"/>
      <c r="S162" s="121"/>
      <c r="T162" s="121"/>
      <c r="U162" s="121"/>
      <c r="V162" s="121"/>
      <c r="W162" s="121"/>
      <c r="X162" s="121"/>
      <c r="Y162" s="121"/>
      <c r="Z162" s="121"/>
      <c r="AA162" s="121"/>
      <c r="AB162" s="121"/>
      <c r="AC162" s="121"/>
      <c r="AD162" s="121"/>
      <c r="AE162" s="121"/>
      <c r="AF162" s="121"/>
      <c r="AG162" s="121"/>
      <c r="AH162" s="121"/>
    </row>
    <row r="163" spans="1:34" x14ac:dyDescent="0.25">
      <c r="A163" s="121"/>
      <c r="B163" s="121"/>
      <c r="C163" s="121"/>
      <c r="D163" s="121"/>
      <c r="E163" s="121"/>
      <c r="F163" s="121"/>
      <c r="G163" s="121"/>
      <c r="H163" s="121"/>
      <c r="I163" s="121"/>
      <c r="J163" s="121"/>
      <c r="K163" s="121"/>
      <c r="L163" s="121"/>
      <c r="M163" s="121"/>
      <c r="N163" s="121"/>
      <c r="O163" s="121"/>
      <c r="P163" s="121"/>
      <c r="Q163" s="121"/>
      <c r="R163" s="121"/>
      <c r="S163" s="121"/>
      <c r="T163" s="121"/>
      <c r="U163" s="121"/>
      <c r="V163" s="121"/>
      <c r="W163" s="121"/>
      <c r="X163" s="121"/>
      <c r="Y163" s="121"/>
      <c r="Z163" s="121"/>
      <c r="AA163" s="121"/>
      <c r="AB163" s="121"/>
      <c r="AC163" s="121"/>
      <c r="AD163" s="121"/>
      <c r="AE163" s="121"/>
      <c r="AF163" s="121"/>
      <c r="AG163" s="121"/>
      <c r="AH163" s="121"/>
    </row>
    <row r="164" spans="1:34" x14ac:dyDescent="0.25">
      <c r="A164" s="121"/>
      <c r="B164" s="121"/>
      <c r="C164" s="121"/>
      <c r="D164" s="121"/>
      <c r="E164" s="121"/>
      <c r="F164" s="121"/>
      <c r="G164" s="121"/>
      <c r="H164" s="121"/>
      <c r="I164" s="121"/>
      <c r="J164" s="121"/>
      <c r="K164" s="121"/>
      <c r="L164" s="121"/>
      <c r="M164" s="121"/>
      <c r="N164" s="121"/>
      <c r="O164" s="121"/>
      <c r="P164" s="121"/>
      <c r="Q164" s="121"/>
      <c r="R164" s="121"/>
      <c r="S164" s="121"/>
      <c r="T164" s="121"/>
      <c r="U164" s="121"/>
      <c r="V164" s="121"/>
      <c r="W164" s="121"/>
      <c r="X164" s="121"/>
      <c r="Y164" s="121"/>
      <c r="Z164" s="121"/>
      <c r="AA164" s="121"/>
      <c r="AB164" s="121"/>
      <c r="AC164" s="121"/>
      <c r="AD164" s="121"/>
      <c r="AE164" s="121"/>
      <c r="AF164" s="121"/>
      <c r="AG164" s="121"/>
      <c r="AH164" s="121"/>
    </row>
    <row r="165" spans="1:34" x14ac:dyDescent="0.25">
      <c r="A165" s="121"/>
      <c r="B165" s="121"/>
      <c r="C165" s="121"/>
      <c r="D165" s="121"/>
      <c r="E165" s="121"/>
      <c r="F165" s="121"/>
      <c r="G165" s="121"/>
      <c r="H165" s="121"/>
      <c r="I165" s="121"/>
      <c r="J165" s="121"/>
      <c r="K165" s="121"/>
      <c r="L165" s="121"/>
      <c r="M165" s="121"/>
      <c r="N165" s="121"/>
      <c r="O165" s="121"/>
      <c r="P165" s="121"/>
      <c r="Q165" s="121"/>
      <c r="R165" s="121"/>
      <c r="S165" s="121"/>
      <c r="T165" s="121"/>
      <c r="U165" s="121"/>
      <c r="V165" s="121"/>
      <c r="W165" s="121"/>
      <c r="X165" s="121"/>
      <c r="Y165" s="121"/>
      <c r="Z165" s="121"/>
      <c r="AA165" s="121"/>
      <c r="AB165" s="121"/>
      <c r="AC165" s="121"/>
      <c r="AD165" s="121"/>
      <c r="AE165" s="121"/>
      <c r="AF165" s="121"/>
      <c r="AG165" s="121"/>
      <c r="AH165" s="121"/>
    </row>
    <row r="166" spans="1:34" x14ac:dyDescent="0.25">
      <c r="A166" s="121"/>
      <c r="B166" s="121"/>
      <c r="C166" s="121"/>
      <c r="D166" s="121"/>
      <c r="E166" s="121"/>
      <c r="F166" s="121"/>
      <c r="G166" s="121"/>
      <c r="H166" s="121"/>
      <c r="I166" s="121"/>
      <c r="J166" s="121"/>
      <c r="K166" s="121"/>
      <c r="L166" s="121"/>
      <c r="M166" s="121"/>
      <c r="N166" s="121"/>
      <c r="O166" s="121"/>
      <c r="P166" s="121"/>
      <c r="Q166" s="121"/>
      <c r="R166" s="121"/>
      <c r="S166" s="121"/>
      <c r="T166" s="121"/>
      <c r="U166" s="121"/>
      <c r="V166" s="121"/>
      <c r="W166" s="121"/>
      <c r="X166" s="121"/>
      <c r="Y166" s="121"/>
      <c r="Z166" s="121"/>
      <c r="AA166" s="121"/>
      <c r="AB166" s="121"/>
      <c r="AC166" s="121"/>
      <c r="AD166" s="121"/>
      <c r="AE166" s="121"/>
      <c r="AF166" s="121"/>
      <c r="AG166" s="121"/>
      <c r="AH166" s="121"/>
    </row>
    <row r="167" spans="1:34" x14ac:dyDescent="0.25">
      <c r="A167" s="121"/>
      <c r="B167" s="121"/>
      <c r="C167" s="121"/>
      <c r="D167" s="121"/>
      <c r="E167" s="121"/>
      <c r="F167" s="121"/>
      <c r="G167" s="121"/>
      <c r="H167" s="121"/>
      <c r="I167" s="121"/>
      <c r="J167" s="121"/>
      <c r="K167" s="121"/>
      <c r="L167" s="121"/>
      <c r="M167" s="121"/>
      <c r="N167" s="121"/>
      <c r="O167" s="121"/>
      <c r="P167" s="121"/>
      <c r="Q167" s="121"/>
      <c r="R167" s="121"/>
      <c r="S167" s="121"/>
      <c r="T167" s="121"/>
      <c r="U167" s="121"/>
      <c r="V167" s="121"/>
      <c r="W167" s="121"/>
      <c r="X167" s="121"/>
      <c r="Y167" s="121"/>
      <c r="Z167" s="121"/>
      <c r="AA167" s="121"/>
      <c r="AB167" s="121"/>
      <c r="AC167" s="121"/>
      <c r="AD167" s="121"/>
      <c r="AE167" s="121"/>
      <c r="AF167" s="121"/>
      <c r="AG167" s="121"/>
      <c r="AH167" s="121"/>
    </row>
    <row r="168" spans="1:34" x14ac:dyDescent="0.25">
      <c r="A168" s="121"/>
      <c r="B168" s="121"/>
      <c r="C168" s="121"/>
      <c r="D168" s="121"/>
      <c r="E168" s="121"/>
      <c r="F168" s="121"/>
      <c r="G168" s="121"/>
      <c r="H168" s="121"/>
      <c r="I168" s="121"/>
      <c r="J168" s="121"/>
      <c r="K168" s="121"/>
      <c r="L168" s="121"/>
      <c r="M168" s="121"/>
      <c r="N168" s="121"/>
      <c r="O168" s="121"/>
      <c r="P168" s="121"/>
      <c r="Q168" s="121"/>
      <c r="R168" s="121"/>
      <c r="S168" s="121"/>
      <c r="T168" s="121"/>
      <c r="U168" s="121"/>
      <c r="V168" s="121"/>
      <c r="W168" s="121"/>
      <c r="X168" s="121"/>
      <c r="Y168" s="121"/>
      <c r="Z168" s="121"/>
      <c r="AA168" s="121"/>
      <c r="AB168" s="121"/>
      <c r="AC168" s="121"/>
      <c r="AD168" s="121"/>
      <c r="AE168" s="121"/>
      <c r="AF168" s="121"/>
      <c r="AG168" s="121"/>
      <c r="AH168" s="121"/>
    </row>
    <row r="169" spans="1:34" x14ac:dyDescent="0.25">
      <c r="A169" s="121"/>
      <c r="B169" s="121"/>
      <c r="C169" s="121"/>
      <c r="D169" s="121"/>
      <c r="E169" s="121"/>
      <c r="F169" s="121"/>
      <c r="G169" s="121"/>
      <c r="H169" s="121"/>
      <c r="I169" s="121"/>
      <c r="J169" s="121"/>
      <c r="K169" s="121"/>
      <c r="L169" s="121"/>
      <c r="M169" s="121"/>
      <c r="N169" s="121"/>
      <c r="O169" s="121"/>
      <c r="P169" s="121"/>
      <c r="Q169" s="121"/>
      <c r="R169" s="121"/>
      <c r="S169" s="121"/>
      <c r="T169" s="121"/>
      <c r="U169" s="121"/>
      <c r="V169" s="121"/>
      <c r="W169" s="121"/>
      <c r="X169" s="121"/>
      <c r="Y169" s="121"/>
      <c r="Z169" s="121"/>
      <c r="AA169" s="121"/>
      <c r="AB169" s="121"/>
      <c r="AC169" s="121"/>
      <c r="AD169" s="121"/>
      <c r="AE169" s="121"/>
      <c r="AF169" s="121"/>
      <c r="AG169" s="121"/>
      <c r="AH169" s="121"/>
    </row>
    <row r="170" spans="1:34" x14ac:dyDescent="0.25">
      <c r="A170" s="121"/>
      <c r="B170" s="121"/>
      <c r="C170" s="121"/>
      <c r="D170" s="121"/>
      <c r="E170" s="121"/>
      <c r="F170" s="121"/>
      <c r="G170" s="121"/>
      <c r="H170" s="121"/>
      <c r="I170" s="121"/>
      <c r="J170" s="121"/>
      <c r="K170" s="121"/>
      <c r="L170" s="121"/>
      <c r="M170" s="121"/>
      <c r="N170" s="121"/>
      <c r="O170" s="121"/>
      <c r="P170" s="121"/>
      <c r="Q170" s="121"/>
      <c r="R170" s="121"/>
      <c r="S170" s="121"/>
      <c r="T170" s="121"/>
      <c r="U170" s="121"/>
      <c r="V170" s="121"/>
      <c r="W170" s="121"/>
      <c r="X170" s="121"/>
      <c r="Y170" s="121"/>
      <c r="Z170" s="121"/>
      <c r="AA170" s="121"/>
      <c r="AB170" s="121"/>
      <c r="AC170" s="121"/>
      <c r="AD170" s="121"/>
      <c r="AE170" s="121"/>
      <c r="AF170" s="121"/>
      <c r="AG170" s="121"/>
      <c r="AH170" s="121"/>
    </row>
    <row r="171" spans="1:34" x14ac:dyDescent="0.25">
      <c r="A171" s="121"/>
      <c r="B171" s="121"/>
      <c r="C171" s="121"/>
      <c r="D171" s="121"/>
      <c r="E171" s="121"/>
      <c r="F171" s="121"/>
      <c r="G171" s="121"/>
      <c r="H171" s="121"/>
      <c r="I171" s="121"/>
      <c r="J171" s="121"/>
      <c r="K171" s="121"/>
      <c r="L171" s="121"/>
      <c r="M171" s="121"/>
      <c r="N171" s="121"/>
      <c r="O171" s="121"/>
      <c r="P171" s="121"/>
      <c r="Q171" s="121"/>
      <c r="R171" s="121"/>
      <c r="S171" s="121"/>
      <c r="T171" s="121"/>
      <c r="U171" s="121"/>
      <c r="V171" s="121"/>
      <c r="W171" s="121"/>
      <c r="X171" s="121"/>
      <c r="Y171" s="121"/>
      <c r="Z171" s="121"/>
      <c r="AA171" s="121"/>
      <c r="AB171" s="121"/>
      <c r="AC171" s="121"/>
      <c r="AD171" s="121"/>
      <c r="AE171" s="121"/>
      <c r="AF171" s="121"/>
      <c r="AG171" s="121"/>
      <c r="AH171" s="121"/>
    </row>
    <row r="172" spans="1:34" x14ac:dyDescent="0.25">
      <c r="A172" s="121"/>
      <c r="B172" s="121"/>
      <c r="C172" s="121"/>
      <c r="D172" s="121"/>
      <c r="E172" s="121"/>
      <c r="F172" s="121"/>
      <c r="G172" s="121"/>
      <c r="H172" s="121"/>
      <c r="I172" s="121"/>
      <c r="J172" s="121"/>
      <c r="K172" s="121"/>
      <c r="L172" s="121"/>
      <c r="M172" s="121"/>
      <c r="N172" s="121"/>
      <c r="O172" s="121"/>
      <c r="P172" s="121"/>
      <c r="Q172" s="121"/>
      <c r="R172" s="121"/>
      <c r="S172" s="121"/>
      <c r="T172" s="121"/>
      <c r="U172" s="121"/>
      <c r="V172" s="121"/>
      <c r="W172" s="121"/>
      <c r="X172" s="121"/>
      <c r="Y172" s="121"/>
      <c r="Z172" s="121"/>
      <c r="AA172" s="121"/>
      <c r="AB172" s="121"/>
      <c r="AC172" s="121"/>
      <c r="AD172" s="121"/>
      <c r="AE172" s="121"/>
      <c r="AF172" s="121"/>
      <c r="AG172" s="121"/>
      <c r="AH172" s="121"/>
    </row>
    <row r="173" spans="1:34" x14ac:dyDescent="0.25">
      <c r="A173" s="121"/>
      <c r="B173" s="121"/>
      <c r="C173" s="121"/>
      <c r="D173" s="121"/>
      <c r="E173" s="121"/>
      <c r="F173" s="121"/>
      <c r="G173" s="121"/>
      <c r="H173" s="121"/>
      <c r="I173" s="121"/>
      <c r="J173" s="121"/>
      <c r="K173" s="121"/>
      <c r="L173" s="121"/>
      <c r="M173" s="121"/>
      <c r="N173" s="121"/>
      <c r="O173" s="121"/>
      <c r="P173" s="121"/>
      <c r="Q173" s="121"/>
      <c r="R173" s="121"/>
      <c r="S173" s="121"/>
      <c r="T173" s="121"/>
      <c r="U173" s="121"/>
      <c r="V173" s="121"/>
      <c r="W173" s="121"/>
      <c r="X173" s="121"/>
      <c r="Y173" s="121"/>
      <c r="Z173" s="121"/>
      <c r="AA173" s="121"/>
      <c r="AB173" s="121"/>
      <c r="AC173" s="121"/>
      <c r="AD173" s="121"/>
      <c r="AE173" s="121"/>
      <c r="AF173" s="121"/>
      <c r="AG173" s="121"/>
      <c r="AH173" s="121"/>
    </row>
    <row r="174" spans="1:34" x14ac:dyDescent="0.25">
      <c r="A174" s="121"/>
      <c r="B174" s="121"/>
      <c r="C174" s="121"/>
      <c r="D174" s="121"/>
      <c r="E174" s="121"/>
      <c r="F174" s="121"/>
      <c r="G174" s="121"/>
      <c r="H174" s="121"/>
      <c r="I174" s="121"/>
      <c r="J174" s="121"/>
      <c r="K174" s="121"/>
      <c r="L174" s="121"/>
      <c r="M174" s="121"/>
      <c r="N174" s="121"/>
      <c r="O174" s="121"/>
      <c r="P174" s="121"/>
      <c r="Q174" s="121"/>
      <c r="R174" s="121"/>
      <c r="S174" s="121"/>
      <c r="T174" s="121"/>
      <c r="U174" s="121"/>
      <c r="V174" s="121"/>
      <c r="W174" s="121"/>
      <c r="X174" s="121"/>
      <c r="Y174" s="121"/>
      <c r="Z174" s="121"/>
      <c r="AA174" s="121"/>
      <c r="AB174" s="121"/>
      <c r="AC174" s="121"/>
      <c r="AD174" s="121"/>
      <c r="AE174" s="121"/>
      <c r="AF174" s="121"/>
      <c r="AG174" s="121"/>
      <c r="AH174" s="121"/>
    </row>
    <row r="175" spans="1:34" x14ac:dyDescent="0.25">
      <c r="A175" s="121"/>
      <c r="B175" s="121"/>
      <c r="C175" s="121"/>
      <c r="D175" s="121"/>
      <c r="E175" s="121"/>
      <c r="F175" s="121"/>
      <c r="G175" s="121"/>
      <c r="H175" s="121"/>
      <c r="I175" s="121"/>
      <c r="J175" s="121"/>
      <c r="K175" s="121"/>
      <c r="L175" s="121"/>
      <c r="M175" s="121"/>
      <c r="N175" s="121"/>
      <c r="O175" s="121"/>
      <c r="P175" s="121"/>
      <c r="Q175" s="121"/>
      <c r="R175" s="121"/>
      <c r="S175" s="121"/>
      <c r="T175" s="121"/>
      <c r="U175" s="121"/>
      <c r="V175" s="121"/>
      <c r="W175" s="121"/>
      <c r="X175" s="121"/>
      <c r="Y175" s="121"/>
      <c r="Z175" s="121"/>
      <c r="AA175" s="121"/>
      <c r="AB175" s="121"/>
      <c r="AC175" s="121"/>
      <c r="AD175" s="121"/>
      <c r="AE175" s="121"/>
      <c r="AF175" s="121"/>
      <c r="AG175" s="121"/>
      <c r="AH175" s="121"/>
    </row>
    <row r="176" spans="1:34" x14ac:dyDescent="0.25">
      <c r="A176" s="121"/>
      <c r="B176" s="121"/>
      <c r="C176" s="121"/>
      <c r="D176" s="121"/>
      <c r="E176" s="121"/>
      <c r="F176" s="121"/>
      <c r="G176" s="121"/>
      <c r="H176" s="121"/>
      <c r="I176" s="121"/>
      <c r="J176" s="121"/>
      <c r="K176" s="121"/>
      <c r="L176" s="121"/>
      <c r="M176" s="121"/>
      <c r="N176" s="121"/>
      <c r="O176" s="121"/>
      <c r="P176" s="121"/>
      <c r="Q176" s="121"/>
      <c r="R176" s="121"/>
      <c r="S176" s="121"/>
      <c r="T176" s="121"/>
      <c r="U176" s="121"/>
      <c r="V176" s="121"/>
      <c r="W176" s="121"/>
      <c r="X176" s="121"/>
      <c r="Y176" s="121"/>
      <c r="Z176" s="121"/>
      <c r="AA176" s="121"/>
      <c r="AB176" s="121"/>
      <c r="AC176" s="121"/>
      <c r="AD176" s="121"/>
      <c r="AE176" s="121"/>
      <c r="AF176" s="121"/>
      <c r="AG176" s="121"/>
      <c r="AH176" s="121"/>
    </row>
    <row r="177" spans="1:34" x14ac:dyDescent="0.25">
      <c r="A177" s="121"/>
      <c r="B177" s="121"/>
      <c r="C177" s="121"/>
      <c r="D177" s="121"/>
      <c r="E177" s="121"/>
      <c r="F177" s="121"/>
      <c r="G177" s="121"/>
      <c r="H177" s="121"/>
      <c r="I177" s="121"/>
      <c r="J177" s="121"/>
      <c r="K177" s="121"/>
      <c r="L177" s="121"/>
      <c r="M177" s="121"/>
      <c r="N177" s="121"/>
      <c r="O177" s="121"/>
      <c r="P177" s="121"/>
      <c r="Q177" s="121"/>
      <c r="R177" s="121"/>
      <c r="S177" s="121"/>
      <c r="T177" s="121"/>
      <c r="U177" s="121"/>
      <c r="V177" s="121"/>
      <c r="W177" s="121"/>
      <c r="X177" s="121"/>
      <c r="Y177" s="121"/>
      <c r="Z177" s="121"/>
      <c r="AA177" s="121"/>
      <c r="AB177" s="121"/>
      <c r="AC177" s="121"/>
      <c r="AD177" s="121"/>
      <c r="AE177" s="121"/>
      <c r="AF177" s="121"/>
      <c r="AG177" s="121"/>
      <c r="AH177" s="121"/>
    </row>
    <row r="178" spans="1:34" x14ac:dyDescent="0.25">
      <c r="A178" s="121"/>
      <c r="B178" s="121"/>
      <c r="C178" s="121"/>
      <c r="D178" s="121"/>
      <c r="E178" s="121"/>
      <c r="F178" s="121"/>
      <c r="G178" s="121"/>
      <c r="H178" s="121"/>
      <c r="I178" s="121"/>
      <c r="J178" s="121"/>
      <c r="K178" s="121"/>
      <c r="L178" s="121"/>
      <c r="M178" s="121"/>
      <c r="N178" s="121"/>
      <c r="O178" s="121"/>
      <c r="P178" s="121"/>
      <c r="Q178" s="121"/>
      <c r="R178" s="121"/>
      <c r="S178" s="121"/>
      <c r="T178" s="121"/>
      <c r="U178" s="121"/>
      <c r="V178" s="121"/>
      <c r="W178" s="121"/>
      <c r="X178" s="121"/>
      <c r="Y178" s="121"/>
      <c r="Z178" s="121"/>
      <c r="AA178" s="121"/>
      <c r="AB178" s="121"/>
      <c r="AC178" s="121"/>
      <c r="AD178" s="121"/>
      <c r="AE178" s="121"/>
      <c r="AF178" s="121"/>
      <c r="AG178" s="121"/>
      <c r="AH178" s="121"/>
    </row>
    <row r="179" spans="1:34" x14ac:dyDescent="0.25">
      <c r="A179" s="121"/>
      <c r="B179" s="121"/>
      <c r="C179" s="121"/>
      <c r="D179" s="121"/>
      <c r="E179" s="121"/>
      <c r="F179" s="121"/>
      <c r="G179" s="121"/>
      <c r="H179" s="121"/>
      <c r="I179" s="121"/>
      <c r="J179" s="121"/>
      <c r="K179" s="121"/>
      <c r="L179" s="121"/>
      <c r="M179" s="121"/>
      <c r="N179" s="121"/>
      <c r="O179" s="121"/>
      <c r="P179" s="121"/>
      <c r="Q179" s="121"/>
      <c r="R179" s="121"/>
      <c r="S179" s="121"/>
      <c r="T179" s="121"/>
      <c r="U179" s="121"/>
      <c r="V179" s="121"/>
      <c r="W179" s="121"/>
      <c r="X179" s="121"/>
      <c r="Y179" s="121"/>
      <c r="Z179" s="121"/>
      <c r="AA179" s="121"/>
      <c r="AB179" s="121"/>
      <c r="AC179" s="121"/>
      <c r="AD179" s="121"/>
      <c r="AE179" s="121"/>
      <c r="AF179" s="121"/>
      <c r="AG179" s="121"/>
      <c r="AH179" s="121"/>
    </row>
    <row r="180" spans="1:34" x14ac:dyDescent="0.25">
      <c r="A180" s="121"/>
      <c r="B180" s="121"/>
      <c r="C180" s="121"/>
      <c r="D180" s="121"/>
      <c r="E180" s="121"/>
      <c r="F180" s="121"/>
      <c r="G180" s="121"/>
      <c r="H180" s="121"/>
      <c r="I180" s="121"/>
      <c r="J180" s="121"/>
      <c r="K180" s="121"/>
      <c r="L180" s="121"/>
      <c r="M180" s="121"/>
      <c r="N180" s="121"/>
      <c r="O180" s="121"/>
      <c r="P180" s="121"/>
      <c r="Q180" s="121"/>
      <c r="R180" s="121"/>
      <c r="S180" s="121"/>
      <c r="T180" s="121"/>
      <c r="U180" s="121"/>
      <c r="V180" s="121"/>
      <c r="W180" s="121"/>
      <c r="X180" s="121"/>
      <c r="Y180" s="121"/>
      <c r="Z180" s="121"/>
      <c r="AA180" s="121"/>
      <c r="AB180" s="121"/>
      <c r="AC180" s="121"/>
      <c r="AD180" s="121"/>
      <c r="AE180" s="121"/>
      <c r="AF180" s="121"/>
      <c r="AG180" s="121"/>
      <c r="AH180" s="121"/>
    </row>
    <row r="181" spans="1:34" x14ac:dyDescent="0.25">
      <c r="A181" s="121"/>
      <c r="B181" s="121"/>
      <c r="C181" s="121"/>
      <c r="D181" s="121"/>
      <c r="E181" s="121"/>
      <c r="F181" s="121"/>
      <c r="G181" s="121"/>
      <c r="H181" s="121"/>
      <c r="I181" s="121"/>
      <c r="J181" s="121"/>
      <c r="K181" s="121"/>
      <c r="L181" s="121"/>
      <c r="M181" s="121"/>
      <c r="N181" s="121"/>
      <c r="O181" s="121"/>
      <c r="P181" s="121"/>
      <c r="Q181" s="121"/>
      <c r="R181" s="121"/>
      <c r="S181" s="121"/>
      <c r="T181" s="121"/>
      <c r="U181" s="121"/>
      <c r="V181" s="121"/>
      <c r="W181" s="121"/>
      <c r="X181" s="121"/>
      <c r="Y181" s="121"/>
      <c r="Z181" s="121"/>
      <c r="AA181" s="121"/>
      <c r="AB181" s="121"/>
      <c r="AC181" s="121"/>
      <c r="AD181" s="121"/>
      <c r="AE181" s="121"/>
      <c r="AF181" s="121"/>
      <c r="AG181" s="121"/>
      <c r="AH181" s="121"/>
    </row>
    <row r="182" spans="1:34" x14ac:dyDescent="0.25">
      <c r="A182" s="121"/>
      <c r="B182" s="121"/>
      <c r="C182" s="121"/>
      <c r="D182" s="121"/>
      <c r="E182" s="121"/>
      <c r="F182" s="121"/>
      <c r="G182" s="121"/>
      <c r="H182" s="121"/>
      <c r="I182" s="121"/>
      <c r="J182" s="121"/>
      <c r="K182" s="121"/>
      <c r="L182" s="121"/>
      <c r="M182" s="121"/>
      <c r="N182" s="121"/>
      <c r="O182" s="121"/>
      <c r="P182" s="121"/>
      <c r="Q182" s="121"/>
      <c r="R182" s="121"/>
      <c r="S182" s="121"/>
      <c r="T182" s="121"/>
      <c r="U182" s="121"/>
      <c r="V182" s="121"/>
      <c r="W182" s="121"/>
      <c r="X182" s="121"/>
      <c r="Y182" s="121"/>
      <c r="Z182" s="121"/>
      <c r="AA182" s="121"/>
      <c r="AB182" s="121"/>
      <c r="AC182" s="121"/>
      <c r="AD182" s="121"/>
      <c r="AE182" s="121"/>
      <c r="AF182" s="121"/>
      <c r="AG182" s="121"/>
      <c r="AH182" s="121"/>
    </row>
    <row r="183" spans="1:34" x14ac:dyDescent="0.25">
      <c r="A183" s="121"/>
      <c r="B183" s="121"/>
      <c r="C183" s="121"/>
      <c r="D183" s="121"/>
      <c r="E183" s="121"/>
      <c r="F183" s="121"/>
      <c r="G183" s="121"/>
      <c r="H183" s="121"/>
      <c r="I183" s="121"/>
      <c r="J183" s="121"/>
      <c r="K183" s="121"/>
      <c r="L183" s="121"/>
      <c r="M183" s="121"/>
      <c r="N183" s="121"/>
      <c r="O183" s="121"/>
      <c r="P183" s="121"/>
      <c r="Q183" s="121"/>
      <c r="R183" s="121"/>
      <c r="S183" s="121"/>
      <c r="T183" s="121"/>
      <c r="U183" s="121"/>
      <c r="V183" s="121"/>
      <c r="W183" s="121"/>
      <c r="X183" s="121"/>
      <c r="Y183" s="121"/>
      <c r="Z183" s="121"/>
      <c r="AA183" s="121"/>
      <c r="AB183" s="121"/>
      <c r="AC183" s="121"/>
      <c r="AD183" s="121"/>
      <c r="AE183" s="121"/>
      <c r="AF183" s="121"/>
      <c r="AG183" s="121"/>
      <c r="AH183" s="121"/>
    </row>
    <row r="184" spans="1:34" x14ac:dyDescent="0.25">
      <c r="A184" s="121"/>
      <c r="B184" s="121"/>
      <c r="C184" s="121"/>
      <c r="D184" s="121"/>
      <c r="E184" s="121"/>
      <c r="F184" s="121"/>
      <c r="G184" s="121"/>
      <c r="H184" s="121"/>
      <c r="I184" s="121"/>
      <c r="J184" s="121"/>
      <c r="K184" s="121"/>
      <c r="L184" s="121"/>
      <c r="M184" s="121"/>
      <c r="N184" s="121"/>
      <c r="O184" s="121"/>
      <c r="P184" s="121"/>
      <c r="Q184" s="121"/>
      <c r="R184" s="121"/>
      <c r="S184" s="121"/>
      <c r="T184" s="121"/>
      <c r="U184" s="121"/>
      <c r="V184" s="121"/>
      <c r="W184" s="121"/>
      <c r="X184" s="121"/>
      <c r="Y184" s="121"/>
      <c r="Z184" s="121"/>
      <c r="AA184" s="121"/>
      <c r="AB184" s="121"/>
      <c r="AC184" s="121"/>
      <c r="AD184" s="121"/>
      <c r="AE184" s="121"/>
      <c r="AF184" s="121"/>
      <c r="AG184" s="121"/>
      <c r="AH184" s="121"/>
    </row>
    <row r="185" spans="1:34" x14ac:dyDescent="0.25">
      <c r="A185" s="121"/>
      <c r="B185" s="121"/>
      <c r="C185" s="121"/>
      <c r="D185" s="121"/>
      <c r="E185" s="121"/>
      <c r="F185" s="121"/>
      <c r="G185" s="121"/>
      <c r="H185" s="121"/>
      <c r="I185" s="121"/>
      <c r="J185" s="121"/>
      <c r="K185" s="121"/>
      <c r="L185" s="121"/>
      <c r="M185" s="121"/>
      <c r="N185" s="121"/>
      <c r="O185" s="121"/>
      <c r="P185" s="121"/>
      <c r="Q185" s="121"/>
      <c r="R185" s="121"/>
      <c r="S185" s="121"/>
      <c r="T185" s="121"/>
      <c r="U185" s="121"/>
      <c r="V185" s="121"/>
      <c r="W185" s="121"/>
      <c r="X185" s="121"/>
      <c r="Y185" s="121"/>
      <c r="Z185" s="121"/>
      <c r="AA185" s="121"/>
      <c r="AB185" s="121"/>
      <c r="AC185" s="121"/>
      <c r="AD185" s="121"/>
      <c r="AE185" s="121"/>
      <c r="AF185" s="121"/>
      <c r="AG185" s="121"/>
      <c r="AH185" s="121"/>
    </row>
    <row r="186" spans="1:34" x14ac:dyDescent="0.25">
      <c r="A186" s="121"/>
      <c r="B186" s="121"/>
      <c r="C186" s="121"/>
      <c r="D186" s="121"/>
      <c r="E186" s="121"/>
      <c r="F186" s="121"/>
      <c r="G186" s="121"/>
      <c r="H186" s="121"/>
      <c r="I186" s="121"/>
      <c r="J186" s="121"/>
      <c r="K186" s="121"/>
      <c r="L186" s="121"/>
      <c r="M186" s="121"/>
      <c r="N186" s="121"/>
      <c r="O186" s="121"/>
      <c r="P186" s="121"/>
      <c r="Q186" s="121"/>
      <c r="R186" s="121"/>
      <c r="S186" s="121"/>
      <c r="T186" s="121"/>
      <c r="U186" s="121"/>
      <c r="V186" s="121"/>
      <c r="W186" s="121"/>
      <c r="X186" s="121"/>
      <c r="Y186" s="121"/>
      <c r="Z186" s="121"/>
      <c r="AA186" s="121"/>
      <c r="AB186" s="121"/>
      <c r="AC186" s="121"/>
      <c r="AD186" s="121"/>
      <c r="AE186" s="121"/>
      <c r="AF186" s="121"/>
      <c r="AG186" s="121"/>
      <c r="AH186" s="121"/>
    </row>
    <row r="187" spans="1:34" x14ac:dyDescent="0.25">
      <c r="A187" s="121"/>
      <c r="B187" s="121"/>
      <c r="C187" s="121"/>
      <c r="D187" s="121"/>
      <c r="E187" s="121"/>
      <c r="F187" s="121"/>
      <c r="G187" s="121"/>
      <c r="H187" s="121"/>
      <c r="I187" s="121"/>
      <c r="J187" s="121"/>
      <c r="K187" s="121"/>
      <c r="L187" s="121"/>
      <c r="M187" s="121"/>
      <c r="N187" s="121"/>
      <c r="O187" s="121"/>
      <c r="P187" s="121"/>
      <c r="Q187" s="121"/>
      <c r="R187" s="121"/>
      <c r="S187" s="121"/>
      <c r="T187" s="121"/>
      <c r="U187" s="121"/>
      <c r="V187" s="121"/>
      <c r="W187" s="121"/>
      <c r="X187" s="121"/>
      <c r="Y187" s="121"/>
      <c r="Z187" s="121"/>
      <c r="AA187" s="121"/>
      <c r="AB187" s="121"/>
      <c r="AC187" s="121"/>
      <c r="AD187" s="121"/>
      <c r="AE187" s="121"/>
      <c r="AF187" s="121"/>
      <c r="AG187" s="121"/>
      <c r="AH187" s="121"/>
    </row>
    <row r="188" spans="1:34" x14ac:dyDescent="0.25">
      <c r="A188" s="121"/>
      <c r="B188" s="121"/>
      <c r="C188" s="121"/>
      <c r="D188" s="121"/>
      <c r="E188" s="121"/>
      <c r="F188" s="121"/>
      <c r="G188" s="121"/>
      <c r="H188" s="121"/>
      <c r="I188" s="121"/>
      <c r="J188" s="121"/>
      <c r="K188" s="121"/>
      <c r="L188" s="121"/>
      <c r="M188" s="121"/>
      <c r="N188" s="121"/>
      <c r="O188" s="121"/>
      <c r="P188" s="121"/>
      <c r="Q188" s="121"/>
      <c r="R188" s="121"/>
      <c r="S188" s="121"/>
      <c r="T188" s="121"/>
      <c r="U188" s="121"/>
      <c r="V188" s="121"/>
      <c r="W188" s="121"/>
      <c r="X188" s="121"/>
      <c r="Y188" s="121"/>
      <c r="Z188" s="121"/>
      <c r="AA188" s="121"/>
      <c r="AB188" s="121"/>
      <c r="AC188" s="121"/>
      <c r="AD188" s="121"/>
      <c r="AE188" s="121"/>
      <c r="AF188" s="121"/>
      <c r="AG188" s="121"/>
      <c r="AH188" s="121"/>
    </row>
    <row r="189" spans="1:34" x14ac:dyDescent="0.25">
      <c r="A189" s="121"/>
      <c r="B189" s="121"/>
      <c r="C189" s="121"/>
      <c r="D189" s="121"/>
      <c r="E189" s="121"/>
      <c r="F189" s="121"/>
      <c r="G189" s="121"/>
      <c r="H189" s="121"/>
      <c r="I189" s="121"/>
      <c r="J189" s="121"/>
      <c r="K189" s="121"/>
      <c r="L189" s="121"/>
      <c r="M189" s="121"/>
      <c r="N189" s="121"/>
      <c r="O189" s="121"/>
      <c r="P189" s="121"/>
      <c r="Q189" s="121"/>
      <c r="R189" s="121"/>
      <c r="S189" s="121"/>
      <c r="T189" s="121"/>
      <c r="U189" s="121"/>
      <c r="V189" s="121"/>
      <c r="W189" s="121"/>
      <c r="X189" s="121"/>
      <c r="Y189" s="121"/>
      <c r="Z189" s="121"/>
      <c r="AA189" s="121"/>
      <c r="AB189" s="121"/>
      <c r="AC189" s="121"/>
      <c r="AD189" s="121"/>
      <c r="AE189" s="121"/>
      <c r="AF189" s="121"/>
      <c r="AG189" s="121"/>
      <c r="AH189" s="121"/>
    </row>
    <row r="190" spans="1:34" x14ac:dyDescent="0.25">
      <c r="A190" s="121"/>
      <c r="B190" s="121"/>
      <c r="C190" s="121"/>
      <c r="D190" s="121"/>
      <c r="E190" s="121"/>
      <c r="F190" s="121"/>
      <c r="G190" s="121"/>
      <c r="H190" s="121"/>
      <c r="I190" s="121"/>
      <c r="J190" s="121"/>
      <c r="K190" s="121"/>
      <c r="L190" s="121"/>
      <c r="M190" s="121"/>
      <c r="N190" s="121"/>
      <c r="O190" s="121"/>
      <c r="P190" s="121"/>
      <c r="Q190" s="121"/>
      <c r="R190" s="121"/>
      <c r="S190" s="121"/>
      <c r="T190" s="121"/>
      <c r="U190" s="121"/>
      <c r="V190" s="121"/>
      <c r="W190" s="121"/>
      <c r="X190" s="121"/>
      <c r="Y190" s="121"/>
      <c r="Z190" s="121"/>
      <c r="AA190" s="121"/>
      <c r="AB190" s="121"/>
      <c r="AC190" s="121"/>
      <c r="AD190" s="121"/>
      <c r="AE190" s="121"/>
      <c r="AF190" s="121"/>
      <c r="AG190" s="121"/>
      <c r="AH190" s="121"/>
    </row>
    <row r="191" spans="1:34" x14ac:dyDescent="0.25">
      <c r="A191" s="121"/>
      <c r="B191" s="121"/>
      <c r="C191" s="121"/>
      <c r="D191" s="121"/>
      <c r="E191" s="121"/>
      <c r="F191" s="121"/>
      <c r="G191" s="121"/>
      <c r="H191" s="121"/>
      <c r="I191" s="121"/>
      <c r="J191" s="121"/>
      <c r="K191" s="121"/>
      <c r="L191" s="121"/>
      <c r="M191" s="121"/>
      <c r="N191" s="121"/>
      <c r="O191" s="121"/>
      <c r="P191" s="121"/>
      <c r="Q191" s="121"/>
      <c r="R191" s="121"/>
      <c r="S191" s="121"/>
      <c r="T191" s="121"/>
      <c r="U191" s="121"/>
      <c r="V191" s="121"/>
      <c r="W191" s="121"/>
      <c r="X191" s="121"/>
      <c r="Y191" s="121"/>
      <c r="Z191" s="121"/>
      <c r="AA191" s="121"/>
      <c r="AB191" s="121"/>
      <c r="AC191" s="121"/>
      <c r="AD191" s="121"/>
      <c r="AE191" s="121"/>
      <c r="AF191" s="121"/>
      <c r="AG191" s="121"/>
      <c r="AH191" s="121"/>
    </row>
    <row r="192" spans="1:34" x14ac:dyDescent="0.25">
      <c r="A192" s="121"/>
      <c r="B192" s="121"/>
      <c r="C192" s="121"/>
      <c r="D192" s="121"/>
      <c r="E192" s="121"/>
      <c r="F192" s="121"/>
      <c r="G192" s="121"/>
      <c r="H192" s="121"/>
      <c r="I192" s="121"/>
      <c r="J192" s="121"/>
      <c r="K192" s="121"/>
      <c r="L192" s="121"/>
      <c r="M192" s="121"/>
      <c r="N192" s="121"/>
      <c r="O192" s="121"/>
      <c r="P192" s="121"/>
      <c r="Q192" s="121"/>
      <c r="R192" s="121"/>
      <c r="S192" s="121"/>
      <c r="T192" s="121"/>
      <c r="U192" s="121"/>
      <c r="V192" s="121"/>
      <c r="W192" s="121"/>
      <c r="X192" s="121"/>
      <c r="Y192" s="121"/>
      <c r="Z192" s="121"/>
      <c r="AA192" s="121"/>
      <c r="AB192" s="121"/>
      <c r="AC192" s="121"/>
      <c r="AD192" s="121"/>
      <c r="AE192" s="121"/>
      <c r="AF192" s="121"/>
      <c r="AG192" s="121"/>
      <c r="AH192" s="121"/>
    </row>
    <row r="193" spans="1:34" x14ac:dyDescent="0.25">
      <c r="A193" s="121"/>
      <c r="B193" s="121"/>
      <c r="C193" s="121"/>
      <c r="D193" s="121"/>
      <c r="E193" s="121"/>
      <c r="F193" s="121"/>
      <c r="G193" s="121"/>
      <c r="H193" s="121"/>
      <c r="I193" s="121"/>
      <c r="J193" s="121"/>
      <c r="K193" s="121"/>
      <c r="L193" s="121"/>
      <c r="M193" s="121"/>
      <c r="N193" s="121"/>
      <c r="O193" s="121"/>
      <c r="P193" s="121"/>
      <c r="Q193" s="121"/>
      <c r="R193" s="121"/>
      <c r="S193" s="121"/>
      <c r="T193" s="121"/>
      <c r="U193" s="121"/>
      <c r="V193" s="121"/>
      <c r="W193" s="121"/>
      <c r="X193" s="121"/>
      <c r="Y193" s="121"/>
      <c r="Z193" s="121"/>
      <c r="AA193" s="121"/>
      <c r="AB193" s="121"/>
      <c r="AC193" s="121"/>
      <c r="AD193" s="121"/>
      <c r="AE193" s="121"/>
      <c r="AF193" s="121"/>
      <c r="AG193" s="121"/>
      <c r="AH193" s="121"/>
    </row>
    <row r="194" spans="1:34" x14ac:dyDescent="0.25">
      <c r="A194" s="121"/>
      <c r="B194" s="121"/>
      <c r="C194" s="121"/>
      <c r="D194" s="121"/>
      <c r="E194" s="121"/>
      <c r="F194" s="121"/>
      <c r="G194" s="121"/>
      <c r="H194" s="121"/>
      <c r="I194" s="121"/>
      <c r="J194" s="121"/>
      <c r="K194" s="121"/>
      <c r="L194" s="121"/>
      <c r="M194" s="121"/>
      <c r="N194" s="121"/>
      <c r="O194" s="121"/>
      <c r="P194" s="121"/>
      <c r="Q194" s="121"/>
      <c r="R194" s="121"/>
      <c r="S194" s="121"/>
      <c r="T194" s="121"/>
      <c r="U194" s="121"/>
      <c r="V194" s="121"/>
      <c r="W194" s="121"/>
      <c r="X194" s="121"/>
      <c r="Y194" s="121"/>
      <c r="Z194" s="121"/>
      <c r="AA194" s="121"/>
      <c r="AB194" s="121"/>
      <c r="AC194" s="121"/>
      <c r="AD194" s="121"/>
      <c r="AE194" s="121"/>
      <c r="AF194" s="121"/>
      <c r="AG194" s="121"/>
      <c r="AH194" s="121"/>
    </row>
    <row r="195" spans="1:34" x14ac:dyDescent="0.25">
      <c r="A195" s="121"/>
      <c r="B195" s="121"/>
      <c r="C195" s="121"/>
      <c r="D195" s="121"/>
      <c r="E195" s="121"/>
      <c r="F195" s="121"/>
      <c r="G195" s="121"/>
      <c r="H195" s="121"/>
      <c r="I195" s="121"/>
      <c r="J195" s="121"/>
      <c r="K195" s="121"/>
      <c r="L195" s="121"/>
      <c r="M195" s="121"/>
      <c r="N195" s="121"/>
      <c r="O195" s="121"/>
      <c r="P195" s="121"/>
      <c r="Q195" s="121"/>
      <c r="R195" s="121"/>
      <c r="S195" s="121"/>
      <c r="T195" s="121"/>
      <c r="U195" s="121"/>
      <c r="V195" s="121"/>
      <c r="W195" s="121"/>
      <c r="X195" s="121"/>
      <c r="Y195" s="121"/>
      <c r="Z195" s="121"/>
      <c r="AA195" s="121"/>
      <c r="AB195" s="121"/>
      <c r="AC195" s="121"/>
      <c r="AD195" s="121"/>
      <c r="AE195" s="121"/>
      <c r="AF195" s="121"/>
      <c r="AG195" s="121"/>
      <c r="AH195" s="121"/>
    </row>
    <row r="196" spans="1:34" x14ac:dyDescent="0.25">
      <c r="B196" s="121"/>
      <c r="C196" s="121"/>
      <c r="D196" s="121"/>
      <c r="E196" s="121"/>
      <c r="F196" s="121"/>
      <c r="G196" s="121"/>
      <c r="H196" s="121"/>
      <c r="I196" s="121"/>
      <c r="J196" s="121"/>
      <c r="K196" s="121"/>
      <c r="L196" s="121"/>
      <c r="M196" s="121"/>
      <c r="N196" s="121"/>
      <c r="O196" s="121"/>
      <c r="P196" s="121"/>
      <c r="Q196" s="121"/>
      <c r="R196" s="121"/>
      <c r="S196" s="121"/>
      <c r="T196" s="121"/>
      <c r="U196" s="121"/>
      <c r="V196" s="121"/>
      <c r="W196" s="121"/>
      <c r="X196" s="121"/>
      <c r="Y196" s="121"/>
      <c r="Z196" s="121"/>
      <c r="AA196" s="121"/>
      <c r="AB196" s="121"/>
      <c r="AC196" s="121"/>
      <c r="AD196" s="121"/>
      <c r="AE196" s="121"/>
      <c r="AF196" s="121"/>
      <c r="AG196" s="121"/>
      <c r="AH196" s="121"/>
    </row>
    <row r="197" spans="1:34" x14ac:dyDescent="0.25">
      <c r="B197" s="121"/>
      <c r="C197" s="121"/>
      <c r="D197" s="121"/>
      <c r="E197" s="121"/>
      <c r="F197" s="121"/>
      <c r="G197" s="121"/>
      <c r="H197" s="121"/>
      <c r="I197" s="121"/>
      <c r="J197" s="121"/>
      <c r="K197" s="121"/>
      <c r="L197" s="121"/>
      <c r="M197" s="121"/>
      <c r="N197" s="121"/>
      <c r="O197" s="121"/>
      <c r="P197" s="121"/>
      <c r="Q197" s="121"/>
      <c r="R197" s="121"/>
      <c r="S197" s="121"/>
      <c r="T197" s="121"/>
      <c r="U197" s="121"/>
      <c r="V197" s="121"/>
      <c r="W197" s="121"/>
      <c r="X197" s="121"/>
      <c r="Y197" s="121"/>
      <c r="Z197" s="121"/>
      <c r="AA197" s="121"/>
      <c r="AB197" s="121"/>
      <c r="AC197" s="121"/>
      <c r="AD197" s="121"/>
      <c r="AE197" s="121"/>
      <c r="AF197" s="121"/>
      <c r="AG197" s="121"/>
      <c r="AH197" s="121"/>
    </row>
    <row r="198" spans="1:34" x14ac:dyDescent="0.25">
      <c r="B198" s="121"/>
      <c r="C198" s="121"/>
      <c r="D198" s="121"/>
      <c r="E198" s="121"/>
      <c r="F198" s="121"/>
      <c r="G198" s="121"/>
      <c r="H198" s="121"/>
      <c r="I198" s="121"/>
      <c r="J198" s="121"/>
      <c r="K198" s="121"/>
      <c r="L198" s="121"/>
      <c r="M198" s="121"/>
      <c r="N198" s="121"/>
      <c r="O198" s="121"/>
      <c r="P198" s="121"/>
      <c r="Q198" s="121"/>
      <c r="R198" s="121"/>
      <c r="S198" s="121"/>
      <c r="T198" s="121"/>
      <c r="U198" s="121"/>
      <c r="V198" s="121"/>
      <c r="W198" s="121"/>
      <c r="X198" s="121"/>
      <c r="Y198" s="121"/>
      <c r="Z198" s="121"/>
      <c r="AA198" s="121"/>
      <c r="AB198" s="121"/>
      <c r="AC198" s="121"/>
      <c r="AD198" s="121"/>
      <c r="AE198" s="121"/>
      <c r="AF198" s="121"/>
      <c r="AG198" s="121"/>
      <c r="AH198" s="121"/>
    </row>
    <row r="199" spans="1:34" x14ac:dyDescent="0.25">
      <c r="B199" s="121"/>
      <c r="C199" s="121"/>
      <c r="D199" s="121"/>
      <c r="E199" s="121"/>
      <c r="F199" s="121"/>
      <c r="G199" s="121"/>
      <c r="H199" s="121"/>
      <c r="I199" s="121"/>
      <c r="J199" s="121"/>
      <c r="K199" s="121"/>
      <c r="L199" s="121"/>
      <c r="M199" s="121"/>
      <c r="N199" s="121"/>
      <c r="O199" s="121"/>
      <c r="P199" s="121"/>
      <c r="Q199" s="121"/>
      <c r="R199" s="121"/>
      <c r="S199" s="121"/>
      <c r="T199" s="121"/>
      <c r="U199" s="121"/>
      <c r="V199" s="121"/>
      <c r="W199" s="121"/>
      <c r="X199" s="121"/>
      <c r="Y199" s="121"/>
      <c r="Z199" s="121"/>
      <c r="AA199" s="121"/>
      <c r="AB199" s="121"/>
      <c r="AC199" s="121"/>
      <c r="AD199" s="121"/>
      <c r="AE199" s="121"/>
      <c r="AF199" s="121"/>
      <c r="AG199" s="121"/>
      <c r="AH199" s="121"/>
    </row>
    <row r="200" spans="1:34" x14ac:dyDescent="0.25">
      <c r="B200" s="121"/>
      <c r="C200" s="121"/>
      <c r="D200" s="121"/>
      <c r="E200" s="121"/>
      <c r="F200" s="121"/>
      <c r="G200" s="121"/>
      <c r="H200" s="121"/>
      <c r="I200" s="121"/>
      <c r="J200" s="121"/>
      <c r="K200" s="121"/>
      <c r="L200" s="121"/>
      <c r="M200" s="121"/>
      <c r="N200" s="121"/>
      <c r="O200" s="121"/>
      <c r="P200" s="121"/>
      <c r="Q200" s="121"/>
      <c r="R200" s="121"/>
      <c r="S200" s="121"/>
      <c r="T200" s="121"/>
      <c r="U200" s="121"/>
      <c r="V200" s="121"/>
      <c r="W200" s="121"/>
      <c r="X200" s="121"/>
      <c r="Y200" s="121"/>
      <c r="Z200" s="121"/>
      <c r="AA200" s="121"/>
      <c r="AB200" s="121"/>
      <c r="AC200" s="121"/>
      <c r="AD200" s="121"/>
      <c r="AE200" s="121"/>
      <c r="AF200" s="121"/>
      <c r="AG200" s="121"/>
      <c r="AH200" s="121"/>
    </row>
    <row r="201" spans="1:34" x14ac:dyDescent="0.25">
      <c r="B201" s="121"/>
      <c r="C201" s="121"/>
      <c r="D201" s="121"/>
      <c r="E201" s="121"/>
      <c r="F201" s="121"/>
      <c r="G201" s="121"/>
      <c r="H201" s="121"/>
      <c r="I201" s="121"/>
      <c r="J201" s="121"/>
      <c r="K201" s="121"/>
      <c r="L201" s="121"/>
      <c r="M201" s="121"/>
      <c r="N201" s="121"/>
      <c r="O201" s="121"/>
      <c r="P201" s="121"/>
      <c r="Q201" s="121"/>
      <c r="R201" s="121"/>
      <c r="S201" s="121"/>
      <c r="T201" s="121"/>
      <c r="U201" s="121"/>
      <c r="V201" s="121"/>
      <c r="W201" s="121"/>
      <c r="X201" s="121"/>
      <c r="Y201" s="121"/>
      <c r="Z201" s="121"/>
      <c r="AA201" s="121"/>
      <c r="AB201" s="121"/>
      <c r="AC201" s="121"/>
      <c r="AD201" s="121"/>
      <c r="AE201" s="121"/>
      <c r="AF201" s="121"/>
      <c r="AG201" s="121"/>
      <c r="AH201" s="121"/>
    </row>
    <row r="202" spans="1:34" x14ac:dyDescent="0.25">
      <c r="B202" s="121"/>
      <c r="C202" s="121"/>
      <c r="D202" s="121"/>
      <c r="E202" s="121"/>
      <c r="F202" s="121"/>
      <c r="G202" s="121"/>
      <c r="H202" s="121"/>
      <c r="I202" s="121"/>
      <c r="J202" s="121"/>
      <c r="K202" s="121"/>
      <c r="L202" s="121"/>
      <c r="M202" s="121"/>
      <c r="N202" s="121"/>
      <c r="O202" s="121"/>
      <c r="P202" s="121"/>
      <c r="Q202" s="121"/>
      <c r="R202" s="121"/>
      <c r="S202" s="121"/>
      <c r="T202" s="121"/>
      <c r="U202" s="121"/>
      <c r="V202" s="121"/>
      <c r="W202" s="121"/>
      <c r="X202" s="121"/>
      <c r="Y202" s="121"/>
      <c r="Z202" s="121"/>
      <c r="AA202" s="121"/>
      <c r="AB202" s="121"/>
      <c r="AC202" s="121"/>
      <c r="AD202" s="121"/>
      <c r="AE202" s="121"/>
      <c r="AF202" s="121"/>
      <c r="AG202" s="121"/>
      <c r="AH202" s="121"/>
    </row>
    <row r="203" spans="1:34" x14ac:dyDescent="0.25">
      <c r="B203" s="121"/>
      <c r="C203" s="121"/>
      <c r="D203" s="121"/>
      <c r="E203" s="121"/>
      <c r="F203" s="121"/>
      <c r="G203" s="121"/>
      <c r="H203" s="121"/>
      <c r="I203" s="121"/>
      <c r="J203" s="121"/>
      <c r="K203" s="121"/>
      <c r="L203" s="121"/>
      <c r="M203" s="121"/>
      <c r="N203" s="121"/>
      <c r="O203" s="121"/>
      <c r="P203" s="121"/>
      <c r="Q203" s="121"/>
      <c r="R203" s="121"/>
      <c r="S203" s="121"/>
      <c r="T203" s="121"/>
      <c r="U203" s="121"/>
      <c r="V203" s="121"/>
      <c r="W203" s="121"/>
      <c r="X203" s="121"/>
      <c r="Y203" s="121"/>
      <c r="Z203" s="121"/>
      <c r="AA203" s="121"/>
      <c r="AB203" s="121"/>
      <c r="AC203" s="121"/>
      <c r="AD203" s="121"/>
      <c r="AE203" s="121"/>
      <c r="AF203" s="121"/>
      <c r="AG203" s="121"/>
      <c r="AH203" s="121"/>
    </row>
    <row r="204" spans="1:34" x14ac:dyDescent="0.25">
      <c r="B204" s="121"/>
      <c r="C204" s="121"/>
      <c r="D204" s="121"/>
      <c r="E204" s="121"/>
      <c r="F204" s="121"/>
      <c r="G204" s="121"/>
      <c r="H204" s="121"/>
      <c r="I204" s="121"/>
      <c r="J204" s="121"/>
      <c r="K204" s="121"/>
      <c r="L204" s="121"/>
      <c r="M204" s="121"/>
      <c r="N204" s="121"/>
      <c r="O204" s="121"/>
      <c r="P204" s="121"/>
      <c r="Q204" s="121"/>
      <c r="R204" s="121"/>
      <c r="S204" s="121"/>
      <c r="T204" s="121"/>
      <c r="U204" s="121"/>
      <c r="V204" s="121"/>
      <c r="W204" s="121"/>
      <c r="X204" s="121"/>
      <c r="Y204" s="121"/>
      <c r="Z204" s="121"/>
      <c r="AA204" s="121"/>
      <c r="AB204" s="121"/>
      <c r="AC204" s="121"/>
      <c r="AD204" s="121"/>
      <c r="AE204" s="121"/>
      <c r="AF204" s="121"/>
      <c r="AG204" s="121"/>
      <c r="AH204" s="121"/>
    </row>
    <row r="205" spans="1:34" x14ac:dyDescent="0.25">
      <c r="B205" s="121"/>
      <c r="C205" s="121"/>
      <c r="D205" s="121"/>
      <c r="E205" s="121"/>
      <c r="F205" s="121"/>
      <c r="G205" s="121"/>
      <c r="H205" s="121"/>
      <c r="I205" s="121"/>
      <c r="J205" s="121"/>
      <c r="K205" s="121"/>
      <c r="L205" s="121"/>
      <c r="M205" s="121"/>
      <c r="N205" s="121"/>
      <c r="O205" s="121"/>
      <c r="P205" s="121"/>
      <c r="Q205" s="121"/>
      <c r="R205" s="121"/>
      <c r="S205" s="121"/>
      <c r="T205" s="121"/>
      <c r="U205" s="121"/>
      <c r="V205" s="121"/>
      <c r="W205" s="121"/>
      <c r="X205" s="121"/>
      <c r="Y205" s="121"/>
      <c r="Z205" s="121"/>
      <c r="AA205" s="121"/>
      <c r="AB205" s="121"/>
      <c r="AC205" s="121"/>
      <c r="AD205" s="121"/>
      <c r="AE205" s="121"/>
      <c r="AF205" s="121"/>
      <c r="AG205" s="121"/>
      <c r="AH205" s="121"/>
    </row>
    <row r="206" spans="1:34" x14ac:dyDescent="0.25">
      <c r="B206" s="121"/>
      <c r="C206" s="121"/>
      <c r="D206" s="121"/>
      <c r="E206" s="121"/>
      <c r="F206" s="121"/>
      <c r="G206" s="121"/>
      <c r="H206" s="121"/>
      <c r="I206" s="121"/>
      <c r="J206" s="121"/>
      <c r="K206" s="121"/>
      <c r="L206" s="121"/>
      <c r="M206" s="121"/>
      <c r="N206" s="121"/>
      <c r="O206" s="121"/>
      <c r="P206" s="121"/>
      <c r="Q206" s="121"/>
      <c r="R206" s="121"/>
      <c r="S206" s="121"/>
      <c r="T206" s="121"/>
      <c r="U206" s="121"/>
      <c r="V206" s="121"/>
      <c r="W206" s="121"/>
      <c r="X206" s="121"/>
      <c r="Y206" s="121"/>
      <c r="Z206" s="121"/>
      <c r="AA206" s="121"/>
      <c r="AB206" s="121"/>
      <c r="AC206" s="121"/>
      <c r="AD206" s="121"/>
      <c r="AE206" s="121"/>
      <c r="AF206" s="121"/>
      <c r="AG206" s="121"/>
      <c r="AH206" s="121"/>
    </row>
    <row r="207" spans="1:34" x14ac:dyDescent="0.25">
      <c r="B207" s="121"/>
      <c r="C207" s="121"/>
      <c r="D207" s="121"/>
      <c r="E207" s="121"/>
      <c r="F207" s="121"/>
      <c r="G207" s="121"/>
      <c r="H207" s="121"/>
      <c r="I207" s="121"/>
      <c r="J207" s="121"/>
      <c r="K207" s="121"/>
      <c r="L207" s="121"/>
      <c r="M207" s="121"/>
      <c r="N207" s="121"/>
      <c r="O207" s="121"/>
      <c r="P207" s="121"/>
      <c r="Q207" s="121"/>
      <c r="R207" s="121"/>
      <c r="S207" s="121"/>
      <c r="T207" s="121"/>
      <c r="U207" s="121"/>
      <c r="V207" s="121"/>
      <c r="W207" s="121"/>
      <c r="X207" s="121"/>
      <c r="Y207" s="121"/>
      <c r="Z207" s="121"/>
      <c r="AA207" s="121"/>
      <c r="AB207" s="121"/>
      <c r="AC207" s="121"/>
      <c r="AD207" s="121"/>
      <c r="AE207" s="121"/>
      <c r="AF207" s="121"/>
      <c r="AG207" s="121"/>
      <c r="AH207" s="121"/>
    </row>
    <row r="208" spans="1:34" x14ac:dyDescent="0.25">
      <c r="B208" s="121"/>
      <c r="C208" s="121"/>
      <c r="D208" s="121"/>
      <c r="E208" s="121"/>
      <c r="F208" s="121"/>
      <c r="G208" s="121"/>
      <c r="H208" s="121"/>
      <c r="I208" s="121"/>
      <c r="J208" s="121"/>
      <c r="K208" s="121"/>
      <c r="L208" s="121"/>
      <c r="M208" s="121"/>
      <c r="N208" s="121"/>
      <c r="O208" s="121"/>
      <c r="P208" s="121"/>
      <c r="Q208" s="121"/>
      <c r="R208" s="121"/>
      <c r="S208" s="121"/>
      <c r="T208" s="121"/>
      <c r="U208" s="121"/>
      <c r="V208" s="121"/>
      <c r="W208" s="121"/>
      <c r="X208" s="121"/>
      <c r="Y208" s="121"/>
      <c r="Z208" s="121"/>
      <c r="AA208" s="121"/>
      <c r="AB208" s="121"/>
      <c r="AC208" s="121"/>
      <c r="AD208" s="121"/>
      <c r="AE208" s="121"/>
      <c r="AF208" s="121"/>
      <c r="AG208" s="121"/>
      <c r="AH208" s="121"/>
    </row>
    <row r="209" spans="2:34" x14ac:dyDescent="0.25">
      <c r="B209" s="121"/>
      <c r="C209" s="121"/>
      <c r="D209" s="121"/>
      <c r="E209" s="121"/>
      <c r="F209" s="121"/>
      <c r="G209" s="121"/>
      <c r="H209" s="121"/>
      <c r="I209" s="121"/>
      <c r="J209" s="121"/>
      <c r="K209" s="121"/>
      <c r="L209" s="121"/>
      <c r="M209" s="121"/>
      <c r="N209" s="121"/>
      <c r="O209" s="121"/>
      <c r="P209" s="121"/>
      <c r="Q209" s="121"/>
      <c r="R209" s="121"/>
      <c r="S209" s="121"/>
      <c r="T209" s="121"/>
      <c r="U209" s="121"/>
      <c r="V209" s="121"/>
      <c r="W209" s="121"/>
      <c r="X209" s="121"/>
      <c r="Y209" s="121"/>
      <c r="Z209" s="121"/>
      <c r="AA209" s="121"/>
      <c r="AB209" s="121"/>
      <c r="AC209" s="121"/>
      <c r="AD209" s="121"/>
      <c r="AE209" s="121"/>
      <c r="AF209" s="121"/>
      <c r="AG209" s="121"/>
      <c r="AH209" s="121"/>
    </row>
    <row r="210" spans="2:34" x14ac:dyDescent="0.25">
      <c r="B210" s="121"/>
      <c r="C210" s="121"/>
      <c r="D210" s="121"/>
      <c r="E210" s="121"/>
      <c r="F210" s="121"/>
      <c r="G210" s="121"/>
      <c r="H210" s="121"/>
      <c r="I210" s="121"/>
      <c r="J210" s="121"/>
      <c r="K210" s="121"/>
      <c r="L210" s="121"/>
      <c r="M210" s="121"/>
      <c r="N210" s="121"/>
      <c r="O210" s="121"/>
      <c r="P210" s="121"/>
      <c r="Q210" s="121"/>
      <c r="R210" s="121"/>
      <c r="S210" s="121"/>
      <c r="T210" s="121"/>
      <c r="U210" s="121"/>
      <c r="V210" s="121"/>
      <c r="W210" s="121"/>
      <c r="X210" s="121"/>
      <c r="Y210" s="121"/>
      <c r="Z210" s="121"/>
      <c r="AA210" s="121"/>
      <c r="AB210" s="121"/>
      <c r="AC210" s="121"/>
      <c r="AD210" s="121"/>
      <c r="AE210" s="121"/>
      <c r="AF210" s="121"/>
      <c r="AG210" s="121"/>
      <c r="AH210" s="121"/>
    </row>
    <row r="211" spans="2:34" x14ac:dyDescent="0.25">
      <c r="B211" s="121"/>
      <c r="C211" s="121"/>
      <c r="D211" s="121"/>
      <c r="E211" s="121"/>
      <c r="F211" s="121"/>
      <c r="G211" s="121"/>
      <c r="H211" s="121"/>
      <c r="I211" s="121"/>
      <c r="J211" s="121"/>
      <c r="K211" s="121"/>
      <c r="L211" s="121"/>
      <c r="M211" s="121"/>
      <c r="N211" s="121"/>
      <c r="O211" s="121"/>
      <c r="P211" s="121"/>
      <c r="Q211" s="121"/>
      <c r="R211" s="121"/>
      <c r="S211" s="121"/>
      <c r="T211" s="121"/>
      <c r="U211" s="121"/>
      <c r="V211" s="121"/>
      <c r="W211" s="121"/>
      <c r="X211" s="121"/>
      <c r="Y211" s="121"/>
      <c r="Z211" s="121"/>
      <c r="AA211" s="121"/>
      <c r="AB211" s="121"/>
      <c r="AC211" s="121"/>
      <c r="AD211" s="121"/>
      <c r="AE211" s="121"/>
      <c r="AF211" s="121"/>
      <c r="AG211" s="121"/>
      <c r="AH211" s="121"/>
    </row>
    <row r="212" spans="2:34" x14ac:dyDescent="0.25">
      <c r="B212" s="121"/>
      <c r="C212" s="121"/>
      <c r="D212" s="121"/>
      <c r="E212" s="121"/>
      <c r="F212" s="121"/>
      <c r="G212" s="121"/>
      <c r="H212" s="121"/>
      <c r="I212" s="121"/>
      <c r="J212" s="121"/>
      <c r="K212" s="121"/>
      <c r="L212" s="121"/>
      <c r="M212" s="121"/>
      <c r="N212" s="121"/>
      <c r="O212" s="121"/>
      <c r="P212" s="121"/>
      <c r="Q212" s="121"/>
      <c r="R212" s="121"/>
      <c r="S212" s="121"/>
      <c r="T212" s="121"/>
      <c r="U212" s="121"/>
      <c r="V212" s="121"/>
      <c r="W212" s="121"/>
      <c r="X212" s="121"/>
      <c r="Y212" s="121"/>
      <c r="Z212" s="121"/>
      <c r="AA212" s="121"/>
      <c r="AB212" s="121"/>
      <c r="AC212" s="121"/>
      <c r="AD212" s="121"/>
      <c r="AE212" s="121"/>
      <c r="AF212" s="121"/>
      <c r="AG212" s="121"/>
      <c r="AH212" s="121"/>
    </row>
    <row r="213" spans="2:34" x14ac:dyDescent="0.25">
      <c r="B213" s="121"/>
      <c r="C213" s="121"/>
      <c r="D213" s="121"/>
      <c r="E213" s="121"/>
      <c r="F213" s="121"/>
      <c r="G213" s="121"/>
      <c r="H213" s="121"/>
      <c r="I213" s="121"/>
      <c r="J213" s="121"/>
      <c r="K213" s="121"/>
      <c r="L213" s="121"/>
      <c r="M213" s="121"/>
      <c r="N213" s="121"/>
      <c r="O213" s="121"/>
      <c r="P213" s="121"/>
      <c r="Q213" s="121"/>
      <c r="R213" s="121"/>
      <c r="S213" s="121"/>
      <c r="T213" s="121"/>
      <c r="U213" s="121"/>
      <c r="V213" s="121"/>
      <c r="W213" s="121"/>
      <c r="X213" s="121"/>
      <c r="Y213" s="121"/>
      <c r="Z213" s="121"/>
      <c r="AA213" s="121"/>
      <c r="AB213" s="121"/>
      <c r="AC213" s="121"/>
      <c r="AD213" s="121"/>
      <c r="AE213" s="121"/>
      <c r="AF213" s="121"/>
      <c r="AG213" s="121"/>
      <c r="AH213" s="121"/>
    </row>
    <row r="214" spans="2:34" x14ac:dyDescent="0.25">
      <c r="B214" s="121"/>
      <c r="C214" s="121"/>
      <c r="D214" s="121"/>
      <c r="E214" s="121"/>
      <c r="F214" s="121"/>
      <c r="G214" s="121"/>
      <c r="H214" s="121"/>
      <c r="I214" s="121"/>
      <c r="J214" s="121"/>
      <c r="K214" s="121"/>
      <c r="L214" s="121"/>
      <c r="M214" s="121"/>
      <c r="N214" s="121"/>
      <c r="O214" s="121"/>
      <c r="P214" s="121"/>
      <c r="Q214" s="121"/>
      <c r="R214" s="121"/>
      <c r="S214" s="121"/>
      <c r="T214" s="121"/>
      <c r="U214" s="121"/>
      <c r="V214" s="121"/>
      <c r="W214" s="121"/>
      <c r="X214" s="121"/>
      <c r="Y214" s="121"/>
      <c r="Z214" s="121"/>
      <c r="AA214" s="121"/>
      <c r="AB214" s="121"/>
      <c r="AC214" s="121"/>
      <c r="AD214" s="121"/>
      <c r="AE214" s="121"/>
      <c r="AF214" s="121"/>
      <c r="AG214" s="121"/>
      <c r="AH214" s="121"/>
    </row>
    <row r="215" spans="2:34" x14ac:dyDescent="0.25">
      <c r="B215" s="121"/>
      <c r="C215" s="121"/>
      <c r="D215" s="121"/>
      <c r="E215" s="121"/>
      <c r="F215" s="121"/>
      <c r="G215" s="121"/>
      <c r="H215" s="121"/>
      <c r="I215" s="121"/>
      <c r="J215" s="121"/>
      <c r="K215" s="121"/>
      <c r="L215" s="121"/>
      <c r="M215" s="121"/>
      <c r="N215" s="121"/>
      <c r="O215" s="121"/>
      <c r="P215" s="121"/>
      <c r="Q215" s="121"/>
      <c r="R215" s="121"/>
      <c r="S215" s="121"/>
      <c r="T215" s="121"/>
      <c r="U215" s="121"/>
      <c r="V215" s="121"/>
      <c r="W215" s="121"/>
      <c r="X215" s="121"/>
      <c r="Y215" s="121"/>
      <c r="Z215" s="121"/>
      <c r="AA215" s="121"/>
      <c r="AB215" s="121"/>
      <c r="AC215" s="121"/>
      <c r="AD215" s="121"/>
      <c r="AE215" s="121"/>
      <c r="AF215" s="121"/>
      <c r="AG215" s="121"/>
      <c r="AH215" s="121"/>
    </row>
    <row r="216" spans="2:34" x14ac:dyDescent="0.25">
      <c r="B216" s="121"/>
      <c r="C216" s="121"/>
      <c r="D216" s="121"/>
      <c r="E216" s="121"/>
      <c r="F216" s="121"/>
      <c r="G216" s="121"/>
      <c r="H216" s="121"/>
      <c r="I216" s="121"/>
      <c r="J216" s="121"/>
      <c r="K216" s="121"/>
      <c r="L216" s="121"/>
      <c r="M216" s="121"/>
      <c r="N216" s="121"/>
      <c r="O216" s="121"/>
      <c r="P216" s="121"/>
      <c r="Q216" s="121"/>
      <c r="R216" s="121"/>
      <c r="S216" s="121"/>
      <c r="T216" s="121"/>
      <c r="U216" s="121"/>
      <c r="V216" s="121"/>
      <c r="W216" s="121"/>
      <c r="X216" s="121"/>
      <c r="Y216" s="121"/>
      <c r="Z216" s="121"/>
      <c r="AA216" s="121"/>
      <c r="AB216" s="121"/>
      <c r="AC216" s="121"/>
      <c r="AD216" s="121"/>
      <c r="AE216" s="121"/>
      <c r="AF216" s="121"/>
      <c r="AG216" s="121"/>
      <c r="AH216" s="121"/>
    </row>
    <row r="217" spans="2:34" x14ac:dyDescent="0.25">
      <c r="B217" s="121"/>
      <c r="C217" s="121"/>
      <c r="D217" s="121"/>
      <c r="E217" s="121"/>
      <c r="F217" s="121"/>
      <c r="G217" s="121"/>
      <c r="H217" s="121"/>
      <c r="I217" s="121"/>
      <c r="J217" s="121"/>
      <c r="K217" s="121"/>
      <c r="L217" s="121"/>
      <c r="M217" s="121"/>
      <c r="N217" s="121"/>
      <c r="O217" s="121"/>
      <c r="P217" s="121"/>
      <c r="Q217" s="121"/>
      <c r="R217" s="121"/>
      <c r="S217" s="121"/>
      <c r="T217" s="121"/>
      <c r="U217" s="121"/>
      <c r="V217" s="121"/>
      <c r="W217" s="121"/>
      <c r="X217" s="121"/>
      <c r="Y217" s="121"/>
      <c r="Z217" s="121"/>
      <c r="AA217" s="121"/>
      <c r="AB217" s="121"/>
      <c r="AC217" s="121"/>
      <c r="AD217" s="121"/>
      <c r="AE217" s="121"/>
      <c r="AF217" s="121"/>
      <c r="AG217" s="121"/>
      <c r="AH217" s="121"/>
    </row>
    <row r="218" spans="2:34" x14ac:dyDescent="0.25">
      <c r="B218" s="121"/>
      <c r="C218" s="121"/>
      <c r="D218" s="121"/>
      <c r="E218" s="121"/>
      <c r="F218" s="121"/>
      <c r="G218" s="121"/>
      <c r="H218" s="121"/>
      <c r="I218" s="121"/>
      <c r="J218" s="121"/>
      <c r="K218" s="121"/>
      <c r="L218" s="121"/>
      <c r="M218" s="121"/>
      <c r="N218" s="121"/>
      <c r="O218" s="121"/>
      <c r="P218" s="121"/>
      <c r="Q218" s="121"/>
      <c r="R218" s="121"/>
      <c r="S218" s="121"/>
      <c r="T218" s="121"/>
      <c r="U218" s="121"/>
      <c r="V218" s="121"/>
      <c r="W218" s="121"/>
      <c r="X218" s="121"/>
      <c r="Y218" s="121"/>
      <c r="Z218" s="121"/>
      <c r="AA218" s="121"/>
      <c r="AB218" s="121"/>
      <c r="AC218" s="121"/>
      <c r="AD218" s="121"/>
      <c r="AE218" s="121"/>
      <c r="AF218" s="121"/>
      <c r="AG218" s="121"/>
      <c r="AH218" s="121"/>
    </row>
    <row r="219" spans="2:34" x14ac:dyDescent="0.25">
      <c r="B219" s="121"/>
      <c r="C219" s="121"/>
      <c r="D219" s="121"/>
      <c r="E219" s="121"/>
      <c r="F219" s="121"/>
      <c r="G219" s="121"/>
      <c r="H219" s="121"/>
      <c r="I219" s="121"/>
      <c r="J219" s="121"/>
      <c r="K219" s="121"/>
      <c r="L219" s="121"/>
      <c r="M219" s="121"/>
      <c r="N219" s="121"/>
      <c r="O219" s="121"/>
      <c r="P219" s="121"/>
      <c r="Q219" s="121"/>
      <c r="R219" s="121"/>
      <c r="S219" s="121"/>
      <c r="T219" s="121"/>
      <c r="U219" s="121"/>
      <c r="V219" s="121"/>
      <c r="W219" s="121"/>
      <c r="X219" s="121"/>
      <c r="Y219" s="121"/>
      <c r="Z219" s="121"/>
      <c r="AA219" s="121"/>
      <c r="AB219" s="121"/>
      <c r="AC219" s="121"/>
      <c r="AD219" s="121"/>
      <c r="AE219" s="121"/>
      <c r="AF219" s="121"/>
      <c r="AG219" s="121"/>
      <c r="AH219" s="121"/>
    </row>
    <row r="220" spans="2:34" x14ac:dyDescent="0.25">
      <c r="B220" s="121"/>
      <c r="C220" s="121"/>
      <c r="D220" s="121"/>
      <c r="E220" s="121"/>
      <c r="F220" s="121"/>
      <c r="G220" s="121"/>
      <c r="H220" s="121"/>
      <c r="I220" s="121"/>
      <c r="J220" s="121"/>
      <c r="K220" s="121"/>
      <c r="L220" s="121"/>
      <c r="M220" s="121"/>
      <c r="N220" s="121"/>
      <c r="O220" s="121"/>
      <c r="P220" s="121"/>
      <c r="Q220" s="121"/>
      <c r="R220" s="121"/>
      <c r="S220" s="121"/>
      <c r="T220" s="121"/>
      <c r="U220" s="121"/>
      <c r="V220" s="121"/>
      <c r="W220" s="121"/>
      <c r="X220" s="121"/>
      <c r="Y220" s="121"/>
      <c r="Z220" s="121"/>
      <c r="AA220" s="121"/>
      <c r="AB220" s="121"/>
      <c r="AC220" s="121"/>
      <c r="AD220" s="121"/>
      <c r="AE220" s="121"/>
      <c r="AF220" s="121"/>
      <c r="AG220" s="121"/>
      <c r="AH220" s="121"/>
    </row>
    <row r="221" spans="2:34" x14ac:dyDescent="0.25">
      <c r="B221" s="121"/>
      <c r="C221" s="121"/>
      <c r="D221" s="121"/>
      <c r="E221" s="121"/>
      <c r="F221" s="121"/>
      <c r="G221" s="121"/>
      <c r="H221" s="121"/>
      <c r="I221" s="121"/>
      <c r="J221" s="121"/>
      <c r="K221" s="121"/>
      <c r="L221" s="121"/>
      <c r="M221" s="121"/>
      <c r="N221" s="121"/>
      <c r="O221" s="121"/>
      <c r="P221" s="121"/>
      <c r="Q221" s="121"/>
      <c r="R221" s="121"/>
      <c r="S221" s="121"/>
      <c r="T221" s="121"/>
      <c r="U221" s="121"/>
      <c r="V221" s="121"/>
      <c r="W221" s="121"/>
      <c r="X221" s="121"/>
      <c r="Y221" s="121"/>
      <c r="Z221" s="121"/>
      <c r="AA221" s="121"/>
      <c r="AB221" s="121"/>
      <c r="AC221" s="121"/>
      <c r="AD221" s="121"/>
      <c r="AE221" s="121"/>
      <c r="AF221" s="121"/>
      <c r="AG221" s="121"/>
      <c r="AH221" s="121"/>
    </row>
    <row r="222" spans="2:34" x14ac:dyDescent="0.25">
      <c r="B222" s="121"/>
      <c r="C222" s="121"/>
      <c r="D222" s="121"/>
      <c r="E222" s="121"/>
      <c r="F222" s="121"/>
      <c r="G222" s="121"/>
      <c r="H222" s="121"/>
      <c r="I222" s="121"/>
      <c r="J222" s="121"/>
      <c r="K222" s="121"/>
      <c r="L222" s="121"/>
      <c r="M222" s="121"/>
      <c r="N222" s="121"/>
      <c r="O222" s="121"/>
      <c r="P222" s="121"/>
      <c r="Q222" s="121"/>
      <c r="R222" s="121"/>
      <c r="S222" s="121"/>
      <c r="T222" s="121"/>
      <c r="U222" s="121"/>
      <c r="V222" s="121"/>
      <c r="W222" s="121"/>
      <c r="X222" s="121"/>
      <c r="Y222" s="121"/>
      <c r="Z222" s="121"/>
      <c r="AA222" s="121"/>
      <c r="AB222" s="121"/>
      <c r="AC222" s="121"/>
      <c r="AD222" s="121"/>
      <c r="AE222" s="121"/>
      <c r="AF222" s="121"/>
      <c r="AG222" s="121"/>
      <c r="AH222" s="121"/>
    </row>
    <row r="223" spans="2:34" x14ac:dyDescent="0.25">
      <c r="B223" s="121"/>
      <c r="C223" s="121"/>
      <c r="D223" s="121"/>
      <c r="E223" s="121"/>
      <c r="F223" s="121"/>
      <c r="G223" s="121"/>
      <c r="H223" s="121"/>
      <c r="I223" s="121"/>
      <c r="J223" s="121"/>
      <c r="K223" s="121"/>
      <c r="L223" s="121"/>
      <c r="M223" s="121"/>
      <c r="N223" s="121"/>
      <c r="O223" s="121"/>
      <c r="P223" s="121"/>
      <c r="Q223" s="121"/>
      <c r="R223" s="121"/>
      <c r="S223" s="121"/>
      <c r="T223" s="121"/>
      <c r="U223" s="121"/>
      <c r="V223" s="121"/>
      <c r="W223" s="121"/>
      <c r="X223" s="121"/>
      <c r="Y223" s="121"/>
      <c r="Z223" s="121"/>
      <c r="AA223" s="121"/>
      <c r="AB223" s="121"/>
      <c r="AC223" s="121"/>
      <c r="AD223" s="121"/>
      <c r="AE223" s="121"/>
      <c r="AF223" s="121"/>
      <c r="AG223" s="121"/>
      <c r="AH223" s="121"/>
    </row>
    <row r="224" spans="2:34" x14ac:dyDescent="0.25">
      <c r="B224" s="121"/>
      <c r="C224" s="121"/>
      <c r="D224" s="121"/>
      <c r="E224" s="121"/>
      <c r="F224" s="121"/>
      <c r="G224" s="121"/>
      <c r="H224" s="121"/>
      <c r="I224" s="121"/>
      <c r="J224" s="121"/>
      <c r="K224" s="121"/>
      <c r="L224" s="121"/>
      <c r="M224" s="121"/>
      <c r="N224" s="121"/>
      <c r="O224" s="121"/>
      <c r="P224" s="121"/>
      <c r="Q224" s="121"/>
      <c r="R224" s="121"/>
      <c r="S224" s="121"/>
      <c r="T224" s="121"/>
      <c r="U224" s="121"/>
      <c r="V224" s="121"/>
      <c r="W224" s="121"/>
      <c r="X224" s="121"/>
      <c r="Y224" s="121"/>
      <c r="Z224" s="121"/>
      <c r="AA224" s="121"/>
      <c r="AB224" s="121"/>
      <c r="AC224" s="121"/>
      <c r="AD224" s="121"/>
      <c r="AE224" s="121"/>
      <c r="AF224" s="121"/>
      <c r="AG224" s="121"/>
      <c r="AH224" s="121"/>
    </row>
    <row r="225" spans="2:34" x14ac:dyDescent="0.25">
      <c r="B225" s="121"/>
      <c r="C225" s="121"/>
      <c r="D225" s="121"/>
      <c r="E225" s="121"/>
      <c r="F225" s="121"/>
      <c r="G225" s="121"/>
      <c r="H225" s="121"/>
      <c r="I225" s="121"/>
      <c r="J225" s="121"/>
      <c r="K225" s="121"/>
      <c r="L225" s="121"/>
      <c r="M225" s="121"/>
      <c r="N225" s="121"/>
      <c r="O225" s="121"/>
      <c r="P225" s="121"/>
      <c r="Q225" s="121"/>
      <c r="R225" s="121"/>
      <c r="S225" s="121"/>
      <c r="T225" s="121"/>
      <c r="U225" s="121"/>
      <c r="V225" s="121"/>
      <c r="W225" s="121"/>
      <c r="X225" s="121"/>
      <c r="Y225" s="121"/>
      <c r="Z225" s="121"/>
      <c r="AA225" s="121"/>
      <c r="AB225" s="121"/>
      <c r="AC225" s="121"/>
      <c r="AD225" s="121"/>
      <c r="AE225" s="121"/>
      <c r="AF225" s="121"/>
      <c r="AG225" s="121"/>
      <c r="AH225" s="121"/>
    </row>
    <row r="226" spans="2:34" x14ac:dyDescent="0.25">
      <c r="B226" s="121"/>
      <c r="C226" s="121"/>
      <c r="D226" s="121"/>
      <c r="E226" s="121"/>
      <c r="F226" s="121"/>
      <c r="G226" s="121"/>
      <c r="J226" s="121"/>
      <c r="K226" s="121"/>
      <c r="L226" s="121"/>
      <c r="M226" s="121"/>
      <c r="N226" s="121"/>
      <c r="O226" s="121"/>
      <c r="P226" s="121"/>
      <c r="Q226" s="121"/>
      <c r="R226" s="121"/>
      <c r="S226" s="121"/>
      <c r="T226" s="121"/>
      <c r="U226" s="121"/>
      <c r="V226" s="121"/>
      <c r="W226" s="121"/>
      <c r="X226" s="121"/>
      <c r="Y226" s="121"/>
      <c r="Z226" s="121"/>
      <c r="AA226" s="121"/>
      <c r="AB226" s="121"/>
      <c r="AC226" s="121"/>
      <c r="AD226" s="121"/>
      <c r="AE226" s="121"/>
      <c r="AF226" s="121"/>
      <c r="AG226" s="121"/>
      <c r="AH226" s="121"/>
    </row>
    <row r="227" spans="2:34" x14ac:dyDescent="0.25">
      <c r="B227" s="121"/>
      <c r="C227" s="121"/>
      <c r="D227" s="121"/>
      <c r="E227" s="121"/>
      <c r="F227" s="121"/>
      <c r="G227" s="121"/>
      <c r="J227" s="121"/>
      <c r="K227" s="121"/>
      <c r="M227" s="121"/>
      <c r="N227" s="121"/>
      <c r="O227" s="121"/>
      <c r="P227" s="121"/>
      <c r="Q227" s="121"/>
      <c r="R227" s="121"/>
      <c r="S227" s="121"/>
      <c r="T227" s="121"/>
      <c r="U227" s="121"/>
      <c r="V227" s="121"/>
      <c r="W227" s="121"/>
      <c r="X227" s="121"/>
      <c r="Y227" s="121"/>
      <c r="Z227" s="121"/>
      <c r="AA227" s="121"/>
      <c r="AB227" s="121"/>
      <c r="AC227" s="121"/>
      <c r="AD227" s="121"/>
      <c r="AE227" s="121"/>
      <c r="AF227" s="121"/>
      <c r="AG227" s="121"/>
      <c r="AH227" s="121"/>
    </row>
    <row r="228" spans="2:34" x14ac:dyDescent="0.25">
      <c r="B228" s="121"/>
      <c r="C228" s="121"/>
      <c r="D228" s="121"/>
      <c r="E228" s="121"/>
      <c r="F228" s="121"/>
      <c r="G228" s="121"/>
      <c r="J228" s="121"/>
      <c r="K228" s="121"/>
      <c r="M228" s="121"/>
      <c r="N228" s="121"/>
      <c r="O228" s="121"/>
      <c r="P228" s="121"/>
      <c r="Q228" s="121"/>
      <c r="R228" s="121"/>
      <c r="S228" s="121"/>
      <c r="T228" s="121"/>
      <c r="U228" s="121"/>
      <c r="V228" s="121"/>
      <c r="W228" s="121"/>
      <c r="X228" s="121"/>
      <c r="Y228" s="121"/>
      <c r="Z228" s="121"/>
      <c r="AA228" s="121"/>
      <c r="AB228" s="121"/>
      <c r="AC228" s="121"/>
      <c r="AD228" s="121"/>
      <c r="AE228" s="121"/>
      <c r="AF228" s="121"/>
      <c r="AG228" s="121"/>
      <c r="AH228" s="121"/>
    </row>
    <row r="229" spans="2:34" x14ac:dyDescent="0.25">
      <c r="D229" s="121"/>
      <c r="E229" s="121"/>
      <c r="F229" s="121"/>
      <c r="G229" s="121"/>
      <c r="J229" s="121"/>
      <c r="K229" s="121"/>
      <c r="M229" s="121"/>
      <c r="N229" s="121"/>
      <c r="O229" s="121"/>
      <c r="P229" s="121"/>
      <c r="Q229" s="121"/>
      <c r="R229" s="121"/>
      <c r="S229" s="121"/>
      <c r="T229" s="121"/>
      <c r="U229" s="121"/>
      <c r="V229" s="121"/>
      <c r="W229" s="121"/>
      <c r="X229" s="121"/>
      <c r="Y229" s="121"/>
      <c r="Z229" s="121"/>
      <c r="AA229" s="121"/>
      <c r="AB229" s="121"/>
      <c r="AC229" s="121"/>
      <c r="AD229" s="121"/>
      <c r="AE229" s="121"/>
      <c r="AF229" s="121"/>
      <c r="AG229" s="121"/>
      <c r="AH229" s="121"/>
    </row>
    <row r="230" spans="2:34" x14ac:dyDescent="0.25">
      <c r="E230" s="121"/>
      <c r="F230" s="121"/>
    </row>
  </sheetData>
  <sortState ref="L5:L27">
    <sortCondition ref="L5"/>
  </sortState>
  <mergeCells count="1">
    <mergeCell ref="A1:B1"/>
  </mergeCell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0" tint="-0.249977111117893"/>
  </sheetPr>
  <dimension ref="A1:AO1048562"/>
  <sheetViews>
    <sheetView topLeftCell="A217" zoomScale="70" zoomScaleNormal="70" workbookViewId="0">
      <selection activeCell="O244" sqref="O244"/>
    </sheetView>
  </sheetViews>
  <sheetFormatPr baseColWidth="10" defaultRowHeight="15" x14ac:dyDescent="0.25"/>
  <cols>
    <col min="1" max="1" width="53.140625" bestFit="1" customWidth="1"/>
    <col min="2" max="2" width="39.42578125" bestFit="1" customWidth="1"/>
    <col min="3" max="3" width="14.28515625" customWidth="1"/>
    <col min="4" max="4" width="20.28515625" customWidth="1"/>
    <col min="5" max="5" width="41.140625" customWidth="1"/>
    <col min="6" max="17" width="11.42578125" customWidth="1"/>
    <col min="18" max="18" width="13.42578125" customWidth="1"/>
    <col min="19" max="19" width="13.140625" customWidth="1"/>
    <col min="20" max="21" width="13.28515625" customWidth="1"/>
    <col min="22" max="22" width="13.7109375" customWidth="1"/>
    <col min="23" max="23" width="13.140625" customWidth="1"/>
    <col min="24" max="24" width="13" customWidth="1"/>
    <col min="25" max="25" width="13.28515625" customWidth="1"/>
    <col min="26" max="27" width="13.42578125" customWidth="1"/>
    <col min="28" max="28" width="14.28515625" customWidth="1"/>
    <col min="29" max="29" width="13.5703125" customWidth="1"/>
    <col min="30" max="30" width="12.5703125" customWidth="1"/>
    <col min="31" max="31" width="13.42578125" bestFit="1" customWidth="1"/>
    <col min="32" max="32" width="13.28515625" customWidth="1"/>
    <col min="33" max="34" width="14.140625" customWidth="1"/>
    <col min="35" max="35" width="13.140625" customWidth="1"/>
    <col min="36" max="36" width="13.28515625" customWidth="1"/>
    <col min="37" max="37" width="13.140625" bestFit="1" customWidth="1"/>
    <col min="38" max="38" width="13.85546875" customWidth="1"/>
    <col min="39" max="39" width="12.7109375" customWidth="1"/>
    <col min="40" max="40" width="12.5703125" customWidth="1"/>
    <col min="41" max="41" width="12.42578125" customWidth="1"/>
  </cols>
  <sheetData>
    <row r="1" spans="1:41" ht="15.75" thickBot="1" x14ac:dyDescent="0.3">
      <c r="AD1" s="639" t="s">
        <v>467</v>
      </c>
      <c r="AE1" s="639"/>
      <c r="AF1" s="639"/>
      <c r="AG1" s="639"/>
      <c r="AH1" s="639"/>
      <c r="AI1" s="639"/>
      <c r="AJ1" s="639"/>
      <c r="AK1" s="639"/>
      <c r="AL1" s="639"/>
      <c r="AM1" s="639"/>
      <c r="AN1" s="639"/>
      <c r="AO1" s="639"/>
    </row>
    <row r="2" spans="1:41" ht="45" x14ac:dyDescent="0.25">
      <c r="A2" s="229" t="s">
        <v>665</v>
      </c>
      <c r="B2" s="229" t="s">
        <v>72</v>
      </c>
      <c r="C2" s="229" t="s">
        <v>73</v>
      </c>
      <c r="D2" s="229" t="s">
        <v>74</v>
      </c>
      <c r="E2" s="229" t="s">
        <v>133</v>
      </c>
      <c r="F2" s="228" t="s">
        <v>388</v>
      </c>
      <c r="G2" s="221" t="s">
        <v>389</v>
      </c>
      <c r="H2" s="221" t="s">
        <v>390</v>
      </c>
      <c r="I2" s="221" t="s">
        <v>391</v>
      </c>
      <c r="J2" s="221" t="s">
        <v>392</v>
      </c>
      <c r="K2" s="221" t="s">
        <v>393</v>
      </c>
      <c r="L2" s="221" t="s">
        <v>394</v>
      </c>
      <c r="M2" s="221" t="s">
        <v>395</v>
      </c>
      <c r="N2" s="221" t="s">
        <v>396</v>
      </c>
      <c r="O2" s="221" t="s">
        <v>397</v>
      </c>
      <c r="P2" s="221" t="s">
        <v>398</v>
      </c>
      <c r="Q2" s="227" t="s">
        <v>399</v>
      </c>
      <c r="R2" s="220" t="s">
        <v>443</v>
      </c>
      <c r="S2" s="221" t="s">
        <v>444</v>
      </c>
      <c r="T2" s="221" t="s">
        <v>445</v>
      </c>
      <c r="U2" s="221" t="s">
        <v>446</v>
      </c>
      <c r="V2" s="221" t="s">
        <v>447</v>
      </c>
      <c r="W2" s="221" t="s">
        <v>449</v>
      </c>
      <c r="X2" s="221" t="s">
        <v>448</v>
      </c>
      <c r="Y2" s="221" t="s">
        <v>450</v>
      </c>
      <c r="Z2" s="221" t="s">
        <v>451</v>
      </c>
      <c r="AA2" s="227" t="s">
        <v>452</v>
      </c>
      <c r="AB2" s="196" t="s">
        <v>453</v>
      </c>
      <c r="AC2" s="234" t="s">
        <v>454</v>
      </c>
      <c r="AD2" s="220" t="s">
        <v>455</v>
      </c>
      <c r="AE2" s="220" t="s">
        <v>456</v>
      </c>
      <c r="AF2" s="220" t="s">
        <v>457</v>
      </c>
      <c r="AG2" s="220" t="s">
        <v>458</v>
      </c>
      <c r="AH2" s="220" t="s">
        <v>459</v>
      </c>
      <c r="AI2" s="220" t="s">
        <v>460</v>
      </c>
      <c r="AJ2" s="220" t="s">
        <v>461</v>
      </c>
      <c r="AK2" s="220" t="s">
        <v>462</v>
      </c>
      <c r="AL2" s="220" t="s">
        <v>463</v>
      </c>
      <c r="AM2" s="220" t="s">
        <v>464</v>
      </c>
      <c r="AN2" s="220" t="s">
        <v>465</v>
      </c>
      <c r="AO2" s="196" t="s">
        <v>466</v>
      </c>
    </row>
    <row r="3" spans="1:41" ht="15.75" customHeight="1" x14ac:dyDescent="0.25">
      <c r="A3" s="251" t="s">
        <v>666</v>
      </c>
      <c r="B3" s="251" t="s">
        <v>34</v>
      </c>
      <c r="C3" s="251" t="s">
        <v>48</v>
      </c>
      <c r="D3" s="251" t="s">
        <v>43</v>
      </c>
      <c r="E3" s="251" t="s">
        <v>128</v>
      </c>
      <c r="F3" s="233">
        <f t="shared" ref="F3:F66" si="0">IFERROR(VLOOKUP(A3,TOTAL_HORAS,70,FALSE),0)</f>
        <v>98</v>
      </c>
      <c r="G3" s="233">
        <f t="shared" ref="G3:G66" si="1">IFERROR(VLOOKUP(A3,TOTAL_HORAS,71,FALSE),0)</f>
        <v>148</v>
      </c>
      <c r="H3" s="233">
        <f t="shared" ref="H3:H66" si="2">IFERROR(VLOOKUP(A3,TOTAL_HORAS,72,FALSE),0)</f>
        <v>0</v>
      </c>
      <c r="I3" s="233">
        <f t="shared" ref="I3:I66" si="3">IFERROR(VLOOKUP(A3,TOTAL_HORAS,73,FALSE),0)</f>
        <v>0</v>
      </c>
      <c r="J3" s="233">
        <f t="shared" ref="J3:J66" si="4">IFERROR(VLOOKUP(A3,TOTAL_HORAS,74,FALSE),0)</f>
        <v>0</v>
      </c>
      <c r="K3" s="233">
        <f t="shared" ref="K3:K66" si="5">IFERROR(VLOOKUP(A3,TOTAL_HORAS,75,FALSE),0)</f>
        <v>0</v>
      </c>
      <c r="L3" s="233">
        <f t="shared" ref="L3:L66" si="6">IFERROR(VLOOKUP(A3,TOTAL_HORAS,76,FALSE),0)</f>
        <v>0</v>
      </c>
      <c r="M3" s="233">
        <f>IFERROR(VLOOKUP(A3,TOTAL_HORAS,77,FALSE),0)</f>
        <v>0</v>
      </c>
      <c r="N3" s="233">
        <f t="shared" ref="N3:N66" si="7">IFERROR(VLOOKUP(A3,TOTAL_HORAS,78,FALSE),0)</f>
        <v>0</v>
      </c>
      <c r="O3" s="233">
        <f>IFERROR(VLOOKUP(A3,TOTAL_HORAS,79,FALSE),0)</f>
        <v>0</v>
      </c>
      <c r="P3" s="233"/>
      <c r="Q3" s="233"/>
      <c r="R3" s="231">
        <f t="shared" ref="R3:R66" si="8">IFERROR(VLOOKUP(B3,MATRIZ_ENERO,2,FALSE),0)</f>
        <v>53.977272727272727</v>
      </c>
      <c r="S3" s="231">
        <f t="shared" ref="S3:S66" si="9">IFERROR(VLOOKUP(B3,MATRIZ_FEB,2,FALSE),0)</f>
        <v>59.375</v>
      </c>
      <c r="T3" s="231">
        <f t="shared" ref="T3:T66" si="10">IFERROR(VLOOKUP(B3,MATRIZ_MARZO,2,FALSE),0)</f>
        <v>51.630434782608695</v>
      </c>
      <c r="U3" s="231">
        <f t="shared" ref="U3:U66" si="11">IFERROR(VLOOKUP(B3,MATRIZ_ABRIL,2,FALSE),0)</f>
        <v>65.972222222222229</v>
      </c>
      <c r="V3" s="231">
        <f t="shared" ref="V3:V66" si="12">IFERROR(VLOOKUP(B3,MATRIZ_MAY,2,FALSE),0)</f>
        <v>53.977272727272727</v>
      </c>
      <c r="W3" s="231">
        <f t="shared" ref="W3:W66" si="13">IFERROR(VLOOKUP(B3,MATRIZ_JUN,2,FALSE),0)</f>
        <v>56.547619047619051</v>
      </c>
      <c r="X3" s="231">
        <f t="shared" ref="X3:X66" si="14">IFERROR(VLOOKUP(B3,MATRIZ_JUL,2,FALSE),0)</f>
        <v>59.375</v>
      </c>
      <c r="Y3" s="231">
        <f t="shared" ref="Y3:Y66" si="15">IFERROR(VLOOKUP(B3,MATRIZ_AGOSTO,2,FALSE),0)</f>
        <v>53.977272727272727</v>
      </c>
      <c r="Z3" s="231">
        <f t="shared" ref="Z3:Z66" si="16">IFERROR(VLOOKUP(B3,MATRIZ_SEPTIEM,2,FALSE),0)</f>
        <v>56.547619047619051</v>
      </c>
      <c r="AA3" s="231"/>
      <c r="AB3" s="231"/>
      <c r="AC3" s="231"/>
      <c r="AD3" s="230">
        <f t="shared" ref="AD3:AK3" si="17">F3*R3</f>
        <v>5289.772727272727</v>
      </c>
      <c r="AE3" s="230">
        <f t="shared" si="17"/>
        <v>8787.5</v>
      </c>
      <c r="AF3" s="230">
        <f t="shared" si="17"/>
        <v>0</v>
      </c>
      <c r="AG3" s="230">
        <f t="shared" si="17"/>
        <v>0</v>
      </c>
      <c r="AH3" s="230">
        <f t="shared" si="17"/>
        <v>0</v>
      </c>
      <c r="AI3" s="230">
        <f t="shared" si="17"/>
        <v>0</v>
      </c>
      <c r="AJ3" s="230">
        <f t="shared" si="17"/>
        <v>0</v>
      </c>
      <c r="AK3" s="230">
        <f t="shared" si="17"/>
        <v>0</v>
      </c>
      <c r="AL3" s="230">
        <f t="shared" ref="AL3:AO18" si="18">N3*Z3</f>
        <v>0</v>
      </c>
      <c r="AM3" s="230">
        <f t="shared" si="18"/>
        <v>0</v>
      </c>
      <c r="AN3" s="230">
        <f t="shared" si="18"/>
        <v>0</v>
      </c>
      <c r="AO3" s="230">
        <f t="shared" si="18"/>
        <v>0</v>
      </c>
    </row>
    <row r="4" spans="1:41" ht="15.75" customHeight="1" x14ac:dyDescent="0.25">
      <c r="A4" s="251" t="s">
        <v>667</v>
      </c>
      <c r="B4" s="251" t="s">
        <v>34</v>
      </c>
      <c r="C4" s="251" t="s">
        <v>45</v>
      </c>
      <c r="D4" s="251" t="s">
        <v>51</v>
      </c>
      <c r="E4" s="251" t="s">
        <v>122</v>
      </c>
      <c r="F4" s="233">
        <f t="shared" si="0"/>
        <v>0</v>
      </c>
      <c r="G4" s="233">
        <f t="shared" si="1"/>
        <v>0</v>
      </c>
      <c r="H4" s="233">
        <f t="shared" si="2"/>
        <v>0</v>
      </c>
      <c r="I4" s="233">
        <f t="shared" si="3"/>
        <v>11</v>
      </c>
      <c r="J4" s="233">
        <f t="shared" si="4"/>
        <v>152</v>
      </c>
      <c r="K4" s="233">
        <f t="shared" si="5"/>
        <v>96</v>
      </c>
      <c r="L4" s="233">
        <f t="shared" si="6"/>
        <v>0</v>
      </c>
      <c r="M4" s="233">
        <f t="shared" ref="M4:M66" si="19">IFERROR(VLOOKUP(A4,TOTAL_HORAS,77,FALSE),0)</f>
        <v>0</v>
      </c>
      <c r="N4" s="233">
        <f t="shared" si="7"/>
        <v>0</v>
      </c>
      <c r="O4" s="233">
        <f>IFERROR(VLOOKUP(A4,TOTAL_HORAS,79,FALSE),0)</f>
        <v>0</v>
      </c>
      <c r="P4" s="233"/>
      <c r="Q4" s="233"/>
      <c r="R4" s="231">
        <f t="shared" si="8"/>
        <v>53.977272727272727</v>
      </c>
      <c r="S4" s="231">
        <f t="shared" si="9"/>
        <v>59.375</v>
      </c>
      <c r="T4" s="231">
        <f t="shared" si="10"/>
        <v>51.630434782608695</v>
      </c>
      <c r="U4" s="231">
        <f t="shared" si="11"/>
        <v>65.972222222222229</v>
      </c>
      <c r="V4" s="231">
        <f t="shared" si="12"/>
        <v>53.977272727272727</v>
      </c>
      <c r="W4" s="231">
        <f t="shared" si="13"/>
        <v>56.547619047619051</v>
      </c>
      <c r="X4" s="231">
        <f t="shared" si="14"/>
        <v>59.375</v>
      </c>
      <c r="Y4" s="231">
        <f t="shared" si="15"/>
        <v>53.977272727272727</v>
      </c>
      <c r="Z4" s="231">
        <f t="shared" si="16"/>
        <v>56.547619047619051</v>
      </c>
      <c r="AA4" s="231"/>
      <c r="AB4" s="231"/>
      <c r="AC4" s="231"/>
      <c r="AD4" s="230">
        <f t="shared" ref="AD4:AD18" si="20">F4*R4</f>
        <v>0</v>
      </c>
      <c r="AE4" s="230">
        <f t="shared" ref="AE4:AE67" si="21">G4*S4</f>
        <v>0</v>
      </c>
      <c r="AF4" s="230">
        <f t="shared" ref="AF4:AF67" si="22">H4*T4</f>
        <v>0</v>
      </c>
      <c r="AG4" s="230">
        <f t="shared" ref="AG4:AG67" si="23">I4*U4</f>
        <v>725.69444444444457</v>
      </c>
      <c r="AH4" s="230">
        <f t="shared" ref="AH4:AH67" si="24">J4*V4</f>
        <v>8204.545454545454</v>
      </c>
      <c r="AI4" s="230">
        <f t="shared" ref="AI4:AI67" si="25">K4*W4</f>
        <v>5428.5714285714294</v>
      </c>
      <c r="AJ4" s="230">
        <f t="shared" ref="AJ4:AJ67" si="26">L4*X4</f>
        <v>0</v>
      </c>
      <c r="AK4" s="230">
        <f t="shared" ref="AK4:AO67" si="27">M4*Y4</f>
        <v>0</v>
      </c>
      <c r="AL4" s="230">
        <f t="shared" si="18"/>
        <v>0</v>
      </c>
      <c r="AM4" s="230">
        <f t="shared" si="18"/>
        <v>0</v>
      </c>
      <c r="AN4" s="230">
        <f t="shared" si="18"/>
        <v>0</v>
      </c>
      <c r="AO4" s="230">
        <f t="shared" si="18"/>
        <v>0</v>
      </c>
    </row>
    <row r="5" spans="1:41" ht="15.75" customHeight="1" x14ac:dyDescent="0.25">
      <c r="A5" s="251" t="s">
        <v>668</v>
      </c>
      <c r="B5" s="251" t="s">
        <v>34</v>
      </c>
      <c r="C5" s="251" t="s">
        <v>44</v>
      </c>
      <c r="D5" s="251" t="s">
        <v>42</v>
      </c>
      <c r="E5" s="251" t="s">
        <v>304</v>
      </c>
      <c r="F5" s="233">
        <f t="shared" si="0"/>
        <v>54</v>
      </c>
      <c r="G5" s="233">
        <f t="shared" si="1"/>
        <v>0</v>
      </c>
      <c r="H5" s="233">
        <f t="shared" si="2"/>
        <v>0</v>
      </c>
      <c r="I5" s="233">
        <f t="shared" si="3"/>
        <v>0</v>
      </c>
      <c r="J5" s="233">
        <f t="shared" si="4"/>
        <v>0</v>
      </c>
      <c r="K5" s="233">
        <f t="shared" si="5"/>
        <v>0</v>
      </c>
      <c r="L5" s="233">
        <f t="shared" si="6"/>
        <v>78.5</v>
      </c>
      <c r="M5" s="233">
        <f t="shared" si="19"/>
        <v>176</v>
      </c>
      <c r="N5" s="233">
        <f t="shared" si="7"/>
        <v>160</v>
      </c>
      <c r="O5" s="233">
        <f>IFERROR(VLOOKUP(A5,TOTAL_HORAS,79,FALSE),0)</f>
        <v>40</v>
      </c>
      <c r="P5" s="233"/>
      <c r="Q5" s="233"/>
      <c r="R5" s="231">
        <f t="shared" si="8"/>
        <v>53.977272727272727</v>
      </c>
      <c r="S5" s="231">
        <f t="shared" si="9"/>
        <v>59.375</v>
      </c>
      <c r="T5" s="231">
        <f t="shared" si="10"/>
        <v>51.630434782608695</v>
      </c>
      <c r="U5" s="231">
        <f t="shared" si="11"/>
        <v>65.972222222222229</v>
      </c>
      <c r="V5" s="231">
        <f t="shared" si="12"/>
        <v>53.977272727272727</v>
      </c>
      <c r="W5" s="231">
        <f t="shared" si="13"/>
        <v>56.547619047619051</v>
      </c>
      <c r="X5" s="231">
        <f t="shared" si="14"/>
        <v>59.375</v>
      </c>
      <c r="Y5" s="231">
        <f t="shared" si="15"/>
        <v>53.977272727272727</v>
      </c>
      <c r="Z5" s="231">
        <f t="shared" si="16"/>
        <v>56.547619047619051</v>
      </c>
      <c r="AA5" s="231"/>
      <c r="AB5" s="231"/>
      <c r="AC5" s="231"/>
      <c r="AD5" s="230">
        <f t="shared" si="20"/>
        <v>2914.772727272727</v>
      </c>
      <c r="AE5" s="230">
        <f t="shared" si="21"/>
        <v>0</v>
      </c>
      <c r="AF5" s="230">
        <f t="shared" si="22"/>
        <v>0</v>
      </c>
      <c r="AG5" s="230">
        <f t="shared" si="23"/>
        <v>0</v>
      </c>
      <c r="AH5" s="230">
        <f t="shared" si="24"/>
        <v>0</v>
      </c>
      <c r="AI5" s="230">
        <f t="shared" si="25"/>
        <v>0</v>
      </c>
      <c r="AJ5" s="230">
        <f t="shared" si="26"/>
        <v>4660.9375</v>
      </c>
      <c r="AK5" s="230">
        <f t="shared" si="27"/>
        <v>9500</v>
      </c>
      <c r="AL5" s="230">
        <f t="shared" si="18"/>
        <v>9047.6190476190477</v>
      </c>
      <c r="AM5" s="230">
        <f t="shared" si="18"/>
        <v>0</v>
      </c>
      <c r="AN5" s="230">
        <f t="shared" si="18"/>
        <v>0</v>
      </c>
      <c r="AO5" s="230">
        <f t="shared" si="18"/>
        <v>0</v>
      </c>
    </row>
    <row r="6" spans="1:41" ht="15.75" customHeight="1" x14ac:dyDescent="0.25">
      <c r="A6" s="251" t="s">
        <v>670</v>
      </c>
      <c r="B6" s="251" t="s">
        <v>34</v>
      </c>
      <c r="C6" s="251" t="s">
        <v>75</v>
      </c>
      <c r="D6" s="251" t="s">
        <v>75</v>
      </c>
      <c r="E6" s="251" t="s">
        <v>131</v>
      </c>
      <c r="F6" s="233">
        <f t="shared" si="0"/>
        <v>0</v>
      </c>
      <c r="G6" s="233">
        <f t="shared" si="1"/>
        <v>0</v>
      </c>
      <c r="H6" s="233">
        <f t="shared" si="2"/>
        <v>37</v>
      </c>
      <c r="I6" s="233">
        <f t="shared" si="3"/>
        <v>102</v>
      </c>
      <c r="J6" s="233">
        <f t="shared" si="4"/>
        <v>0</v>
      </c>
      <c r="K6" s="233">
        <f t="shared" si="5"/>
        <v>0</v>
      </c>
      <c r="L6" s="233">
        <f t="shared" si="6"/>
        <v>0</v>
      </c>
      <c r="M6" s="233">
        <f t="shared" si="19"/>
        <v>0</v>
      </c>
      <c r="N6" s="233">
        <f t="shared" si="7"/>
        <v>0</v>
      </c>
      <c r="O6" s="233">
        <f>IFERROR(VLOOKUP(A6,TOTAL_HORAS,79,FALSE),0)</f>
        <v>0</v>
      </c>
      <c r="P6" s="233"/>
      <c r="Q6" s="233"/>
      <c r="R6" s="231">
        <f t="shared" si="8"/>
        <v>53.977272727272727</v>
      </c>
      <c r="S6" s="231">
        <f t="shared" si="9"/>
        <v>59.375</v>
      </c>
      <c r="T6" s="231">
        <f t="shared" si="10"/>
        <v>51.630434782608695</v>
      </c>
      <c r="U6" s="231">
        <f t="shared" si="11"/>
        <v>65.972222222222229</v>
      </c>
      <c r="V6" s="231">
        <f t="shared" si="12"/>
        <v>53.977272727272727</v>
      </c>
      <c r="W6" s="231">
        <f t="shared" si="13"/>
        <v>56.547619047619051</v>
      </c>
      <c r="X6" s="231">
        <f t="shared" si="14"/>
        <v>59.375</v>
      </c>
      <c r="Y6" s="231">
        <f t="shared" si="15"/>
        <v>53.977272727272727</v>
      </c>
      <c r="Z6" s="231">
        <f t="shared" si="16"/>
        <v>56.547619047619051</v>
      </c>
      <c r="AA6" s="231"/>
      <c r="AB6" s="231"/>
      <c r="AC6" s="231"/>
      <c r="AD6" s="230">
        <f t="shared" si="20"/>
        <v>0</v>
      </c>
      <c r="AE6" s="230">
        <f t="shared" si="21"/>
        <v>0</v>
      </c>
      <c r="AF6" s="230">
        <f t="shared" si="22"/>
        <v>1910.3260869565217</v>
      </c>
      <c r="AG6" s="230">
        <f t="shared" si="23"/>
        <v>6729.166666666667</v>
      </c>
      <c r="AH6" s="230">
        <f t="shared" si="24"/>
        <v>0</v>
      </c>
      <c r="AI6" s="230">
        <f t="shared" si="25"/>
        <v>0</v>
      </c>
      <c r="AJ6" s="230">
        <f t="shared" si="26"/>
        <v>0</v>
      </c>
      <c r="AK6" s="230">
        <f t="shared" si="27"/>
        <v>0</v>
      </c>
      <c r="AL6" s="230">
        <f t="shared" si="18"/>
        <v>0</v>
      </c>
      <c r="AM6" s="230">
        <f t="shared" si="18"/>
        <v>0</v>
      </c>
      <c r="AN6" s="230">
        <f t="shared" si="18"/>
        <v>0</v>
      </c>
      <c r="AO6" s="230">
        <f t="shared" si="18"/>
        <v>0</v>
      </c>
    </row>
    <row r="7" spans="1:41" ht="15.75" customHeight="1" x14ac:dyDescent="0.25">
      <c r="A7" s="251" t="s">
        <v>671</v>
      </c>
      <c r="B7" s="251" t="s">
        <v>34</v>
      </c>
      <c r="C7" s="251" t="s">
        <v>209</v>
      </c>
      <c r="D7" s="251" t="s">
        <v>209</v>
      </c>
      <c r="E7" s="251" t="s">
        <v>243</v>
      </c>
      <c r="F7" s="233">
        <f t="shared" si="0"/>
        <v>0</v>
      </c>
      <c r="G7" s="233">
        <f t="shared" si="1"/>
        <v>0</v>
      </c>
      <c r="H7" s="233">
        <f t="shared" si="2"/>
        <v>0</v>
      </c>
      <c r="I7" s="233">
        <f t="shared" si="3"/>
        <v>0</v>
      </c>
      <c r="J7" s="233">
        <f t="shared" si="4"/>
        <v>0</v>
      </c>
      <c r="K7" s="233">
        <f t="shared" si="5"/>
        <v>0</v>
      </c>
      <c r="L7" s="233">
        <f t="shared" si="6"/>
        <v>24</v>
      </c>
      <c r="M7" s="233">
        <f t="shared" si="19"/>
        <v>0</v>
      </c>
      <c r="N7" s="233">
        <f t="shared" si="7"/>
        <v>0</v>
      </c>
      <c r="O7" s="233">
        <f>IFERROR(VLOOKUP(A7,TOTAL_HORAS,79,FALSE),0)</f>
        <v>0</v>
      </c>
      <c r="P7" s="233"/>
      <c r="Q7" s="233"/>
      <c r="R7" s="231">
        <f t="shared" si="8"/>
        <v>53.977272727272727</v>
      </c>
      <c r="S7" s="231">
        <f t="shared" si="9"/>
        <v>59.375</v>
      </c>
      <c r="T7" s="231">
        <f t="shared" si="10"/>
        <v>51.630434782608695</v>
      </c>
      <c r="U7" s="231">
        <f t="shared" si="11"/>
        <v>65.972222222222229</v>
      </c>
      <c r="V7" s="231">
        <f t="shared" si="12"/>
        <v>53.977272727272727</v>
      </c>
      <c r="W7" s="231">
        <f t="shared" si="13"/>
        <v>56.547619047619051</v>
      </c>
      <c r="X7" s="231">
        <f t="shared" si="14"/>
        <v>59.375</v>
      </c>
      <c r="Y7" s="231">
        <f t="shared" si="15"/>
        <v>53.977272727272727</v>
      </c>
      <c r="Z7" s="231">
        <f t="shared" si="16"/>
        <v>56.547619047619051</v>
      </c>
      <c r="AA7" s="231"/>
      <c r="AB7" s="231"/>
      <c r="AC7" s="231"/>
      <c r="AD7" s="230">
        <f t="shared" si="20"/>
        <v>0</v>
      </c>
      <c r="AE7" s="230">
        <f t="shared" si="21"/>
        <v>0</v>
      </c>
      <c r="AF7" s="230">
        <f t="shared" si="22"/>
        <v>0</v>
      </c>
      <c r="AG7" s="230">
        <f t="shared" si="23"/>
        <v>0</v>
      </c>
      <c r="AH7" s="230">
        <f t="shared" si="24"/>
        <v>0</v>
      </c>
      <c r="AI7" s="230">
        <f t="shared" si="25"/>
        <v>0</v>
      </c>
      <c r="AJ7" s="230">
        <f t="shared" si="26"/>
        <v>1425</v>
      </c>
      <c r="AK7" s="230">
        <f t="shared" si="27"/>
        <v>0</v>
      </c>
      <c r="AL7" s="230">
        <f t="shared" si="18"/>
        <v>0</v>
      </c>
      <c r="AM7" s="230">
        <f t="shared" si="18"/>
        <v>0</v>
      </c>
      <c r="AN7" s="230">
        <f t="shared" si="18"/>
        <v>0</v>
      </c>
      <c r="AO7" s="230">
        <f t="shared" si="18"/>
        <v>0</v>
      </c>
    </row>
    <row r="8" spans="1:41" ht="15.75" customHeight="1" x14ac:dyDescent="0.25">
      <c r="A8" s="251" t="s">
        <v>672</v>
      </c>
      <c r="B8" s="251" t="s">
        <v>34</v>
      </c>
      <c r="C8" s="251" t="s">
        <v>46</v>
      </c>
      <c r="D8" s="251" t="s">
        <v>46</v>
      </c>
      <c r="E8" s="251" t="s">
        <v>132</v>
      </c>
      <c r="F8" s="233">
        <f t="shared" si="0"/>
        <v>24</v>
      </c>
      <c r="G8" s="233">
        <f t="shared" si="1"/>
        <v>12</v>
      </c>
      <c r="H8" s="233">
        <f t="shared" si="2"/>
        <v>0</v>
      </c>
      <c r="I8" s="233">
        <f t="shared" si="3"/>
        <v>11</v>
      </c>
      <c r="J8" s="233">
        <f t="shared" si="4"/>
        <v>0</v>
      </c>
      <c r="K8" s="233">
        <f t="shared" si="5"/>
        <v>0</v>
      </c>
      <c r="L8" s="233">
        <f t="shared" si="6"/>
        <v>0</v>
      </c>
      <c r="M8" s="233">
        <f t="shared" si="19"/>
        <v>0</v>
      </c>
      <c r="N8" s="233">
        <f t="shared" si="7"/>
        <v>0</v>
      </c>
      <c r="O8" s="233">
        <f>IFERROR(VLOOKUP(A8,TOTAL_HORAS,79,FALSE),0)</f>
        <v>0</v>
      </c>
      <c r="P8" s="233"/>
      <c r="Q8" s="233"/>
      <c r="R8" s="231">
        <f t="shared" si="8"/>
        <v>53.977272727272727</v>
      </c>
      <c r="S8" s="231">
        <f t="shared" si="9"/>
        <v>59.375</v>
      </c>
      <c r="T8" s="231">
        <f t="shared" si="10"/>
        <v>51.630434782608695</v>
      </c>
      <c r="U8" s="231">
        <f t="shared" si="11"/>
        <v>65.972222222222229</v>
      </c>
      <c r="V8" s="231">
        <f t="shared" si="12"/>
        <v>53.977272727272727</v>
      </c>
      <c r="W8" s="231">
        <f t="shared" si="13"/>
        <v>56.547619047619051</v>
      </c>
      <c r="X8" s="231">
        <f t="shared" si="14"/>
        <v>59.375</v>
      </c>
      <c r="Y8" s="231">
        <f t="shared" si="15"/>
        <v>53.977272727272727</v>
      </c>
      <c r="Z8" s="231">
        <f t="shared" si="16"/>
        <v>56.547619047619051</v>
      </c>
      <c r="AA8" s="231"/>
      <c r="AB8" s="231"/>
      <c r="AC8" s="231"/>
      <c r="AD8" s="230">
        <f t="shared" si="20"/>
        <v>1295.4545454545455</v>
      </c>
      <c r="AE8" s="230">
        <f t="shared" si="21"/>
        <v>712.5</v>
      </c>
      <c r="AF8" s="230">
        <f t="shared" si="22"/>
        <v>0</v>
      </c>
      <c r="AG8" s="230">
        <f t="shared" si="23"/>
        <v>725.69444444444457</v>
      </c>
      <c r="AH8" s="230">
        <f t="shared" si="24"/>
        <v>0</v>
      </c>
      <c r="AI8" s="230">
        <f t="shared" si="25"/>
        <v>0</v>
      </c>
      <c r="AJ8" s="230">
        <f t="shared" si="26"/>
        <v>0</v>
      </c>
      <c r="AK8" s="230">
        <f t="shared" si="27"/>
        <v>0</v>
      </c>
      <c r="AL8" s="230">
        <f t="shared" si="18"/>
        <v>0</v>
      </c>
      <c r="AM8" s="230">
        <f t="shared" si="18"/>
        <v>0</v>
      </c>
      <c r="AN8" s="230">
        <f t="shared" si="18"/>
        <v>0</v>
      </c>
      <c r="AO8" s="230">
        <f t="shared" si="18"/>
        <v>0</v>
      </c>
    </row>
    <row r="9" spans="1:41" ht="15.75" customHeight="1" x14ac:dyDescent="0.25">
      <c r="A9" s="251" t="s">
        <v>673</v>
      </c>
      <c r="B9" s="251" t="s">
        <v>34</v>
      </c>
      <c r="C9" s="251" t="s">
        <v>208</v>
      </c>
      <c r="D9" s="251" t="s">
        <v>208</v>
      </c>
      <c r="E9" s="251" t="s">
        <v>210</v>
      </c>
      <c r="F9" s="233">
        <f t="shared" si="0"/>
        <v>0</v>
      </c>
      <c r="G9" s="233">
        <f t="shared" si="1"/>
        <v>0</v>
      </c>
      <c r="H9" s="233">
        <f t="shared" si="2"/>
        <v>0</v>
      </c>
      <c r="I9" s="233">
        <f t="shared" si="3"/>
        <v>0</v>
      </c>
      <c r="J9" s="233">
        <f t="shared" si="4"/>
        <v>0</v>
      </c>
      <c r="K9" s="233">
        <f t="shared" si="5"/>
        <v>8</v>
      </c>
      <c r="L9" s="233">
        <f t="shared" si="6"/>
        <v>0</v>
      </c>
      <c r="M9" s="233">
        <f t="shared" si="19"/>
        <v>0</v>
      </c>
      <c r="N9" s="233">
        <f t="shared" si="7"/>
        <v>0</v>
      </c>
      <c r="O9" s="233">
        <f>IFERROR(VLOOKUP(A9,TOTAL_HORAS,79,FALSE),0)</f>
        <v>0</v>
      </c>
      <c r="P9" s="233"/>
      <c r="Q9" s="233"/>
      <c r="R9" s="231">
        <f t="shared" si="8"/>
        <v>53.977272727272727</v>
      </c>
      <c r="S9" s="231">
        <f t="shared" si="9"/>
        <v>59.375</v>
      </c>
      <c r="T9" s="231">
        <f t="shared" si="10"/>
        <v>51.630434782608695</v>
      </c>
      <c r="U9" s="231">
        <f t="shared" si="11"/>
        <v>65.972222222222229</v>
      </c>
      <c r="V9" s="231">
        <f t="shared" si="12"/>
        <v>53.977272727272727</v>
      </c>
      <c r="W9" s="231">
        <f t="shared" si="13"/>
        <v>56.547619047619051</v>
      </c>
      <c r="X9" s="231">
        <f t="shared" si="14"/>
        <v>59.375</v>
      </c>
      <c r="Y9" s="231">
        <f t="shared" si="15"/>
        <v>53.977272727272727</v>
      </c>
      <c r="Z9" s="231">
        <f t="shared" si="16"/>
        <v>56.547619047619051</v>
      </c>
      <c r="AA9" s="231"/>
      <c r="AB9" s="231"/>
      <c r="AC9" s="231"/>
      <c r="AD9" s="230">
        <f t="shared" si="20"/>
        <v>0</v>
      </c>
      <c r="AE9" s="230">
        <f t="shared" si="21"/>
        <v>0</v>
      </c>
      <c r="AF9" s="230">
        <f t="shared" si="22"/>
        <v>0</v>
      </c>
      <c r="AG9" s="230">
        <f t="shared" si="23"/>
        <v>0</v>
      </c>
      <c r="AH9" s="230">
        <f t="shared" si="24"/>
        <v>0</v>
      </c>
      <c r="AI9" s="230">
        <f t="shared" si="25"/>
        <v>452.38095238095241</v>
      </c>
      <c r="AJ9" s="230">
        <f t="shared" si="26"/>
        <v>0</v>
      </c>
      <c r="AK9" s="230">
        <f t="shared" si="27"/>
        <v>0</v>
      </c>
      <c r="AL9" s="230">
        <f t="shared" si="18"/>
        <v>0</v>
      </c>
      <c r="AM9" s="230">
        <f t="shared" si="18"/>
        <v>0</v>
      </c>
      <c r="AN9" s="230">
        <f t="shared" si="18"/>
        <v>0</v>
      </c>
      <c r="AO9" s="230">
        <f t="shared" si="18"/>
        <v>0</v>
      </c>
    </row>
    <row r="10" spans="1:41" ht="15.75" customHeight="1" x14ac:dyDescent="0.25">
      <c r="A10" s="251" t="s">
        <v>674</v>
      </c>
      <c r="B10" s="251" t="s">
        <v>30</v>
      </c>
      <c r="C10" s="251" t="s">
        <v>76</v>
      </c>
      <c r="D10" s="251" t="s">
        <v>77</v>
      </c>
      <c r="E10" s="251" t="s">
        <v>115</v>
      </c>
      <c r="F10" s="233">
        <f t="shared" si="0"/>
        <v>0</v>
      </c>
      <c r="G10" s="233">
        <f t="shared" si="1"/>
        <v>0</v>
      </c>
      <c r="H10" s="233">
        <f t="shared" si="2"/>
        <v>46</v>
      </c>
      <c r="I10" s="233">
        <f t="shared" si="3"/>
        <v>33</v>
      </c>
      <c r="J10" s="233">
        <f t="shared" si="4"/>
        <v>36</v>
      </c>
      <c r="K10" s="233">
        <f t="shared" si="5"/>
        <v>63</v>
      </c>
      <c r="L10" s="233">
        <f t="shared" si="6"/>
        <v>82</v>
      </c>
      <c r="M10" s="233">
        <f t="shared" si="19"/>
        <v>0</v>
      </c>
      <c r="N10" s="233">
        <f t="shared" si="7"/>
        <v>16</v>
      </c>
      <c r="O10" s="233">
        <f>IFERROR(VLOOKUP(A10,TOTAL_HORAS,79,FALSE),0)</f>
        <v>0</v>
      </c>
      <c r="P10" s="233"/>
      <c r="Q10" s="233"/>
      <c r="R10" s="231">
        <f t="shared" si="8"/>
        <v>63.06818181818182</v>
      </c>
      <c r="S10" s="231">
        <f t="shared" si="9"/>
        <v>70.065624999999997</v>
      </c>
      <c r="T10" s="231">
        <f t="shared" si="10"/>
        <v>60.926630434782609</v>
      </c>
      <c r="U10" s="231">
        <f t="shared" si="11"/>
        <v>65.972222222222229</v>
      </c>
      <c r="V10" s="231">
        <f t="shared" si="12"/>
        <v>53.977272727272727</v>
      </c>
      <c r="W10" s="231">
        <f t="shared" si="13"/>
        <v>56.547619047619051</v>
      </c>
      <c r="X10" s="231">
        <f t="shared" si="14"/>
        <v>59.375</v>
      </c>
      <c r="Y10" s="231">
        <f t="shared" si="15"/>
        <v>53.977272727272727</v>
      </c>
      <c r="Z10" s="231">
        <f t="shared" si="16"/>
        <v>56.547619047619051</v>
      </c>
      <c r="AA10" s="231"/>
      <c r="AB10" s="231"/>
      <c r="AC10" s="231"/>
      <c r="AD10" s="230">
        <f t="shared" si="20"/>
        <v>0</v>
      </c>
      <c r="AE10" s="230">
        <f t="shared" si="21"/>
        <v>0</v>
      </c>
      <c r="AF10" s="230">
        <f t="shared" si="22"/>
        <v>2802.625</v>
      </c>
      <c r="AG10" s="230">
        <f t="shared" si="23"/>
        <v>2177.0833333333335</v>
      </c>
      <c r="AH10" s="230">
        <f t="shared" si="24"/>
        <v>1943.1818181818182</v>
      </c>
      <c r="AI10" s="230">
        <f t="shared" si="25"/>
        <v>3562.5</v>
      </c>
      <c r="AJ10" s="230">
        <f t="shared" si="26"/>
        <v>4868.75</v>
      </c>
      <c r="AK10" s="230">
        <f t="shared" si="27"/>
        <v>0</v>
      </c>
      <c r="AL10" s="230">
        <f t="shared" si="18"/>
        <v>904.76190476190482</v>
      </c>
      <c r="AM10" s="230">
        <f t="shared" si="18"/>
        <v>0</v>
      </c>
      <c r="AN10" s="230">
        <f t="shared" si="18"/>
        <v>0</v>
      </c>
      <c r="AO10" s="230">
        <f t="shared" si="18"/>
        <v>0</v>
      </c>
    </row>
    <row r="11" spans="1:41" ht="15.75" customHeight="1" x14ac:dyDescent="0.25">
      <c r="A11" s="251" t="s">
        <v>675</v>
      </c>
      <c r="B11" s="251" t="s">
        <v>30</v>
      </c>
      <c r="C11" s="251" t="s">
        <v>103</v>
      </c>
      <c r="D11" s="251" t="s">
        <v>305</v>
      </c>
      <c r="E11" s="251" t="s">
        <v>436</v>
      </c>
      <c r="F11" s="233">
        <f t="shared" si="0"/>
        <v>0</v>
      </c>
      <c r="G11" s="233">
        <f t="shared" si="1"/>
        <v>0</v>
      </c>
      <c r="H11" s="233">
        <f t="shared" si="2"/>
        <v>0</v>
      </c>
      <c r="I11" s="233">
        <f t="shared" si="3"/>
        <v>0</v>
      </c>
      <c r="J11" s="233">
        <f t="shared" si="4"/>
        <v>0</v>
      </c>
      <c r="K11" s="233">
        <f t="shared" si="5"/>
        <v>0</v>
      </c>
      <c r="L11" s="233">
        <f t="shared" si="6"/>
        <v>58</v>
      </c>
      <c r="M11" s="233">
        <f t="shared" si="19"/>
        <v>176</v>
      </c>
      <c r="N11" s="233">
        <f t="shared" si="7"/>
        <v>152</v>
      </c>
      <c r="O11" s="233">
        <f>IFERROR(VLOOKUP(A11,TOTAL_HORAS,79,FALSE),0)</f>
        <v>0</v>
      </c>
      <c r="P11" s="233"/>
      <c r="Q11" s="233"/>
      <c r="R11" s="231">
        <f t="shared" si="8"/>
        <v>63.06818181818182</v>
      </c>
      <c r="S11" s="231">
        <f t="shared" si="9"/>
        <v>70.065624999999997</v>
      </c>
      <c r="T11" s="231">
        <f t="shared" si="10"/>
        <v>60.926630434782609</v>
      </c>
      <c r="U11" s="231">
        <f t="shared" si="11"/>
        <v>65.972222222222229</v>
      </c>
      <c r="V11" s="231">
        <f t="shared" si="12"/>
        <v>53.977272727272727</v>
      </c>
      <c r="W11" s="231">
        <f t="shared" si="13"/>
        <v>56.547619047619051</v>
      </c>
      <c r="X11" s="231">
        <f t="shared" si="14"/>
        <v>59.375</v>
      </c>
      <c r="Y11" s="231">
        <f t="shared" si="15"/>
        <v>53.977272727272727</v>
      </c>
      <c r="Z11" s="231">
        <f t="shared" si="16"/>
        <v>56.547619047619051</v>
      </c>
      <c r="AA11" s="231"/>
      <c r="AB11" s="231"/>
      <c r="AC11" s="231"/>
      <c r="AD11" s="230">
        <f t="shared" si="20"/>
        <v>0</v>
      </c>
      <c r="AE11" s="230">
        <f t="shared" si="21"/>
        <v>0</v>
      </c>
      <c r="AF11" s="230">
        <f t="shared" si="22"/>
        <v>0</v>
      </c>
      <c r="AG11" s="230">
        <f t="shared" si="23"/>
        <v>0</v>
      </c>
      <c r="AH11" s="230">
        <f t="shared" si="24"/>
        <v>0</v>
      </c>
      <c r="AI11" s="230">
        <f t="shared" si="25"/>
        <v>0</v>
      </c>
      <c r="AJ11" s="230">
        <f t="shared" si="26"/>
        <v>3443.75</v>
      </c>
      <c r="AK11" s="230">
        <f t="shared" si="27"/>
        <v>9500</v>
      </c>
      <c r="AL11" s="230">
        <f t="shared" si="18"/>
        <v>8595.2380952380954</v>
      </c>
      <c r="AM11" s="230">
        <f t="shared" si="18"/>
        <v>0</v>
      </c>
      <c r="AN11" s="230">
        <f t="shared" si="18"/>
        <v>0</v>
      </c>
      <c r="AO11" s="230">
        <f t="shared" si="18"/>
        <v>0</v>
      </c>
    </row>
    <row r="12" spans="1:41" ht="15.75" customHeight="1" x14ac:dyDescent="0.25">
      <c r="A12" s="251" t="s">
        <v>676</v>
      </c>
      <c r="B12" s="251" t="s">
        <v>30</v>
      </c>
      <c r="C12" s="251" t="s">
        <v>78</v>
      </c>
      <c r="D12" s="251" t="s">
        <v>79</v>
      </c>
      <c r="E12" s="251" t="s">
        <v>164</v>
      </c>
      <c r="F12" s="233">
        <f t="shared" si="0"/>
        <v>0</v>
      </c>
      <c r="G12" s="233">
        <f t="shared" si="1"/>
        <v>32</v>
      </c>
      <c r="H12" s="233">
        <f t="shared" si="2"/>
        <v>6</v>
      </c>
      <c r="I12" s="233">
        <f t="shared" si="3"/>
        <v>0</v>
      </c>
      <c r="J12" s="233">
        <f t="shared" si="4"/>
        <v>0</v>
      </c>
      <c r="K12" s="233">
        <f t="shared" si="5"/>
        <v>0</v>
      </c>
      <c r="L12" s="233">
        <f t="shared" si="6"/>
        <v>0</v>
      </c>
      <c r="M12" s="233">
        <f t="shared" si="19"/>
        <v>0</v>
      </c>
      <c r="N12" s="233">
        <f t="shared" si="7"/>
        <v>0</v>
      </c>
      <c r="O12" s="233">
        <f>IFERROR(VLOOKUP(A12,TOTAL_HORAS,79,FALSE),0)</f>
        <v>0</v>
      </c>
      <c r="P12" s="233"/>
      <c r="Q12" s="233"/>
      <c r="R12" s="231">
        <f t="shared" si="8"/>
        <v>63.06818181818182</v>
      </c>
      <c r="S12" s="231">
        <f t="shared" si="9"/>
        <v>70.065624999999997</v>
      </c>
      <c r="T12" s="231">
        <f t="shared" si="10"/>
        <v>60.926630434782609</v>
      </c>
      <c r="U12" s="231">
        <f t="shared" si="11"/>
        <v>65.972222222222229</v>
      </c>
      <c r="V12" s="231">
        <f t="shared" si="12"/>
        <v>53.977272727272727</v>
      </c>
      <c r="W12" s="231">
        <f t="shared" si="13"/>
        <v>56.547619047619051</v>
      </c>
      <c r="X12" s="231">
        <f t="shared" si="14"/>
        <v>59.375</v>
      </c>
      <c r="Y12" s="231">
        <f t="shared" si="15"/>
        <v>53.977272727272727</v>
      </c>
      <c r="Z12" s="231">
        <f t="shared" si="16"/>
        <v>56.547619047619051</v>
      </c>
      <c r="AA12" s="231"/>
      <c r="AB12" s="231"/>
      <c r="AC12" s="231"/>
      <c r="AD12" s="230">
        <f t="shared" si="20"/>
        <v>0</v>
      </c>
      <c r="AE12" s="230">
        <f t="shared" si="21"/>
        <v>2242.1</v>
      </c>
      <c r="AF12" s="230">
        <f t="shared" si="22"/>
        <v>365.55978260869563</v>
      </c>
      <c r="AG12" s="230">
        <f t="shared" si="23"/>
        <v>0</v>
      </c>
      <c r="AH12" s="230">
        <f t="shared" si="24"/>
        <v>0</v>
      </c>
      <c r="AI12" s="230">
        <f t="shared" si="25"/>
        <v>0</v>
      </c>
      <c r="AJ12" s="230">
        <f t="shared" si="26"/>
        <v>0</v>
      </c>
      <c r="AK12" s="230">
        <f t="shared" si="27"/>
        <v>0</v>
      </c>
      <c r="AL12" s="230">
        <f t="shared" si="18"/>
        <v>0</v>
      </c>
      <c r="AM12" s="230">
        <f t="shared" si="18"/>
        <v>0</v>
      </c>
      <c r="AN12" s="230">
        <f t="shared" si="18"/>
        <v>0</v>
      </c>
      <c r="AO12" s="230">
        <f t="shared" si="18"/>
        <v>0</v>
      </c>
    </row>
    <row r="13" spans="1:41" ht="15.75" customHeight="1" x14ac:dyDescent="0.25">
      <c r="A13" s="251" t="s">
        <v>677</v>
      </c>
      <c r="B13" s="251" t="s">
        <v>30</v>
      </c>
      <c r="C13" s="251" t="s">
        <v>80</v>
      </c>
      <c r="D13" s="251" t="s">
        <v>81</v>
      </c>
      <c r="E13" s="251" t="s">
        <v>126</v>
      </c>
      <c r="F13" s="233">
        <f t="shared" si="0"/>
        <v>0</v>
      </c>
      <c r="G13" s="233">
        <f t="shared" si="1"/>
        <v>0</v>
      </c>
      <c r="H13" s="233">
        <f t="shared" si="2"/>
        <v>0</v>
      </c>
      <c r="I13" s="233">
        <f t="shared" si="3"/>
        <v>18</v>
      </c>
      <c r="J13" s="233">
        <f t="shared" si="4"/>
        <v>1</v>
      </c>
      <c r="K13" s="233">
        <f t="shared" si="5"/>
        <v>0</v>
      </c>
      <c r="L13" s="233">
        <f t="shared" si="6"/>
        <v>0</v>
      </c>
      <c r="M13" s="233">
        <f t="shared" si="19"/>
        <v>0</v>
      </c>
      <c r="N13" s="233">
        <f t="shared" si="7"/>
        <v>0</v>
      </c>
      <c r="O13" s="233">
        <f>IFERROR(VLOOKUP(A13,TOTAL_HORAS,79,FALSE),0)</f>
        <v>0</v>
      </c>
      <c r="P13" s="233"/>
      <c r="Q13" s="233"/>
      <c r="R13" s="231">
        <f t="shared" si="8"/>
        <v>63.06818181818182</v>
      </c>
      <c r="S13" s="231">
        <f t="shared" si="9"/>
        <v>70.065624999999997</v>
      </c>
      <c r="T13" s="231">
        <f t="shared" si="10"/>
        <v>60.926630434782609</v>
      </c>
      <c r="U13" s="231">
        <f t="shared" si="11"/>
        <v>65.972222222222229</v>
      </c>
      <c r="V13" s="231">
        <f t="shared" si="12"/>
        <v>53.977272727272727</v>
      </c>
      <c r="W13" s="231">
        <f t="shared" si="13"/>
        <v>56.547619047619051</v>
      </c>
      <c r="X13" s="231">
        <f t="shared" si="14"/>
        <v>59.375</v>
      </c>
      <c r="Y13" s="231">
        <f t="shared" si="15"/>
        <v>53.977272727272727</v>
      </c>
      <c r="Z13" s="231">
        <f t="shared" si="16"/>
        <v>56.547619047619051</v>
      </c>
      <c r="AA13" s="231"/>
      <c r="AB13" s="231"/>
      <c r="AC13" s="231"/>
      <c r="AD13" s="230">
        <f t="shared" si="20"/>
        <v>0</v>
      </c>
      <c r="AE13" s="230">
        <f t="shared" si="21"/>
        <v>0</v>
      </c>
      <c r="AF13" s="230">
        <f t="shared" si="22"/>
        <v>0</v>
      </c>
      <c r="AG13" s="230">
        <f t="shared" si="23"/>
        <v>1187.5</v>
      </c>
      <c r="AH13" s="230">
        <f t="shared" si="24"/>
        <v>53.977272727272727</v>
      </c>
      <c r="AI13" s="230">
        <f t="shared" si="25"/>
        <v>0</v>
      </c>
      <c r="AJ13" s="230">
        <f t="shared" si="26"/>
        <v>0</v>
      </c>
      <c r="AK13" s="230">
        <f t="shared" si="27"/>
        <v>0</v>
      </c>
      <c r="AL13" s="230">
        <f t="shared" si="18"/>
        <v>0</v>
      </c>
      <c r="AM13" s="230">
        <f t="shared" si="18"/>
        <v>0</v>
      </c>
      <c r="AN13" s="230">
        <f t="shared" si="18"/>
        <v>0</v>
      </c>
      <c r="AO13" s="230">
        <f t="shared" si="18"/>
        <v>0</v>
      </c>
    </row>
    <row r="14" spans="1:41" ht="15.75" customHeight="1" x14ac:dyDescent="0.25">
      <c r="A14" s="251" t="s">
        <v>678</v>
      </c>
      <c r="B14" s="251" t="s">
        <v>30</v>
      </c>
      <c r="C14" s="251" t="s">
        <v>82</v>
      </c>
      <c r="D14" s="251" t="s">
        <v>83</v>
      </c>
      <c r="E14" s="251" t="s">
        <v>126</v>
      </c>
      <c r="F14" s="233">
        <f t="shared" si="0"/>
        <v>0</v>
      </c>
      <c r="G14" s="233">
        <f t="shared" si="1"/>
        <v>0</v>
      </c>
      <c r="H14" s="233">
        <f t="shared" si="2"/>
        <v>0</v>
      </c>
      <c r="I14" s="233">
        <f t="shared" si="3"/>
        <v>8</v>
      </c>
      <c r="J14" s="233">
        <f t="shared" si="4"/>
        <v>1</v>
      </c>
      <c r="K14" s="233">
        <f t="shared" si="5"/>
        <v>0</v>
      </c>
      <c r="L14" s="233">
        <f t="shared" si="6"/>
        <v>0</v>
      </c>
      <c r="M14" s="233">
        <f t="shared" si="19"/>
        <v>0</v>
      </c>
      <c r="N14" s="233">
        <f t="shared" si="7"/>
        <v>0</v>
      </c>
      <c r="O14" s="233">
        <f>IFERROR(VLOOKUP(A14,TOTAL_HORAS,79,FALSE),0)</f>
        <v>0</v>
      </c>
      <c r="P14" s="233"/>
      <c r="Q14" s="233"/>
      <c r="R14" s="231">
        <f t="shared" si="8"/>
        <v>63.06818181818182</v>
      </c>
      <c r="S14" s="231">
        <f t="shared" si="9"/>
        <v>70.065624999999997</v>
      </c>
      <c r="T14" s="231">
        <f t="shared" si="10"/>
        <v>60.926630434782609</v>
      </c>
      <c r="U14" s="231">
        <f t="shared" si="11"/>
        <v>65.972222222222229</v>
      </c>
      <c r="V14" s="231">
        <f t="shared" si="12"/>
        <v>53.977272727272727</v>
      </c>
      <c r="W14" s="231">
        <f t="shared" si="13"/>
        <v>56.547619047619051</v>
      </c>
      <c r="X14" s="231">
        <f t="shared" si="14"/>
        <v>59.375</v>
      </c>
      <c r="Y14" s="231">
        <f t="shared" si="15"/>
        <v>53.977272727272727</v>
      </c>
      <c r="Z14" s="231">
        <f t="shared" si="16"/>
        <v>56.547619047619051</v>
      </c>
      <c r="AA14" s="231"/>
      <c r="AB14" s="231"/>
      <c r="AC14" s="231"/>
      <c r="AD14" s="230">
        <f t="shared" si="20"/>
        <v>0</v>
      </c>
      <c r="AE14" s="230">
        <f t="shared" si="21"/>
        <v>0</v>
      </c>
      <c r="AF14" s="230">
        <f t="shared" si="22"/>
        <v>0</v>
      </c>
      <c r="AG14" s="230">
        <f t="shared" si="23"/>
        <v>527.77777777777783</v>
      </c>
      <c r="AH14" s="230">
        <f t="shared" si="24"/>
        <v>53.977272727272727</v>
      </c>
      <c r="AI14" s="230">
        <f t="shared" si="25"/>
        <v>0</v>
      </c>
      <c r="AJ14" s="230">
        <f t="shared" si="26"/>
        <v>0</v>
      </c>
      <c r="AK14" s="230">
        <f t="shared" si="27"/>
        <v>0</v>
      </c>
      <c r="AL14" s="230">
        <f t="shared" si="18"/>
        <v>0</v>
      </c>
      <c r="AM14" s="230">
        <f t="shared" si="18"/>
        <v>0</v>
      </c>
      <c r="AN14" s="230">
        <f t="shared" si="18"/>
        <v>0</v>
      </c>
      <c r="AO14" s="230">
        <f t="shared" si="18"/>
        <v>0</v>
      </c>
    </row>
    <row r="15" spans="1:41" ht="15.75" customHeight="1" x14ac:dyDescent="0.25">
      <c r="A15" s="251" t="s">
        <v>679</v>
      </c>
      <c r="B15" s="251" t="s">
        <v>30</v>
      </c>
      <c r="C15" s="251" t="s">
        <v>50</v>
      </c>
      <c r="D15" s="251" t="s">
        <v>196</v>
      </c>
      <c r="E15" s="251" t="s">
        <v>127</v>
      </c>
      <c r="F15" s="233">
        <f t="shared" si="0"/>
        <v>123</v>
      </c>
      <c r="G15" s="233">
        <f t="shared" si="1"/>
        <v>96</v>
      </c>
      <c r="H15" s="233">
        <f t="shared" si="2"/>
        <v>92.5</v>
      </c>
      <c r="I15" s="233">
        <f t="shared" si="3"/>
        <v>0</v>
      </c>
      <c r="J15" s="233">
        <f t="shared" si="4"/>
        <v>0</v>
      </c>
      <c r="K15" s="233">
        <f t="shared" si="5"/>
        <v>0</v>
      </c>
      <c r="L15" s="233">
        <f t="shared" si="6"/>
        <v>0</v>
      </c>
      <c r="M15" s="233">
        <f t="shared" si="19"/>
        <v>0</v>
      </c>
      <c r="N15" s="233">
        <f t="shared" si="7"/>
        <v>0</v>
      </c>
      <c r="O15" s="233">
        <f>IFERROR(VLOOKUP(A15,TOTAL_HORAS,79,FALSE),0)</f>
        <v>0</v>
      </c>
      <c r="P15" s="233"/>
      <c r="Q15" s="233"/>
      <c r="R15" s="231">
        <f t="shared" si="8"/>
        <v>63.06818181818182</v>
      </c>
      <c r="S15" s="231">
        <f t="shared" si="9"/>
        <v>70.065624999999997</v>
      </c>
      <c r="T15" s="231">
        <f t="shared" si="10"/>
        <v>60.926630434782609</v>
      </c>
      <c r="U15" s="231">
        <f t="shared" si="11"/>
        <v>65.972222222222229</v>
      </c>
      <c r="V15" s="231">
        <f t="shared" si="12"/>
        <v>53.977272727272727</v>
      </c>
      <c r="W15" s="231">
        <f t="shared" si="13"/>
        <v>56.547619047619051</v>
      </c>
      <c r="X15" s="231">
        <f t="shared" si="14"/>
        <v>59.375</v>
      </c>
      <c r="Y15" s="231">
        <f t="shared" si="15"/>
        <v>53.977272727272727</v>
      </c>
      <c r="Z15" s="231">
        <f t="shared" si="16"/>
        <v>56.547619047619051</v>
      </c>
      <c r="AA15" s="231"/>
      <c r="AB15" s="231"/>
      <c r="AC15" s="231"/>
      <c r="AD15" s="230">
        <f t="shared" si="20"/>
        <v>7757.386363636364</v>
      </c>
      <c r="AE15" s="230">
        <f t="shared" si="21"/>
        <v>6726.2999999999993</v>
      </c>
      <c r="AF15" s="230">
        <f t="shared" si="22"/>
        <v>5635.713315217391</v>
      </c>
      <c r="AG15" s="230">
        <f t="shared" si="23"/>
        <v>0</v>
      </c>
      <c r="AH15" s="230">
        <f t="shared" si="24"/>
        <v>0</v>
      </c>
      <c r="AI15" s="230">
        <f t="shared" si="25"/>
        <v>0</v>
      </c>
      <c r="AJ15" s="230">
        <f t="shared" si="26"/>
        <v>0</v>
      </c>
      <c r="AK15" s="230">
        <f t="shared" si="27"/>
        <v>0</v>
      </c>
      <c r="AL15" s="230">
        <f t="shared" si="18"/>
        <v>0</v>
      </c>
      <c r="AM15" s="230">
        <f t="shared" si="18"/>
        <v>0</v>
      </c>
      <c r="AN15" s="230">
        <f t="shared" si="18"/>
        <v>0</v>
      </c>
      <c r="AO15" s="230">
        <f t="shared" si="18"/>
        <v>0</v>
      </c>
    </row>
    <row r="16" spans="1:41" ht="15.75" customHeight="1" x14ac:dyDescent="0.25">
      <c r="A16" s="251" t="s">
        <v>680</v>
      </c>
      <c r="B16" s="251" t="s">
        <v>30</v>
      </c>
      <c r="C16" s="251" t="s">
        <v>84</v>
      </c>
      <c r="D16" s="251" t="s">
        <v>85</v>
      </c>
      <c r="E16" s="251" t="s">
        <v>123</v>
      </c>
      <c r="F16" s="233">
        <f t="shared" si="0"/>
        <v>0</v>
      </c>
      <c r="G16" s="233">
        <f t="shared" si="1"/>
        <v>0</v>
      </c>
      <c r="H16" s="233">
        <f t="shared" si="2"/>
        <v>0</v>
      </c>
      <c r="I16" s="233">
        <f t="shared" si="3"/>
        <v>5</v>
      </c>
      <c r="J16" s="233">
        <f t="shared" si="4"/>
        <v>1</v>
      </c>
      <c r="K16" s="233">
        <f t="shared" si="5"/>
        <v>0</v>
      </c>
      <c r="L16" s="233">
        <f t="shared" si="6"/>
        <v>0</v>
      </c>
      <c r="M16" s="233">
        <f t="shared" si="19"/>
        <v>0</v>
      </c>
      <c r="N16" s="233">
        <f t="shared" si="7"/>
        <v>0</v>
      </c>
      <c r="O16" s="233">
        <f>IFERROR(VLOOKUP(A16,TOTAL_HORAS,79,FALSE),0)</f>
        <v>0</v>
      </c>
      <c r="P16" s="233"/>
      <c r="Q16" s="233"/>
      <c r="R16" s="231">
        <f t="shared" si="8"/>
        <v>63.06818181818182</v>
      </c>
      <c r="S16" s="231">
        <f t="shared" si="9"/>
        <v>70.065624999999997</v>
      </c>
      <c r="T16" s="231">
        <f t="shared" si="10"/>
        <v>60.926630434782609</v>
      </c>
      <c r="U16" s="231">
        <f t="shared" si="11"/>
        <v>65.972222222222229</v>
      </c>
      <c r="V16" s="231">
        <f t="shared" si="12"/>
        <v>53.977272727272727</v>
      </c>
      <c r="W16" s="231">
        <f t="shared" si="13"/>
        <v>56.547619047619051</v>
      </c>
      <c r="X16" s="231">
        <f t="shared" si="14"/>
        <v>59.375</v>
      </c>
      <c r="Y16" s="231">
        <f t="shared" si="15"/>
        <v>53.977272727272727</v>
      </c>
      <c r="Z16" s="231">
        <f t="shared" si="16"/>
        <v>56.547619047619051</v>
      </c>
      <c r="AA16" s="231"/>
      <c r="AB16" s="231"/>
      <c r="AC16" s="231"/>
      <c r="AD16" s="230">
        <f t="shared" si="20"/>
        <v>0</v>
      </c>
      <c r="AE16" s="230">
        <f t="shared" si="21"/>
        <v>0</v>
      </c>
      <c r="AF16" s="230">
        <f t="shared" si="22"/>
        <v>0</v>
      </c>
      <c r="AG16" s="230">
        <f t="shared" si="23"/>
        <v>329.86111111111114</v>
      </c>
      <c r="AH16" s="230">
        <f t="shared" si="24"/>
        <v>53.977272727272727</v>
      </c>
      <c r="AI16" s="230">
        <f t="shared" si="25"/>
        <v>0</v>
      </c>
      <c r="AJ16" s="230">
        <f t="shared" si="26"/>
        <v>0</v>
      </c>
      <c r="AK16" s="230">
        <f t="shared" si="27"/>
        <v>0</v>
      </c>
      <c r="AL16" s="230">
        <f t="shared" si="18"/>
        <v>0</v>
      </c>
      <c r="AM16" s="230">
        <f t="shared" si="18"/>
        <v>0</v>
      </c>
      <c r="AN16" s="230">
        <f t="shared" si="18"/>
        <v>0</v>
      </c>
      <c r="AO16" s="230">
        <f t="shared" si="18"/>
        <v>0</v>
      </c>
    </row>
    <row r="17" spans="1:41" ht="15.75" customHeight="1" x14ac:dyDescent="0.25">
      <c r="A17" s="251" t="s">
        <v>682</v>
      </c>
      <c r="B17" s="251" t="s">
        <v>422</v>
      </c>
      <c r="C17" s="251" t="s">
        <v>44</v>
      </c>
      <c r="D17" s="251" t="s">
        <v>42</v>
      </c>
      <c r="E17" s="251" t="s">
        <v>304</v>
      </c>
      <c r="F17" s="233">
        <f t="shared" si="0"/>
        <v>176</v>
      </c>
      <c r="G17" s="233">
        <f t="shared" si="1"/>
        <v>104</v>
      </c>
      <c r="H17" s="233">
        <f t="shared" si="2"/>
        <v>0</v>
      </c>
      <c r="I17" s="233">
        <f t="shared" si="3"/>
        <v>0</v>
      </c>
      <c r="J17" s="233">
        <f t="shared" si="4"/>
        <v>0</v>
      </c>
      <c r="K17" s="233">
        <f t="shared" si="5"/>
        <v>0</v>
      </c>
      <c r="L17" s="233">
        <f t="shared" si="6"/>
        <v>0</v>
      </c>
      <c r="M17" s="233">
        <f t="shared" si="19"/>
        <v>0</v>
      </c>
      <c r="N17" s="233">
        <f t="shared" si="7"/>
        <v>0</v>
      </c>
      <c r="O17" s="233">
        <f>IFERROR(VLOOKUP(A17,TOTAL_HORAS,79,FALSE),0)</f>
        <v>0</v>
      </c>
      <c r="P17" s="233"/>
      <c r="Q17" s="233"/>
      <c r="R17" s="231">
        <f t="shared" si="8"/>
        <v>27.556818181818183</v>
      </c>
      <c r="S17" s="231">
        <f t="shared" si="9"/>
        <v>30.3125</v>
      </c>
      <c r="T17" s="231">
        <f t="shared" si="10"/>
        <v>0</v>
      </c>
      <c r="U17" s="231">
        <f t="shared" si="11"/>
        <v>0</v>
      </c>
      <c r="V17" s="231">
        <f t="shared" si="12"/>
        <v>0</v>
      </c>
      <c r="W17" s="231">
        <f t="shared" si="13"/>
        <v>0</v>
      </c>
      <c r="X17" s="231">
        <f t="shared" si="14"/>
        <v>0</v>
      </c>
      <c r="Y17" s="231">
        <f t="shared" si="15"/>
        <v>0</v>
      </c>
      <c r="Z17" s="231">
        <f t="shared" si="16"/>
        <v>0</v>
      </c>
      <c r="AA17" s="231"/>
      <c r="AB17" s="231"/>
      <c r="AC17" s="231"/>
      <c r="AD17" s="230">
        <f t="shared" si="20"/>
        <v>4850</v>
      </c>
      <c r="AE17" s="230">
        <f t="shared" si="21"/>
        <v>3152.5</v>
      </c>
      <c r="AF17" s="230">
        <f t="shared" si="22"/>
        <v>0</v>
      </c>
      <c r="AG17" s="230">
        <f t="shared" si="23"/>
        <v>0</v>
      </c>
      <c r="AH17" s="230">
        <f t="shared" si="24"/>
        <v>0</v>
      </c>
      <c r="AI17" s="230">
        <f t="shared" si="25"/>
        <v>0</v>
      </c>
      <c r="AJ17" s="230">
        <f t="shared" si="26"/>
        <v>0</v>
      </c>
      <c r="AK17" s="230">
        <f t="shared" si="27"/>
        <v>0</v>
      </c>
      <c r="AL17" s="230">
        <f t="shared" si="18"/>
        <v>0</v>
      </c>
      <c r="AM17" s="230">
        <f t="shared" si="18"/>
        <v>0</v>
      </c>
      <c r="AN17" s="230">
        <f t="shared" si="18"/>
        <v>0</v>
      </c>
      <c r="AO17" s="230">
        <f t="shared" si="18"/>
        <v>0</v>
      </c>
    </row>
    <row r="18" spans="1:41" ht="15.75" customHeight="1" x14ac:dyDescent="0.25">
      <c r="A18" s="251" t="s">
        <v>683</v>
      </c>
      <c r="B18" s="251" t="s">
        <v>427</v>
      </c>
      <c r="C18" s="251" t="s">
        <v>44</v>
      </c>
      <c r="D18" s="251" t="s">
        <v>42</v>
      </c>
      <c r="E18" s="251" t="s">
        <v>304</v>
      </c>
      <c r="F18" s="233">
        <f t="shared" si="0"/>
        <v>80</v>
      </c>
      <c r="G18" s="233">
        <f t="shared" si="1"/>
        <v>0</v>
      </c>
      <c r="H18" s="233">
        <f t="shared" si="2"/>
        <v>60</v>
      </c>
      <c r="I18" s="233">
        <f t="shared" si="3"/>
        <v>0</v>
      </c>
      <c r="J18" s="233">
        <f t="shared" si="4"/>
        <v>0</v>
      </c>
      <c r="K18" s="233">
        <f t="shared" si="5"/>
        <v>0</v>
      </c>
      <c r="L18" s="233">
        <f t="shared" si="6"/>
        <v>0</v>
      </c>
      <c r="M18" s="233">
        <f t="shared" si="19"/>
        <v>0</v>
      </c>
      <c r="N18" s="233">
        <f t="shared" si="7"/>
        <v>0</v>
      </c>
      <c r="O18" s="233">
        <f>IFERROR(VLOOKUP(A18,TOTAL_HORAS,79,FALSE),0)</f>
        <v>0</v>
      </c>
      <c r="P18" s="233"/>
      <c r="Q18" s="233"/>
      <c r="R18" s="231">
        <f t="shared" si="8"/>
        <v>19.886363636363637</v>
      </c>
      <c r="S18" s="231">
        <f t="shared" si="9"/>
        <v>21.875</v>
      </c>
      <c r="T18" s="231">
        <f t="shared" si="10"/>
        <v>19.021739130434781</v>
      </c>
      <c r="U18" s="231">
        <f t="shared" si="11"/>
        <v>0</v>
      </c>
      <c r="V18" s="231">
        <f t="shared" si="12"/>
        <v>0</v>
      </c>
      <c r="W18" s="231">
        <f t="shared" si="13"/>
        <v>0</v>
      </c>
      <c r="X18" s="231">
        <f t="shared" si="14"/>
        <v>0</v>
      </c>
      <c r="Y18" s="231">
        <f t="shared" si="15"/>
        <v>0</v>
      </c>
      <c r="Z18" s="231">
        <f t="shared" si="16"/>
        <v>0</v>
      </c>
      <c r="AA18" s="231"/>
      <c r="AB18" s="231"/>
      <c r="AC18" s="231"/>
      <c r="AD18" s="230">
        <f t="shared" si="20"/>
        <v>1590.909090909091</v>
      </c>
      <c r="AE18" s="230">
        <f t="shared" si="21"/>
        <v>0</v>
      </c>
      <c r="AF18" s="230">
        <f t="shared" si="22"/>
        <v>1141.304347826087</v>
      </c>
      <c r="AG18" s="230">
        <f t="shared" si="23"/>
        <v>0</v>
      </c>
      <c r="AH18" s="230">
        <f t="shared" si="24"/>
        <v>0</v>
      </c>
      <c r="AI18" s="230">
        <f t="shared" si="25"/>
        <v>0</v>
      </c>
      <c r="AJ18" s="230">
        <f t="shared" si="26"/>
        <v>0</v>
      </c>
      <c r="AK18" s="230">
        <f t="shared" si="27"/>
        <v>0</v>
      </c>
      <c r="AL18" s="230">
        <f t="shared" si="18"/>
        <v>0</v>
      </c>
      <c r="AM18" s="230">
        <f t="shared" si="18"/>
        <v>0</v>
      </c>
      <c r="AN18" s="230">
        <f t="shared" si="18"/>
        <v>0</v>
      </c>
      <c r="AO18" s="230">
        <f t="shared" si="18"/>
        <v>0</v>
      </c>
    </row>
    <row r="19" spans="1:41" ht="15.75" customHeight="1" x14ac:dyDescent="0.25">
      <c r="A19" s="251" t="s">
        <v>684</v>
      </c>
      <c r="B19" s="251" t="s">
        <v>425</v>
      </c>
      <c r="C19" s="251" t="s">
        <v>44</v>
      </c>
      <c r="D19" s="251" t="s">
        <v>42</v>
      </c>
      <c r="E19" s="251" t="s">
        <v>304</v>
      </c>
      <c r="F19" s="233">
        <f t="shared" si="0"/>
        <v>176</v>
      </c>
      <c r="G19" s="233">
        <f t="shared" si="1"/>
        <v>0</v>
      </c>
      <c r="H19" s="233">
        <f t="shared" si="2"/>
        <v>0</v>
      </c>
      <c r="I19" s="233">
        <f t="shared" si="3"/>
        <v>0</v>
      </c>
      <c r="J19" s="233">
        <f t="shared" si="4"/>
        <v>0</v>
      </c>
      <c r="K19" s="233">
        <f t="shared" si="5"/>
        <v>0</v>
      </c>
      <c r="L19" s="233">
        <f t="shared" si="6"/>
        <v>0</v>
      </c>
      <c r="M19" s="233">
        <f t="shared" si="19"/>
        <v>0</v>
      </c>
      <c r="N19" s="233">
        <f t="shared" si="7"/>
        <v>0</v>
      </c>
      <c r="O19" s="233">
        <f>IFERROR(VLOOKUP(A19,TOTAL_HORAS,79,FALSE),0)</f>
        <v>0</v>
      </c>
      <c r="P19" s="233"/>
      <c r="Q19" s="233"/>
      <c r="R19" s="231">
        <f t="shared" si="8"/>
        <v>22.15909090909091</v>
      </c>
      <c r="S19" s="231">
        <f t="shared" si="9"/>
        <v>24.375</v>
      </c>
      <c r="T19" s="231">
        <f t="shared" si="10"/>
        <v>21.195652173913043</v>
      </c>
      <c r="U19" s="231">
        <f t="shared" si="11"/>
        <v>0</v>
      </c>
      <c r="V19" s="231">
        <f t="shared" si="12"/>
        <v>0</v>
      </c>
      <c r="W19" s="231">
        <f t="shared" si="13"/>
        <v>0</v>
      </c>
      <c r="X19" s="231">
        <f t="shared" si="14"/>
        <v>0</v>
      </c>
      <c r="Y19" s="231">
        <f t="shared" si="15"/>
        <v>0</v>
      </c>
      <c r="Z19" s="231">
        <f t="shared" si="16"/>
        <v>0</v>
      </c>
      <c r="AA19" s="231"/>
      <c r="AB19" s="231"/>
      <c r="AC19" s="231"/>
      <c r="AD19" s="230">
        <f t="shared" ref="AD19:AD82" si="28">F19*R19</f>
        <v>3900</v>
      </c>
      <c r="AE19" s="230">
        <f t="shared" si="21"/>
        <v>0</v>
      </c>
      <c r="AF19" s="230">
        <f t="shared" si="22"/>
        <v>0</v>
      </c>
      <c r="AG19" s="230">
        <f t="shared" si="23"/>
        <v>0</v>
      </c>
      <c r="AH19" s="230">
        <f t="shared" si="24"/>
        <v>0</v>
      </c>
      <c r="AI19" s="230">
        <f t="shared" si="25"/>
        <v>0</v>
      </c>
      <c r="AJ19" s="230">
        <f t="shared" si="26"/>
        <v>0</v>
      </c>
      <c r="AK19" s="230">
        <f t="shared" si="27"/>
        <v>0</v>
      </c>
      <c r="AL19" s="230">
        <f t="shared" si="27"/>
        <v>0</v>
      </c>
      <c r="AM19" s="230">
        <f t="shared" si="27"/>
        <v>0</v>
      </c>
      <c r="AN19" s="230">
        <f t="shared" si="27"/>
        <v>0</v>
      </c>
      <c r="AO19" s="230">
        <f t="shared" si="27"/>
        <v>0</v>
      </c>
    </row>
    <row r="20" spans="1:41" ht="15.75" customHeight="1" x14ac:dyDescent="0.25">
      <c r="A20" s="251" t="s">
        <v>685</v>
      </c>
      <c r="B20" s="251" t="s">
        <v>418</v>
      </c>
      <c r="C20" s="251" t="s">
        <v>44</v>
      </c>
      <c r="D20" s="251" t="s">
        <v>42</v>
      </c>
      <c r="E20" s="251" t="s">
        <v>304</v>
      </c>
      <c r="F20" s="233">
        <f t="shared" si="0"/>
        <v>0</v>
      </c>
      <c r="G20" s="233">
        <f t="shared" si="1"/>
        <v>80</v>
      </c>
      <c r="H20" s="233">
        <f t="shared" si="2"/>
        <v>184</v>
      </c>
      <c r="I20" s="233">
        <f t="shared" si="3"/>
        <v>16</v>
      </c>
      <c r="J20" s="233">
        <f t="shared" si="4"/>
        <v>0</v>
      </c>
      <c r="K20" s="233">
        <f t="shared" si="5"/>
        <v>0</v>
      </c>
      <c r="L20" s="233">
        <f t="shared" si="6"/>
        <v>0</v>
      </c>
      <c r="M20" s="233">
        <f t="shared" si="19"/>
        <v>0</v>
      </c>
      <c r="N20" s="233">
        <f t="shared" si="7"/>
        <v>0</v>
      </c>
      <c r="O20" s="233">
        <f>IFERROR(VLOOKUP(A20,TOTAL_HORAS,79,FALSE),0)</f>
        <v>0</v>
      </c>
      <c r="P20" s="233"/>
      <c r="Q20" s="233"/>
      <c r="R20" s="231">
        <f t="shared" si="8"/>
        <v>22.15909090909091</v>
      </c>
      <c r="S20" s="231">
        <f t="shared" si="9"/>
        <v>24.375</v>
      </c>
      <c r="T20" s="231">
        <f t="shared" si="10"/>
        <v>21.195652173913043</v>
      </c>
      <c r="U20" s="231">
        <f t="shared" si="11"/>
        <v>27.083333333333332</v>
      </c>
      <c r="V20" s="231">
        <f t="shared" si="12"/>
        <v>0</v>
      </c>
      <c r="W20" s="231">
        <f t="shared" si="13"/>
        <v>0</v>
      </c>
      <c r="X20" s="231">
        <f t="shared" si="14"/>
        <v>0</v>
      </c>
      <c r="Y20" s="231">
        <f t="shared" si="15"/>
        <v>0</v>
      </c>
      <c r="Z20" s="231">
        <f t="shared" si="16"/>
        <v>0</v>
      </c>
      <c r="AA20" s="231"/>
      <c r="AB20" s="231"/>
      <c r="AC20" s="231"/>
      <c r="AD20" s="230">
        <f t="shared" si="28"/>
        <v>0</v>
      </c>
      <c r="AE20" s="230">
        <f t="shared" si="21"/>
        <v>1950</v>
      </c>
      <c r="AF20" s="230">
        <f t="shared" si="22"/>
        <v>3900</v>
      </c>
      <c r="AG20" s="230">
        <f t="shared" si="23"/>
        <v>433.33333333333331</v>
      </c>
      <c r="AH20" s="230">
        <f t="shared" si="24"/>
        <v>0</v>
      </c>
      <c r="AI20" s="230">
        <f t="shared" si="25"/>
        <v>0</v>
      </c>
      <c r="AJ20" s="230">
        <f t="shared" si="26"/>
        <v>0</v>
      </c>
      <c r="AK20" s="230">
        <f t="shared" si="27"/>
        <v>0</v>
      </c>
      <c r="AL20" s="230">
        <f t="shared" si="27"/>
        <v>0</v>
      </c>
      <c r="AM20" s="230">
        <f t="shared" si="27"/>
        <v>0</v>
      </c>
      <c r="AN20" s="230">
        <f t="shared" si="27"/>
        <v>0</v>
      </c>
      <c r="AO20" s="230">
        <f t="shared" si="27"/>
        <v>0</v>
      </c>
    </row>
    <row r="21" spans="1:41" ht="15.75" customHeight="1" x14ac:dyDescent="0.25">
      <c r="A21" s="251" t="s">
        <v>686</v>
      </c>
      <c r="B21" s="251" t="s">
        <v>282</v>
      </c>
      <c r="C21" s="251" t="s">
        <v>44</v>
      </c>
      <c r="D21" s="251" t="s">
        <v>42</v>
      </c>
      <c r="E21" s="251" t="s">
        <v>304</v>
      </c>
      <c r="F21" s="233">
        <f t="shared" si="0"/>
        <v>0</v>
      </c>
      <c r="G21" s="233">
        <f t="shared" si="1"/>
        <v>0</v>
      </c>
      <c r="H21" s="233">
        <f t="shared" si="2"/>
        <v>0</v>
      </c>
      <c r="I21" s="233">
        <f t="shared" si="3"/>
        <v>0</v>
      </c>
      <c r="J21" s="233">
        <f t="shared" si="4"/>
        <v>122.5</v>
      </c>
      <c r="K21" s="233">
        <f t="shared" si="5"/>
        <v>168</v>
      </c>
      <c r="L21" s="233">
        <f t="shared" si="6"/>
        <v>0</v>
      </c>
      <c r="M21" s="233">
        <f t="shared" si="19"/>
        <v>0</v>
      </c>
      <c r="N21" s="233">
        <f t="shared" si="7"/>
        <v>0</v>
      </c>
      <c r="O21" s="233">
        <f>IFERROR(VLOOKUP(A21,TOTAL_HORAS,79,FALSE),0)</f>
        <v>0</v>
      </c>
      <c r="P21" s="233"/>
      <c r="Q21" s="233"/>
      <c r="R21" s="231">
        <f t="shared" si="8"/>
        <v>0</v>
      </c>
      <c r="S21" s="231">
        <f t="shared" si="9"/>
        <v>0</v>
      </c>
      <c r="T21" s="231">
        <f t="shared" si="10"/>
        <v>0</v>
      </c>
      <c r="U21" s="231">
        <f t="shared" si="11"/>
        <v>0</v>
      </c>
      <c r="V21" s="231">
        <f t="shared" si="12"/>
        <v>0</v>
      </c>
      <c r="W21" s="231">
        <f t="shared" si="13"/>
        <v>0</v>
      </c>
      <c r="X21" s="231">
        <f t="shared" si="14"/>
        <v>0</v>
      </c>
      <c r="Y21" s="231">
        <f t="shared" si="15"/>
        <v>0</v>
      </c>
      <c r="Z21" s="231">
        <f t="shared" si="16"/>
        <v>0</v>
      </c>
      <c r="AA21" s="231"/>
      <c r="AB21" s="231"/>
      <c r="AC21" s="231"/>
      <c r="AD21" s="230">
        <f t="shared" si="28"/>
        <v>0</v>
      </c>
      <c r="AE21" s="230">
        <f t="shared" si="21"/>
        <v>0</v>
      </c>
      <c r="AF21" s="230">
        <f t="shared" si="22"/>
        <v>0</v>
      </c>
      <c r="AG21" s="230">
        <f t="shared" si="23"/>
        <v>0</v>
      </c>
      <c r="AH21" s="230">
        <f t="shared" si="24"/>
        <v>0</v>
      </c>
      <c r="AI21" s="230">
        <f t="shared" si="25"/>
        <v>0</v>
      </c>
      <c r="AJ21" s="230">
        <f t="shared" si="26"/>
        <v>0</v>
      </c>
      <c r="AK21" s="230">
        <f t="shared" si="27"/>
        <v>0</v>
      </c>
      <c r="AL21" s="230">
        <f t="shared" si="27"/>
        <v>0</v>
      </c>
      <c r="AM21" s="230">
        <f t="shared" si="27"/>
        <v>0</v>
      </c>
      <c r="AN21" s="230">
        <f t="shared" si="27"/>
        <v>0</v>
      </c>
      <c r="AO21" s="230">
        <f t="shared" si="27"/>
        <v>0</v>
      </c>
    </row>
    <row r="22" spans="1:41" ht="15.75" customHeight="1" x14ac:dyDescent="0.25">
      <c r="A22" s="251" t="s">
        <v>687</v>
      </c>
      <c r="B22" s="251" t="s">
        <v>6</v>
      </c>
      <c r="C22" s="251" t="s">
        <v>44</v>
      </c>
      <c r="D22" s="251" t="s">
        <v>42</v>
      </c>
      <c r="E22" s="251" t="s">
        <v>304</v>
      </c>
      <c r="F22" s="233">
        <f t="shared" si="0"/>
        <v>0</v>
      </c>
      <c r="G22" s="233">
        <f t="shared" si="1"/>
        <v>0</v>
      </c>
      <c r="H22" s="233">
        <f t="shared" si="2"/>
        <v>56</v>
      </c>
      <c r="I22" s="233">
        <f t="shared" si="3"/>
        <v>144</v>
      </c>
      <c r="J22" s="233">
        <f t="shared" si="4"/>
        <v>176</v>
      </c>
      <c r="K22" s="233">
        <f t="shared" si="5"/>
        <v>168</v>
      </c>
      <c r="L22" s="233">
        <f t="shared" si="6"/>
        <v>0</v>
      </c>
      <c r="M22" s="233">
        <f t="shared" si="19"/>
        <v>0</v>
      </c>
      <c r="N22" s="233">
        <f t="shared" si="7"/>
        <v>0</v>
      </c>
      <c r="O22" s="233">
        <f>IFERROR(VLOOKUP(A22,TOTAL_HORAS,79,FALSE),0)</f>
        <v>0</v>
      </c>
      <c r="P22" s="233"/>
      <c r="Q22" s="233"/>
      <c r="R22" s="231">
        <f t="shared" si="8"/>
        <v>0</v>
      </c>
      <c r="S22" s="231">
        <f t="shared" si="9"/>
        <v>0</v>
      </c>
      <c r="T22" s="231">
        <f t="shared" si="10"/>
        <v>5.1630434782608692</v>
      </c>
      <c r="U22" s="231">
        <f t="shared" si="11"/>
        <v>6.5972222222222223</v>
      </c>
      <c r="V22" s="231">
        <f t="shared" si="12"/>
        <v>5.3977272727272725</v>
      </c>
      <c r="W22" s="231">
        <f t="shared" si="13"/>
        <v>5.6547619047619051</v>
      </c>
      <c r="X22" s="231">
        <f t="shared" si="14"/>
        <v>0</v>
      </c>
      <c r="Y22" s="231">
        <f t="shared" si="15"/>
        <v>0</v>
      </c>
      <c r="Z22" s="231">
        <f t="shared" si="16"/>
        <v>0</v>
      </c>
      <c r="AA22" s="231"/>
      <c r="AB22" s="231"/>
      <c r="AC22" s="231"/>
      <c r="AD22" s="230">
        <f t="shared" si="28"/>
        <v>0</v>
      </c>
      <c r="AE22" s="230">
        <f t="shared" si="21"/>
        <v>0</v>
      </c>
      <c r="AF22" s="230">
        <f t="shared" si="22"/>
        <v>289.13043478260869</v>
      </c>
      <c r="AG22" s="230">
        <f t="shared" si="23"/>
        <v>950</v>
      </c>
      <c r="AH22" s="230">
        <f t="shared" si="24"/>
        <v>950</v>
      </c>
      <c r="AI22" s="230">
        <f t="shared" si="25"/>
        <v>950</v>
      </c>
      <c r="AJ22" s="230">
        <f t="shared" si="26"/>
        <v>0</v>
      </c>
      <c r="AK22" s="230">
        <f t="shared" si="27"/>
        <v>0</v>
      </c>
      <c r="AL22" s="230">
        <f t="shared" si="27"/>
        <v>0</v>
      </c>
      <c r="AM22" s="230">
        <f t="shared" si="27"/>
        <v>0</v>
      </c>
      <c r="AN22" s="230">
        <f t="shared" si="27"/>
        <v>0</v>
      </c>
      <c r="AO22" s="230">
        <f t="shared" si="27"/>
        <v>0</v>
      </c>
    </row>
    <row r="23" spans="1:41" ht="15.75" customHeight="1" x14ac:dyDescent="0.25">
      <c r="A23" s="251" t="s">
        <v>688</v>
      </c>
      <c r="B23" s="251" t="s">
        <v>17</v>
      </c>
      <c r="C23" s="251" t="s">
        <v>44</v>
      </c>
      <c r="D23" s="251" t="s">
        <v>42</v>
      </c>
      <c r="E23" s="251" t="s">
        <v>304</v>
      </c>
      <c r="F23" s="233">
        <f t="shared" si="0"/>
        <v>0</v>
      </c>
      <c r="G23" s="233">
        <f t="shared" si="1"/>
        <v>0</v>
      </c>
      <c r="H23" s="233">
        <f t="shared" si="2"/>
        <v>0</v>
      </c>
      <c r="I23" s="233">
        <f t="shared" si="3"/>
        <v>128</v>
      </c>
      <c r="J23" s="233">
        <f t="shared" si="4"/>
        <v>176</v>
      </c>
      <c r="K23" s="233">
        <f t="shared" si="5"/>
        <v>168</v>
      </c>
      <c r="L23" s="233">
        <f t="shared" si="6"/>
        <v>8</v>
      </c>
      <c r="M23" s="233">
        <f t="shared" si="19"/>
        <v>0</v>
      </c>
      <c r="N23" s="233">
        <f t="shared" si="7"/>
        <v>0</v>
      </c>
      <c r="O23" s="233">
        <f>IFERROR(VLOOKUP(A23,TOTAL_HORAS,79,FALSE),0)</f>
        <v>0</v>
      </c>
      <c r="P23" s="233"/>
      <c r="Q23" s="233"/>
      <c r="R23" s="231">
        <f t="shared" si="8"/>
        <v>0</v>
      </c>
      <c r="S23" s="231">
        <f t="shared" si="9"/>
        <v>0</v>
      </c>
      <c r="T23" s="231">
        <f t="shared" si="10"/>
        <v>0</v>
      </c>
      <c r="U23" s="231">
        <f t="shared" si="11"/>
        <v>40.625</v>
      </c>
      <c r="V23" s="231">
        <f t="shared" si="12"/>
        <v>33.238636363636367</v>
      </c>
      <c r="W23" s="231">
        <f t="shared" si="13"/>
        <v>34.821428571428569</v>
      </c>
      <c r="X23" s="231">
        <f t="shared" si="14"/>
        <v>0</v>
      </c>
      <c r="Y23" s="231">
        <f t="shared" si="15"/>
        <v>0</v>
      </c>
      <c r="Z23" s="231">
        <f t="shared" si="16"/>
        <v>0</v>
      </c>
      <c r="AA23" s="231"/>
      <c r="AB23" s="231"/>
      <c r="AC23" s="231"/>
      <c r="AD23" s="230">
        <f t="shared" si="28"/>
        <v>0</v>
      </c>
      <c r="AE23" s="230">
        <f t="shared" si="21"/>
        <v>0</v>
      </c>
      <c r="AF23" s="230">
        <f t="shared" si="22"/>
        <v>0</v>
      </c>
      <c r="AG23" s="230">
        <f t="shared" si="23"/>
        <v>5200</v>
      </c>
      <c r="AH23" s="230">
        <f t="shared" si="24"/>
        <v>5850.0000000000009</v>
      </c>
      <c r="AI23" s="230">
        <f t="shared" si="25"/>
        <v>5850</v>
      </c>
      <c r="AJ23" s="230">
        <f t="shared" si="26"/>
        <v>0</v>
      </c>
      <c r="AK23" s="230">
        <f t="shared" si="27"/>
        <v>0</v>
      </c>
      <c r="AL23" s="230">
        <f t="shared" si="27"/>
        <v>0</v>
      </c>
      <c r="AM23" s="230">
        <f t="shared" si="27"/>
        <v>0</v>
      </c>
      <c r="AN23" s="230">
        <f t="shared" si="27"/>
        <v>0</v>
      </c>
      <c r="AO23" s="230">
        <f t="shared" si="27"/>
        <v>0</v>
      </c>
    </row>
    <row r="24" spans="1:41" ht="15.75" customHeight="1" x14ac:dyDescent="0.25">
      <c r="A24" s="251" t="s">
        <v>689</v>
      </c>
      <c r="B24" s="251" t="s">
        <v>15</v>
      </c>
      <c r="C24" s="251" t="s">
        <v>44</v>
      </c>
      <c r="D24" s="251" t="s">
        <v>42</v>
      </c>
      <c r="E24" s="251" t="s">
        <v>304</v>
      </c>
      <c r="F24" s="233">
        <f t="shared" si="0"/>
        <v>0</v>
      </c>
      <c r="G24" s="233">
        <f t="shared" si="1"/>
        <v>0</v>
      </c>
      <c r="H24" s="233">
        <f t="shared" si="2"/>
        <v>56</v>
      </c>
      <c r="I24" s="233">
        <f t="shared" si="3"/>
        <v>144</v>
      </c>
      <c r="J24" s="233">
        <f t="shared" si="4"/>
        <v>176</v>
      </c>
      <c r="K24" s="233">
        <f t="shared" si="5"/>
        <v>32</v>
      </c>
      <c r="L24" s="233">
        <f t="shared" si="6"/>
        <v>0</v>
      </c>
      <c r="M24" s="233">
        <f t="shared" si="19"/>
        <v>0</v>
      </c>
      <c r="N24" s="233">
        <f t="shared" si="7"/>
        <v>0</v>
      </c>
      <c r="O24" s="233">
        <f>IFERROR(VLOOKUP(A24,TOTAL_HORAS,79,FALSE),0)</f>
        <v>0</v>
      </c>
      <c r="P24" s="233"/>
      <c r="Q24" s="233"/>
      <c r="R24" s="231">
        <f t="shared" si="8"/>
        <v>0</v>
      </c>
      <c r="S24" s="231">
        <f t="shared" si="9"/>
        <v>0</v>
      </c>
      <c r="T24" s="231">
        <f t="shared" si="10"/>
        <v>17.663043478260871</v>
      </c>
      <c r="U24" s="231">
        <f t="shared" si="11"/>
        <v>22.569444444444443</v>
      </c>
      <c r="V24" s="231">
        <f t="shared" si="12"/>
        <v>18.46590909090909</v>
      </c>
      <c r="W24" s="231">
        <f t="shared" si="13"/>
        <v>19.345238095238095</v>
      </c>
      <c r="X24" s="231">
        <f t="shared" si="14"/>
        <v>0</v>
      </c>
      <c r="Y24" s="231">
        <f t="shared" si="15"/>
        <v>0</v>
      </c>
      <c r="Z24" s="231">
        <f t="shared" si="16"/>
        <v>0</v>
      </c>
      <c r="AA24" s="231"/>
      <c r="AB24" s="231"/>
      <c r="AC24" s="231"/>
      <c r="AD24" s="230">
        <f t="shared" si="28"/>
        <v>0</v>
      </c>
      <c r="AE24" s="230">
        <f t="shared" si="21"/>
        <v>0</v>
      </c>
      <c r="AF24" s="230">
        <f t="shared" si="22"/>
        <v>989.13043478260875</v>
      </c>
      <c r="AG24" s="230">
        <f t="shared" si="23"/>
        <v>3250</v>
      </c>
      <c r="AH24" s="230">
        <f t="shared" si="24"/>
        <v>3250</v>
      </c>
      <c r="AI24" s="230">
        <f t="shared" si="25"/>
        <v>619.04761904761904</v>
      </c>
      <c r="AJ24" s="230">
        <f t="shared" si="26"/>
        <v>0</v>
      </c>
      <c r="AK24" s="230">
        <f t="shared" si="27"/>
        <v>0</v>
      </c>
      <c r="AL24" s="230">
        <f t="shared" si="27"/>
        <v>0</v>
      </c>
      <c r="AM24" s="230">
        <f t="shared" si="27"/>
        <v>0</v>
      </c>
      <c r="AN24" s="230">
        <f t="shared" si="27"/>
        <v>0</v>
      </c>
      <c r="AO24" s="230">
        <f t="shared" si="27"/>
        <v>0</v>
      </c>
    </row>
    <row r="25" spans="1:41" ht="15.75" customHeight="1" x14ac:dyDescent="0.25">
      <c r="A25" s="251" t="s">
        <v>690</v>
      </c>
      <c r="B25" s="251" t="s">
        <v>26</v>
      </c>
      <c r="C25" s="251" t="s">
        <v>44</v>
      </c>
      <c r="D25" s="251" t="s">
        <v>42</v>
      </c>
      <c r="E25" s="251" t="s">
        <v>304</v>
      </c>
      <c r="F25" s="233">
        <f t="shared" si="0"/>
        <v>152</v>
      </c>
      <c r="G25" s="233">
        <f t="shared" si="1"/>
        <v>160</v>
      </c>
      <c r="H25" s="233">
        <f t="shared" si="2"/>
        <v>184</v>
      </c>
      <c r="I25" s="233">
        <f t="shared" si="3"/>
        <v>144</v>
      </c>
      <c r="J25" s="233">
        <f t="shared" si="4"/>
        <v>176</v>
      </c>
      <c r="K25" s="233">
        <f t="shared" si="5"/>
        <v>168</v>
      </c>
      <c r="L25" s="233">
        <f t="shared" si="6"/>
        <v>160</v>
      </c>
      <c r="M25" s="233">
        <f t="shared" si="19"/>
        <v>176</v>
      </c>
      <c r="N25" s="233">
        <f t="shared" si="7"/>
        <v>168</v>
      </c>
      <c r="O25" s="233">
        <f>IFERROR(VLOOKUP(A25,TOTAL_HORAS,79,FALSE),0)</f>
        <v>40</v>
      </c>
      <c r="P25" s="233"/>
      <c r="Q25" s="233"/>
      <c r="R25" s="231">
        <f t="shared" si="8"/>
        <v>29.829545454545453</v>
      </c>
      <c r="S25" s="231">
        <f t="shared" si="9"/>
        <v>32.8125</v>
      </c>
      <c r="T25" s="231">
        <f t="shared" si="10"/>
        <v>28.532608695652176</v>
      </c>
      <c r="U25" s="231">
        <f t="shared" si="11"/>
        <v>36.458333333333336</v>
      </c>
      <c r="V25" s="231">
        <f t="shared" si="12"/>
        <v>29.829545454545453</v>
      </c>
      <c r="W25" s="231">
        <f t="shared" si="13"/>
        <v>31.25</v>
      </c>
      <c r="X25" s="231">
        <f t="shared" si="14"/>
        <v>32.8125</v>
      </c>
      <c r="Y25" s="231">
        <f t="shared" si="15"/>
        <v>29.829545454545453</v>
      </c>
      <c r="Z25" s="231">
        <f t="shared" si="16"/>
        <v>31.25</v>
      </c>
      <c r="AA25" s="231"/>
      <c r="AB25" s="231"/>
      <c r="AC25" s="231"/>
      <c r="AD25" s="230">
        <f t="shared" si="28"/>
        <v>4534.090909090909</v>
      </c>
      <c r="AE25" s="230">
        <f t="shared" si="21"/>
        <v>5250</v>
      </c>
      <c r="AF25" s="230">
        <f t="shared" si="22"/>
        <v>5250</v>
      </c>
      <c r="AG25" s="230">
        <f t="shared" si="23"/>
        <v>5250</v>
      </c>
      <c r="AH25" s="230">
        <f t="shared" si="24"/>
        <v>5250</v>
      </c>
      <c r="AI25" s="230">
        <f t="shared" si="25"/>
        <v>5250</v>
      </c>
      <c r="AJ25" s="230">
        <f t="shared" si="26"/>
        <v>5250</v>
      </c>
      <c r="AK25" s="230">
        <f t="shared" si="27"/>
        <v>5250</v>
      </c>
      <c r="AL25" s="230">
        <f t="shared" si="27"/>
        <v>5250</v>
      </c>
      <c r="AM25" s="230">
        <f t="shared" si="27"/>
        <v>0</v>
      </c>
      <c r="AN25" s="230">
        <f t="shared" si="27"/>
        <v>0</v>
      </c>
      <c r="AO25" s="230">
        <f t="shared" si="27"/>
        <v>0</v>
      </c>
    </row>
    <row r="26" spans="1:41" ht="15.75" customHeight="1" x14ac:dyDescent="0.25">
      <c r="A26" s="251" t="s">
        <v>691</v>
      </c>
      <c r="B26" s="251" t="s">
        <v>26</v>
      </c>
      <c r="C26" s="251" t="s">
        <v>209</v>
      </c>
      <c r="D26" s="251" t="s">
        <v>209</v>
      </c>
      <c r="E26" s="251" t="s">
        <v>243</v>
      </c>
      <c r="F26" s="233">
        <f t="shared" si="0"/>
        <v>24</v>
      </c>
      <c r="G26" s="233">
        <f t="shared" si="1"/>
        <v>0</v>
      </c>
      <c r="H26" s="233">
        <f t="shared" si="2"/>
        <v>0</v>
      </c>
      <c r="I26" s="233">
        <f t="shared" si="3"/>
        <v>0</v>
      </c>
      <c r="J26" s="233">
        <f t="shared" si="4"/>
        <v>0</v>
      </c>
      <c r="K26" s="233">
        <f t="shared" si="5"/>
        <v>0</v>
      </c>
      <c r="L26" s="233">
        <f t="shared" si="6"/>
        <v>0</v>
      </c>
      <c r="M26" s="233">
        <f t="shared" si="19"/>
        <v>0</v>
      </c>
      <c r="N26" s="233">
        <f t="shared" si="7"/>
        <v>0</v>
      </c>
      <c r="O26" s="233">
        <f>IFERROR(VLOOKUP(A26,TOTAL_HORAS,79,FALSE),0)</f>
        <v>0</v>
      </c>
      <c r="P26" s="233"/>
      <c r="Q26" s="233"/>
      <c r="R26" s="231">
        <f t="shared" si="8"/>
        <v>29.829545454545453</v>
      </c>
      <c r="S26" s="231">
        <f t="shared" si="9"/>
        <v>32.8125</v>
      </c>
      <c r="T26" s="231">
        <f t="shared" si="10"/>
        <v>28.532608695652176</v>
      </c>
      <c r="U26" s="231">
        <f t="shared" si="11"/>
        <v>36.458333333333336</v>
      </c>
      <c r="V26" s="231">
        <f t="shared" si="12"/>
        <v>29.829545454545453</v>
      </c>
      <c r="W26" s="231">
        <f t="shared" si="13"/>
        <v>31.25</v>
      </c>
      <c r="X26" s="231">
        <f t="shared" si="14"/>
        <v>32.8125</v>
      </c>
      <c r="Y26" s="231">
        <f t="shared" si="15"/>
        <v>29.829545454545453</v>
      </c>
      <c r="Z26" s="231">
        <f t="shared" si="16"/>
        <v>31.25</v>
      </c>
      <c r="AA26" s="231"/>
      <c r="AB26" s="231"/>
      <c r="AC26" s="231"/>
      <c r="AD26" s="230">
        <f t="shared" si="28"/>
        <v>715.90909090909088</v>
      </c>
      <c r="AE26" s="230">
        <f t="shared" si="21"/>
        <v>0</v>
      </c>
      <c r="AF26" s="230">
        <f t="shared" si="22"/>
        <v>0</v>
      </c>
      <c r="AG26" s="230">
        <f t="shared" si="23"/>
        <v>0</v>
      </c>
      <c r="AH26" s="230">
        <f t="shared" si="24"/>
        <v>0</v>
      </c>
      <c r="AI26" s="230">
        <f t="shared" si="25"/>
        <v>0</v>
      </c>
      <c r="AJ26" s="230">
        <f t="shared" si="26"/>
        <v>0</v>
      </c>
      <c r="AK26" s="230">
        <f t="shared" si="27"/>
        <v>0</v>
      </c>
      <c r="AL26" s="230">
        <f t="shared" si="27"/>
        <v>0</v>
      </c>
      <c r="AM26" s="230">
        <f t="shared" si="27"/>
        <v>0</v>
      </c>
      <c r="AN26" s="230">
        <f t="shared" si="27"/>
        <v>0</v>
      </c>
      <c r="AO26" s="230">
        <f t="shared" si="27"/>
        <v>0</v>
      </c>
    </row>
    <row r="27" spans="1:41" ht="15.75" customHeight="1" x14ac:dyDescent="0.25">
      <c r="A27" s="251" t="s">
        <v>899</v>
      </c>
      <c r="B27" s="251" t="s">
        <v>25</v>
      </c>
      <c r="C27" s="251" t="s">
        <v>44</v>
      </c>
      <c r="D27" s="251" t="s">
        <v>42</v>
      </c>
      <c r="E27" s="251" t="s">
        <v>304</v>
      </c>
      <c r="F27" s="233">
        <f t="shared" si="0"/>
        <v>168</v>
      </c>
      <c r="G27" s="233">
        <f t="shared" si="1"/>
        <v>160</v>
      </c>
      <c r="H27" s="233">
        <f t="shared" si="2"/>
        <v>184</v>
      </c>
      <c r="I27" s="233">
        <f t="shared" si="3"/>
        <v>144</v>
      </c>
      <c r="J27" s="233">
        <f t="shared" si="4"/>
        <v>176</v>
      </c>
      <c r="K27" s="233">
        <f t="shared" si="5"/>
        <v>168</v>
      </c>
      <c r="L27" s="233">
        <f t="shared" si="6"/>
        <v>160</v>
      </c>
      <c r="M27" s="233">
        <f t="shared" si="19"/>
        <v>136</v>
      </c>
      <c r="N27" s="233">
        <f t="shared" si="7"/>
        <v>168</v>
      </c>
      <c r="O27" s="233">
        <f>IFERROR(VLOOKUP(A27,TOTAL_HORAS,79,FALSE),0)</f>
        <v>40</v>
      </c>
      <c r="P27" s="233"/>
      <c r="Q27" s="233"/>
      <c r="R27" s="231">
        <f t="shared" si="8"/>
        <v>22.15909090909091</v>
      </c>
      <c r="S27" s="231">
        <f t="shared" si="9"/>
        <v>24.375</v>
      </c>
      <c r="T27" s="231">
        <f t="shared" si="10"/>
        <v>21.195652173913043</v>
      </c>
      <c r="U27" s="231">
        <f t="shared" si="11"/>
        <v>27.083333333333332</v>
      </c>
      <c r="V27" s="231">
        <f t="shared" si="12"/>
        <v>22.15909090909091</v>
      </c>
      <c r="W27" s="231">
        <f t="shared" si="13"/>
        <v>23.214285714285715</v>
      </c>
      <c r="X27" s="231">
        <f t="shared" si="14"/>
        <v>24.375</v>
      </c>
      <c r="Y27" s="231">
        <f t="shared" si="15"/>
        <v>22.15909090909091</v>
      </c>
      <c r="Z27" s="231">
        <f t="shared" si="16"/>
        <v>23.214285714285715</v>
      </c>
      <c r="AA27" s="231"/>
      <c r="AB27" s="231"/>
      <c r="AC27" s="231"/>
      <c r="AD27" s="230">
        <f t="shared" si="28"/>
        <v>3722.727272727273</v>
      </c>
      <c r="AE27" s="230">
        <f t="shared" si="21"/>
        <v>3900</v>
      </c>
      <c r="AF27" s="230">
        <f t="shared" si="22"/>
        <v>3900</v>
      </c>
      <c r="AG27" s="230">
        <f t="shared" si="23"/>
        <v>3900</v>
      </c>
      <c r="AH27" s="230">
        <f t="shared" si="24"/>
        <v>3900</v>
      </c>
      <c r="AI27" s="230">
        <f t="shared" si="25"/>
        <v>3900</v>
      </c>
      <c r="AJ27" s="230">
        <f t="shared" si="26"/>
        <v>3900</v>
      </c>
      <c r="AK27" s="230">
        <f t="shared" si="27"/>
        <v>3013.636363636364</v>
      </c>
      <c r="AL27" s="230">
        <f t="shared" si="27"/>
        <v>3900</v>
      </c>
      <c r="AM27" s="230">
        <f t="shared" si="27"/>
        <v>0</v>
      </c>
      <c r="AN27" s="230">
        <f t="shared" si="27"/>
        <v>0</v>
      </c>
      <c r="AO27" s="230">
        <f t="shared" si="27"/>
        <v>0</v>
      </c>
    </row>
    <row r="28" spans="1:41" ht="15.75" customHeight="1" x14ac:dyDescent="0.25">
      <c r="A28" s="251" t="s">
        <v>692</v>
      </c>
      <c r="B28" s="251" t="s">
        <v>9</v>
      </c>
      <c r="C28" s="251" t="s">
        <v>44</v>
      </c>
      <c r="D28" s="251" t="s">
        <v>42</v>
      </c>
      <c r="E28" s="251" t="s">
        <v>304</v>
      </c>
      <c r="F28" s="233">
        <f t="shared" si="0"/>
        <v>176</v>
      </c>
      <c r="G28" s="233">
        <f t="shared" si="1"/>
        <v>160</v>
      </c>
      <c r="H28" s="233">
        <f t="shared" si="2"/>
        <v>184</v>
      </c>
      <c r="I28" s="233">
        <f t="shared" si="3"/>
        <v>144</v>
      </c>
      <c r="J28" s="233">
        <f t="shared" si="4"/>
        <v>176</v>
      </c>
      <c r="K28" s="233">
        <f t="shared" si="5"/>
        <v>168</v>
      </c>
      <c r="L28" s="233">
        <f t="shared" si="6"/>
        <v>160</v>
      </c>
      <c r="M28" s="233">
        <f t="shared" si="19"/>
        <v>176</v>
      </c>
      <c r="N28" s="233">
        <f t="shared" si="7"/>
        <v>168</v>
      </c>
      <c r="O28" s="233">
        <f>IFERROR(VLOOKUP(A28,TOTAL_HORAS,79,FALSE),0)</f>
        <v>40</v>
      </c>
      <c r="P28" s="233"/>
      <c r="Q28" s="233"/>
      <c r="R28" s="231">
        <f t="shared" si="8"/>
        <v>19.886363636363637</v>
      </c>
      <c r="S28" s="231">
        <f t="shared" si="9"/>
        <v>21.875</v>
      </c>
      <c r="T28" s="231">
        <f t="shared" si="10"/>
        <v>19.021739130434781</v>
      </c>
      <c r="U28" s="231">
        <f t="shared" si="11"/>
        <v>24.305555555555557</v>
      </c>
      <c r="V28" s="231">
        <f t="shared" si="12"/>
        <v>19.886363636363637</v>
      </c>
      <c r="W28" s="231">
        <f t="shared" si="13"/>
        <v>20.833333333333332</v>
      </c>
      <c r="X28" s="231">
        <f t="shared" si="14"/>
        <v>21.875</v>
      </c>
      <c r="Y28" s="231">
        <f t="shared" si="15"/>
        <v>25.852272727272727</v>
      </c>
      <c r="Z28" s="231">
        <f t="shared" si="16"/>
        <v>27.741071428571427</v>
      </c>
      <c r="AA28" s="231"/>
      <c r="AB28" s="231"/>
      <c r="AC28" s="231"/>
      <c r="AD28" s="230">
        <f t="shared" si="28"/>
        <v>3500</v>
      </c>
      <c r="AE28" s="230">
        <f t="shared" si="21"/>
        <v>3500</v>
      </c>
      <c r="AF28" s="230">
        <f t="shared" si="22"/>
        <v>3500</v>
      </c>
      <c r="AG28" s="230">
        <f t="shared" si="23"/>
        <v>3500</v>
      </c>
      <c r="AH28" s="230">
        <f t="shared" si="24"/>
        <v>3500</v>
      </c>
      <c r="AI28" s="230">
        <f t="shared" si="25"/>
        <v>3500</v>
      </c>
      <c r="AJ28" s="230">
        <f t="shared" si="26"/>
        <v>3500</v>
      </c>
      <c r="AK28" s="230">
        <f t="shared" si="27"/>
        <v>4550</v>
      </c>
      <c r="AL28" s="230">
        <f t="shared" si="27"/>
        <v>4660.5</v>
      </c>
      <c r="AM28" s="230">
        <f t="shared" si="27"/>
        <v>0</v>
      </c>
      <c r="AN28" s="230">
        <f t="shared" si="27"/>
        <v>0</v>
      </c>
      <c r="AO28" s="230">
        <f t="shared" si="27"/>
        <v>0</v>
      </c>
    </row>
    <row r="29" spans="1:41" ht="15.75" customHeight="1" x14ac:dyDescent="0.25">
      <c r="A29" s="251" t="s">
        <v>693</v>
      </c>
      <c r="B29" s="251" t="s">
        <v>8</v>
      </c>
      <c r="C29" s="251" t="s">
        <v>44</v>
      </c>
      <c r="D29" s="251" t="s">
        <v>42</v>
      </c>
      <c r="E29" s="251" t="s">
        <v>304</v>
      </c>
      <c r="F29" s="233">
        <f t="shared" si="0"/>
        <v>136</v>
      </c>
      <c r="G29" s="233">
        <f t="shared" si="1"/>
        <v>160</v>
      </c>
      <c r="H29" s="233">
        <f t="shared" si="2"/>
        <v>176</v>
      </c>
      <c r="I29" s="233">
        <f t="shared" si="3"/>
        <v>144</v>
      </c>
      <c r="J29" s="233">
        <f t="shared" si="4"/>
        <v>176</v>
      </c>
      <c r="K29" s="233">
        <f t="shared" si="5"/>
        <v>168</v>
      </c>
      <c r="L29" s="233">
        <f t="shared" si="6"/>
        <v>160</v>
      </c>
      <c r="M29" s="233">
        <f t="shared" si="19"/>
        <v>176</v>
      </c>
      <c r="N29" s="233">
        <f t="shared" si="7"/>
        <v>168</v>
      </c>
      <c r="O29" s="233">
        <f>IFERROR(VLOOKUP(A29,TOTAL_HORAS,79,FALSE),0)</f>
        <v>40</v>
      </c>
      <c r="P29" s="233"/>
      <c r="Q29" s="233"/>
      <c r="R29" s="231">
        <f t="shared" si="8"/>
        <v>35.951704545454547</v>
      </c>
      <c r="S29" s="231">
        <f t="shared" si="9"/>
        <v>39.546875</v>
      </c>
      <c r="T29" s="231">
        <f t="shared" si="10"/>
        <v>34.388586956521742</v>
      </c>
      <c r="U29" s="231">
        <f t="shared" si="11"/>
        <v>43.940972222222221</v>
      </c>
      <c r="V29" s="231">
        <f t="shared" si="12"/>
        <v>35.951704545454547</v>
      </c>
      <c r="W29" s="231">
        <f t="shared" si="13"/>
        <v>37.663690476190474</v>
      </c>
      <c r="X29" s="231">
        <f t="shared" si="14"/>
        <v>39.546875</v>
      </c>
      <c r="Y29" s="231">
        <f t="shared" si="15"/>
        <v>35.227272727272727</v>
      </c>
      <c r="Z29" s="231">
        <f t="shared" si="16"/>
        <v>37.663690476190474</v>
      </c>
      <c r="AA29" s="231"/>
      <c r="AB29" s="231"/>
      <c r="AC29" s="231"/>
      <c r="AD29" s="230">
        <f t="shared" si="28"/>
        <v>4889.431818181818</v>
      </c>
      <c r="AE29" s="230">
        <f t="shared" si="21"/>
        <v>6327.5</v>
      </c>
      <c r="AF29" s="230">
        <f t="shared" si="22"/>
        <v>6052.3913043478269</v>
      </c>
      <c r="AG29" s="230">
        <f t="shared" si="23"/>
        <v>6327.5</v>
      </c>
      <c r="AH29" s="230">
        <f t="shared" si="24"/>
        <v>6327.5</v>
      </c>
      <c r="AI29" s="230">
        <f t="shared" si="25"/>
        <v>6327.5</v>
      </c>
      <c r="AJ29" s="230">
        <f t="shared" si="26"/>
        <v>6327.5</v>
      </c>
      <c r="AK29" s="230">
        <f t="shared" si="27"/>
        <v>6200</v>
      </c>
      <c r="AL29" s="230">
        <f t="shared" si="27"/>
        <v>6327.5</v>
      </c>
      <c r="AM29" s="230">
        <f t="shared" si="27"/>
        <v>0</v>
      </c>
      <c r="AN29" s="230">
        <f t="shared" si="27"/>
        <v>0</v>
      </c>
      <c r="AO29" s="230">
        <f t="shared" si="27"/>
        <v>0</v>
      </c>
    </row>
    <row r="30" spans="1:41" ht="15.75" customHeight="1" x14ac:dyDescent="0.25">
      <c r="A30" s="251" t="s">
        <v>694</v>
      </c>
      <c r="B30" s="251" t="s">
        <v>12</v>
      </c>
      <c r="C30" s="251" t="s">
        <v>44</v>
      </c>
      <c r="D30" s="251" t="s">
        <v>42</v>
      </c>
      <c r="E30" s="251" t="s">
        <v>304</v>
      </c>
      <c r="F30" s="233">
        <f t="shared" si="0"/>
        <v>176</v>
      </c>
      <c r="G30" s="233">
        <f t="shared" si="1"/>
        <v>160</v>
      </c>
      <c r="H30" s="233">
        <f t="shared" si="2"/>
        <v>184</v>
      </c>
      <c r="I30" s="233">
        <f t="shared" si="3"/>
        <v>144</v>
      </c>
      <c r="J30" s="233">
        <f t="shared" si="4"/>
        <v>176</v>
      </c>
      <c r="K30" s="233">
        <f t="shared" si="5"/>
        <v>168</v>
      </c>
      <c r="L30" s="233">
        <f t="shared" si="6"/>
        <v>152</v>
      </c>
      <c r="M30" s="233">
        <f t="shared" si="19"/>
        <v>136</v>
      </c>
      <c r="N30" s="233">
        <f t="shared" si="7"/>
        <v>0</v>
      </c>
      <c r="O30" s="233">
        <f>IFERROR(VLOOKUP(A30,TOTAL_HORAS,79,FALSE),0)</f>
        <v>0</v>
      </c>
      <c r="P30" s="233"/>
      <c r="Q30" s="233"/>
      <c r="R30" s="231">
        <f t="shared" si="8"/>
        <v>39.076704545454547</v>
      </c>
      <c r="S30" s="231">
        <f t="shared" si="9"/>
        <v>42.984375</v>
      </c>
      <c r="T30" s="231">
        <f t="shared" si="10"/>
        <v>37.377717391304351</v>
      </c>
      <c r="U30" s="231">
        <f t="shared" si="11"/>
        <v>47.760416666666664</v>
      </c>
      <c r="V30" s="231">
        <f t="shared" si="12"/>
        <v>39.076704545454547</v>
      </c>
      <c r="W30" s="231">
        <f t="shared" si="13"/>
        <v>40.9375</v>
      </c>
      <c r="X30" s="231">
        <f t="shared" si="14"/>
        <v>42.984375</v>
      </c>
      <c r="Y30" s="231">
        <f t="shared" si="15"/>
        <v>46.875</v>
      </c>
      <c r="Z30" s="231">
        <f t="shared" si="16"/>
        <v>49.866071428571431</v>
      </c>
      <c r="AA30" s="231"/>
      <c r="AB30" s="231"/>
      <c r="AC30" s="231"/>
      <c r="AD30" s="230">
        <f t="shared" si="28"/>
        <v>6877.5</v>
      </c>
      <c r="AE30" s="230">
        <f t="shared" si="21"/>
        <v>6877.5</v>
      </c>
      <c r="AF30" s="230">
        <f t="shared" si="22"/>
        <v>6877.5000000000009</v>
      </c>
      <c r="AG30" s="230">
        <f t="shared" si="23"/>
        <v>6877.5</v>
      </c>
      <c r="AH30" s="230">
        <f t="shared" si="24"/>
        <v>6877.5</v>
      </c>
      <c r="AI30" s="230">
        <f t="shared" si="25"/>
        <v>6877.5</v>
      </c>
      <c r="AJ30" s="230">
        <f t="shared" si="26"/>
        <v>6533.625</v>
      </c>
      <c r="AK30" s="230">
        <f t="shared" si="27"/>
        <v>6375</v>
      </c>
      <c r="AL30" s="230">
        <f t="shared" si="27"/>
        <v>0</v>
      </c>
      <c r="AM30" s="230">
        <f t="shared" si="27"/>
        <v>0</v>
      </c>
      <c r="AN30" s="230">
        <f t="shared" si="27"/>
        <v>0</v>
      </c>
      <c r="AO30" s="230">
        <f t="shared" si="27"/>
        <v>0</v>
      </c>
    </row>
    <row r="31" spans="1:41" ht="15.75" customHeight="1" x14ac:dyDescent="0.25">
      <c r="A31" s="251" t="s">
        <v>695</v>
      </c>
      <c r="B31" s="251" t="s">
        <v>14</v>
      </c>
      <c r="C31" s="251" t="s">
        <v>44</v>
      </c>
      <c r="D31" s="251" t="s">
        <v>42</v>
      </c>
      <c r="E31" s="251" t="s">
        <v>304</v>
      </c>
      <c r="F31" s="233">
        <f t="shared" si="0"/>
        <v>176</v>
      </c>
      <c r="G31" s="233">
        <f t="shared" si="1"/>
        <v>160</v>
      </c>
      <c r="H31" s="233">
        <f t="shared" si="2"/>
        <v>184</v>
      </c>
      <c r="I31" s="233">
        <f t="shared" si="3"/>
        <v>144</v>
      </c>
      <c r="J31" s="233">
        <f t="shared" si="4"/>
        <v>176</v>
      </c>
      <c r="K31" s="233">
        <f t="shared" si="5"/>
        <v>168</v>
      </c>
      <c r="L31" s="233">
        <f t="shared" si="6"/>
        <v>160</v>
      </c>
      <c r="M31" s="233">
        <f t="shared" si="19"/>
        <v>176</v>
      </c>
      <c r="N31" s="233">
        <f t="shared" si="7"/>
        <v>168</v>
      </c>
      <c r="O31" s="233">
        <f>IFERROR(VLOOKUP(A31,TOTAL_HORAS,79,FALSE),0)</f>
        <v>40</v>
      </c>
      <c r="P31" s="233"/>
      <c r="Q31" s="233"/>
      <c r="R31" s="231">
        <f t="shared" si="8"/>
        <v>31.25</v>
      </c>
      <c r="S31" s="231">
        <f t="shared" si="9"/>
        <v>34.375</v>
      </c>
      <c r="T31" s="231">
        <f t="shared" si="10"/>
        <v>29.891304347826086</v>
      </c>
      <c r="U31" s="231">
        <f t="shared" si="11"/>
        <v>38.194444444444443</v>
      </c>
      <c r="V31" s="231">
        <f t="shared" si="12"/>
        <v>31.25</v>
      </c>
      <c r="W31" s="231">
        <f t="shared" si="13"/>
        <v>32.738095238095241</v>
      </c>
      <c r="X31" s="231">
        <f t="shared" si="14"/>
        <v>34.375</v>
      </c>
      <c r="Y31" s="231">
        <f t="shared" si="15"/>
        <v>31.25</v>
      </c>
      <c r="Z31" s="231">
        <f t="shared" si="16"/>
        <v>32.738095238095241</v>
      </c>
      <c r="AA31" s="231"/>
      <c r="AB31" s="231"/>
      <c r="AC31" s="231"/>
      <c r="AD31" s="230">
        <f t="shared" si="28"/>
        <v>5500</v>
      </c>
      <c r="AE31" s="230">
        <f t="shared" si="21"/>
        <v>5500</v>
      </c>
      <c r="AF31" s="230">
        <f t="shared" si="22"/>
        <v>5500</v>
      </c>
      <c r="AG31" s="230">
        <f t="shared" si="23"/>
        <v>5500</v>
      </c>
      <c r="AH31" s="230">
        <f t="shared" si="24"/>
        <v>5500</v>
      </c>
      <c r="AI31" s="230">
        <f t="shared" si="25"/>
        <v>5500</v>
      </c>
      <c r="AJ31" s="230">
        <f t="shared" si="26"/>
        <v>5500</v>
      </c>
      <c r="AK31" s="230">
        <f t="shared" si="27"/>
        <v>5500</v>
      </c>
      <c r="AL31" s="230">
        <f t="shared" si="27"/>
        <v>5500</v>
      </c>
      <c r="AM31" s="230">
        <f t="shared" si="27"/>
        <v>0</v>
      </c>
      <c r="AN31" s="230">
        <f t="shared" si="27"/>
        <v>0</v>
      </c>
      <c r="AO31" s="230">
        <f t="shared" si="27"/>
        <v>0</v>
      </c>
    </row>
    <row r="32" spans="1:41" ht="15.75" customHeight="1" x14ac:dyDescent="0.25">
      <c r="A32" s="251" t="s">
        <v>696</v>
      </c>
      <c r="B32" s="251" t="s">
        <v>18</v>
      </c>
      <c r="C32" s="251" t="s">
        <v>208</v>
      </c>
      <c r="D32" s="251" t="s">
        <v>208</v>
      </c>
      <c r="E32" s="251" t="s">
        <v>210</v>
      </c>
      <c r="F32" s="233">
        <f t="shared" si="0"/>
        <v>0</v>
      </c>
      <c r="G32" s="233">
        <f t="shared" si="1"/>
        <v>0</v>
      </c>
      <c r="H32" s="233">
        <f t="shared" si="2"/>
        <v>0</v>
      </c>
      <c r="I32" s="233">
        <f t="shared" si="3"/>
        <v>8</v>
      </c>
      <c r="J32" s="233">
        <f t="shared" si="4"/>
        <v>0</v>
      </c>
      <c r="K32" s="233">
        <f t="shared" si="5"/>
        <v>24</v>
      </c>
      <c r="L32" s="233">
        <f t="shared" si="6"/>
        <v>0</v>
      </c>
      <c r="M32" s="233">
        <f t="shared" si="19"/>
        <v>0</v>
      </c>
      <c r="N32" s="233">
        <f t="shared" si="7"/>
        <v>0</v>
      </c>
      <c r="O32" s="233">
        <f>IFERROR(VLOOKUP(A32,TOTAL_HORAS,79,FALSE),0)</f>
        <v>0</v>
      </c>
      <c r="P32" s="233"/>
      <c r="Q32" s="233"/>
      <c r="R32" s="231">
        <f t="shared" si="8"/>
        <v>40.497159090909093</v>
      </c>
      <c r="S32" s="231">
        <f t="shared" si="9"/>
        <v>44.546875</v>
      </c>
      <c r="T32" s="231">
        <f t="shared" si="10"/>
        <v>38.736413043478258</v>
      </c>
      <c r="U32" s="231">
        <f t="shared" si="11"/>
        <v>49.496527777777779</v>
      </c>
      <c r="V32" s="231">
        <f t="shared" si="12"/>
        <v>40.497159090909093</v>
      </c>
      <c r="W32" s="231">
        <f t="shared" si="13"/>
        <v>42.425595238095241</v>
      </c>
      <c r="X32" s="231">
        <f t="shared" si="14"/>
        <v>44.546875</v>
      </c>
      <c r="Y32" s="231">
        <f t="shared" si="15"/>
        <v>40.497159090909093</v>
      </c>
      <c r="Z32" s="231">
        <f t="shared" si="16"/>
        <v>42.425595238095241</v>
      </c>
      <c r="AA32" s="231"/>
      <c r="AB32" s="231"/>
      <c r="AC32" s="231"/>
      <c r="AD32" s="230">
        <f t="shared" si="28"/>
        <v>0</v>
      </c>
      <c r="AE32" s="230">
        <f t="shared" si="21"/>
        <v>0</v>
      </c>
      <c r="AF32" s="230">
        <f t="shared" si="22"/>
        <v>0</v>
      </c>
      <c r="AG32" s="230">
        <f t="shared" si="23"/>
        <v>395.97222222222223</v>
      </c>
      <c r="AH32" s="230">
        <f t="shared" si="24"/>
        <v>0</v>
      </c>
      <c r="AI32" s="230">
        <f t="shared" si="25"/>
        <v>1018.2142857142858</v>
      </c>
      <c r="AJ32" s="230">
        <f t="shared" si="26"/>
        <v>0</v>
      </c>
      <c r="AK32" s="230">
        <f t="shared" si="27"/>
        <v>0</v>
      </c>
      <c r="AL32" s="230">
        <f t="shared" si="27"/>
        <v>0</v>
      </c>
      <c r="AM32" s="230">
        <f t="shared" si="27"/>
        <v>0</v>
      </c>
      <c r="AN32" s="230">
        <f t="shared" si="27"/>
        <v>0</v>
      </c>
      <c r="AO32" s="230">
        <f t="shared" si="27"/>
        <v>0</v>
      </c>
    </row>
    <row r="33" spans="1:41" ht="15.75" customHeight="1" x14ac:dyDescent="0.25">
      <c r="A33" s="251" t="s">
        <v>936</v>
      </c>
      <c r="B33" s="251" t="s">
        <v>18</v>
      </c>
      <c r="C33" s="251" t="s">
        <v>209</v>
      </c>
      <c r="D33" s="251" t="s">
        <v>209</v>
      </c>
      <c r="E33" s="251" t="s">
        <v>243</v>
      </c>
      <c r="F33" s="233">
        <f t="shared" si="0"/>
        <v>0</v>
      </c>
      <c r="G33" s="233">
        <f t="shared" si="1"/>
        <v>0</v>
      </c>
      <c r="H33" s="233">
        <f t="shared" si="2"/>
        <v>0</v>
      </c>
      <c r="I33" s="233">
        <f t="shared" si="3"/>
        <v>0</v>
      </c>
      <c r="J33" s="233">
        <f t="shared" si="4"/>
        <v>0</v>
      </c>
      <c r="K33" s="233">
        <f t="shared" si="5"/>
        <v>0</v>
      </c>
      <c r="L33" s="233">
        <f t="shared" si="6"/>
        <v>0</v>
      </c>
      <c r="M33" s="233">
        <f t="shared" si="19"/>
        <v>0</v>
      </c>
      <c r="N33" s="233">
        <f t="shared" si="7"/>
        <v>40</v>
      </c>
      <c r="O33" s="233">
        <f>IFERROR(VLOOKUP(A33,TOTAL_HORAS,79,FALSE),0)</f>
        <v>40</v>
      </c>
      <c r="P33" s="233"/>
      <c r="Q33" s="233"/>
      <c r="R33" s="231">
        <f t="shared" si="8"/>
        <v>40.497159090909093</v>
      </c>
      <c r="S33" s="231">
        <f t="shared" si="9"/>
        <v>44.546875</v>
      </c>
      <c r="T33" s="231">
        <f t="shared" si="10"/>
        <v>38.736413043478258</v>
      </c>
      <c r="U33" s="231">
        <f t="shared" si="11"/>
        <v>49.496527777777779</v>
      </c>
      <c r="V33" s="231">
        <f t="shared" si="12"/>
        <v>40.497159090909093</v>
      </c>
      <c r="W33" s="231">
        <f t="shared" si="13"/>
        <v>42.425595238095241</v>
      </c>
      <c r="X33" s="231">
        <f t="shared" si="14"/>
        <v>44.546875</v>
      </c>
      <c r="Y33" s="231">
        <f t="shared" si="15"/>
        <v>40.497159090909093</v>
      </c>
      <c r="Z33" s="231">
        <f t="shared" si="16"/>
        <v>42.425595238095241</v>
      </c>
      <c r="AA33" s="231"/>
      <c r="AB33" s="231"/>
      <c r="AC33" s="231"/>
      <c r="AD33" s="230">
        <f t="shared" si="28"/>
        <v>0</v>
      </c>
      <c r="AE33" s="230">
        <f t="shared" si="21"/>
        <v>0</v>
      </c>
      <c r="AF33" s="230">
        <f t="shared" si="22"/>
        <v>0</v>
      </c>
      <c r="AG33" s="230">
        <f t="shared" si="23"/>
        <v>0</v>
      </c>
      <c r="AH33" s="230">
        <f t="shared" si="24"/>
        <v>0</v>
      </c>
      <c r="AI33" s="230">
        <f t="shared" si="25"/>
        <v>0</v>
      </c>
      <c r="AJ33" s="230">
        <f t="shared" si="26"/>
        <v>0</v>
      </c>
      <c r="AK33" s="230">
        <f t="shared" si="27"/>
        <v>0</v>
      </c>
      <c r="AL33" s="230">
        <f t="shared" si="27"/>
        <v>1697.0238095238096</v>
      </c>
      <c r="AM33" s="230">
        <f t="shared" si="27"/>
        <v>0</v>
      </c>
      <c r="AN33" s="230">
        <f t="shared" si="27"/>
        <v>0</v>
      </c>
      <c r="AO33" s="230">
        <f t="shared" si="27"/>
        <v>0</v>
      </c>
    </row>
    <row r="34" spans="1:41" ht="15.75" customHeight="1" x14ac:dyDescent="0.25">
      <c r="A34" s="251" t="s">
        <v>697</v>
      </c>
      <c r="B34" s="251" t="s">
        <v>18</v>
      </c>
      <c r="C34" s="251" t="s">
        <v>44</v>
      </c>
      <c r="D34" s="251" t="s">
        <v>42</v>
      </c>
      <c r="E34" s="251" t="s">
        <v>304</v>
      </c>
      <c r="F34" s="233">
        <f t="shared" si="0"/>
        <v>176</v>
      </c>
      <c r="G34" s="233">
        <f t="shared" si="1"/>
        <v>160</v>
      </c>
      <c r="H34" s="233">
        <f t="shared" si="2"/>
        <v>184</v>
      </c>
      <c r="I34" s="233">
        <f t="shared" si="3"/>
        <v>136</v>
      </c>
      <c r="J34" s="233">
        <f t="shared" si="4"/>
        <v>176</v>
      </c>
      <c r="K34" s="233">
        <f t="shared" si="5"/>
        <v>144</v>
      </c>
      <c r="L34" s="233">
        <f t="shared" si="6"/>
        <v>160</v>
      </c>
      <c r="M34" s="233">
        <f t="shared" si="19"/>
        <v>176</v>
      </c>
      <c r="N34" s="233">
        <f t="shared" si="7"/>
        <v>128</v>
      </c>
      <c r="O34" s="233">
        <f>IFERROR(VLOOKUP(A34,TOTAL_HORAS,79,FALSE),0)</f>
        <v>0</v>
      </c>
      <c r="P34" s="233"/>
      <c r="Q34" s="233"/>
      <c r="R34" s="231">
        <f t="shared" si="8"/>
        <v>40.497159090909093</v>
      </c>
      <c r="S34" s="231">
        <f t="shared" si="9"/>
        <v>44.546875</v>
      </c>
      <c r="T34" s="231">
        <f t="shared" si="10"/>
        <v>38.736413043478258</v>
      </c>
      <c r="U34" s="231">
        <f t="shared" si="11"/>
        <v>49.496527777777779</v>
      </c>
      <c r="V34" s="231">
        <f t="shared" si="12"/>
        <v>40.497159090909093</v>
      </c>
      <c r="W34" s="231">
        <f t="shared" si="13"/>
        <v>42.425595238095241</v>
      </c>
      <c r="X34" s="231">
        <f t="shared" si="14"/>
        <v>44.546875</v>
      </c>
      <c r="Y34" s="231">
        <f t="shared" si="15"/>
        <v>40.497159090909093</v>
      </c>
      <c r="Z34" s="231">
        <f t="shared" si="16"/>
        <v>42.425595238095241</v>
      </c>
      <c r="AA34" s="231"/>
      <c r="AB34" s="231"/>
      <c r="AC34" s="231"/>
      <c r="AD34" s="230">
        <f t="shared" si="28"/>
        <v>7127.5</v>
      </c>
      <c r="AE34" s="230">
        <f t="shared" si="21"/>
        <v>7127.5</v>
      </c>
      <c r="AF34" s="230">
        <f t="shared" si="22"/>
        <v>7127.4999999999991</v>
      </c>
      <c r="AG34" s="230">
        <f t="shared" si="23"/>
        <v>6731.5277777777783</v>
      </c>
      <c r="AH34" s="230">
        <f t="shared" si="24"/>
        <v>7127.5</v>
      </c>
      <c r="AI34" s="230">
        <f t="shared" si="25"/>
        <v>6109.2857142857147</v>
      </c>
      <c r="AJ34" s="230">
        <f t="shared" si="26"/>
        <v>7127.5</v>
      </c>
      <c r="AK34" s="230">
        <f t="shared" si="27"/>
        <v>7127.5</v>
      </c>
      <c r="AL34" s="230">
        <f t="shared" si="27"/>
        <v>5430.4761904761908</v>
      </c>
      <c r="AM34" s="230">
        <f t="shared" si="27"/>
        <v>0</v>
      </c>
      <c r="AN34" s="230">
        <f t="shared" si="27"/>
        <v>0</v>
      </c>
      <c r="AO34" s="230">
        <f t="shared" si="27"/>
        <v>0</v>
      </c>
    </row>
    <row r="35" spans="1:41" ht="15.75" customHeight="1" x14ac:dyDescent="0.25">
      <c r="A35" s="251" t="s">
        <v>698</v>
      </c>
      <c r="B35" s="251" t="s">
        <v>2</v>
      </c>
      <c r="C35" s="251" t="s">
        <v>209</v>
      </c>
      <c r="D35" s="251" t="s">
        <v>209</v>
      </c>
      <c r="E35" s="251" t="s">
        <v>243</v>
      </c>
      <c r="F35" s="233">
        <f t="shared" si="0"/>
        <v>40</v>
      </c>
      <c r="G35" s="233">
        <f t="shared" si="1"/>
        <v>0</v>
      </c>
      <c r="H35" s="233">
        <f t="shared" si="2"/>
        <v>0</v>
      </c>
      <c r="I35" s="233">
        <f t="shared" si="3"/>
        <v>0</v>
      </c>
      <c r="J35" s="233">
        <f t="shared" si="4"/>
        <v>8</v>
      </c>
      <c r="K35" s="233">
        <f t="shared" si="5"/>
        <v>8</v>
      </c>
      <c r="L35" s="233">
        <f t="shared" si="6"/>
        <v>0</v>
      </c>
      <c r="M35" s="233">
        <f t="shared" si="19"/>
        <v>0</v>
      </c>
      <c r="N35" s="233">
        <f t="shared" si="7"/>
        <v>0</v>
      </c>
      <c r="O35" s="233">
        <f>IFERROR(VLOOKUP(A35,TOTAL_HORAS,79,FALSE),0)</f>
        <v>0</v>
      </c>
      <c r="P35" s="233"/>
      <c r="Q35" s="233"/>
      <c r="R35" s="231">
        <f t="shared" si="8"/>
        <v>51.136363636363633</v>
      </c>
      <c r="S35" s="231">
        <f t="shared" si="9"/>
        <v>56.25</v>
      </c>
      <c r="T35" s="231">
        <f t="shared" si="10"/>
        <v>48.913043478260867</v>
      </c>
      <c r="U35" s="231">
        <f t="shared" si="11"/>
        <v>62.5</v>
      </c>
      <c r="V35" s="231">
        <f t="shared" si="12"/>
        <v>51.136363636363633</v>
      </c>
      <c r="W35" s="231">
        <f t="shared" si="13"/>
        <v>53.571428571428569</v>
      </c>
      <c r="X35" s="231">
        <f t="shared" si="14"/>
        <v>56.25</v>
      </c>
      <c r="Y35" s="231">
        <f t="shared" si="15"/>
        <v>51.136363636363633</v>
      </c>
      <c r="Z35" s="231">
        <f t="shared" si="16"/>
        <v>53.571428571428569</v>
      </c>
      <c r="AA35" s="231"/>
      <c r="AB35" s="231"/>
      <c r="AC35" s="231"/>
      <c r="AD35" s="230">
        <f t="shared" si="28"/>
        <v>2045.4545454545453</v>
      </c>
      <c r="AE35" s="230">
        <f t="shared" si="21"/>
        <v>0</v>
      </c>
      <c r="AF35" s="230">
        <f t="shared" si="22"/>
        <v>0</v>
      </c>
      <c r="AG35" s="230">
        <f t="shared" si="23"/>
        <v>0</v>
      </c>
      <c r="AH35" s="230">
        <f t="shared" si="24"/>
        <v>409.09090909090907</v>
      </c>
      <c r="AI35" s="230">
        <f t="shared" si="25"/>
        <v>428.57142857142856</v>
      </c>
      <c r="AJ35" s="230">
        <f t="shared" si="26"/>
        <v>0</v>
      </c>
      <c r="AK35" s="230">
        <f t="shared" si="27"/>
        <v>0</v>
      </c>
      <c r="AL35" s="230">
        <f t="shared" si="27"/>
        <v>0</v>
      </c>
      <c r="AM35" s="230">
        <f t="shared" si="27"/>
        <v>0</v>
      </c>
      <c r="AN35" s="230">
        <f t="shared" si="27"/>
        <v>0</v>
      </c>
      <c r="AO35" s="230">
        <f t="shared" si="27"/>
        <v>0</v>
      </c>
    </row>
    <row r="36" spans="1:41" ht="15.75" customHeight="1" x14ac:dyDescent="0.25">
      <c r="A36" s="251" t="s">
        <v>699</v>
      </c>
      <c r="B36" s="251" t="s">
        <v>2</v>
      </c>
      <c r="C36" s="251" t="s">
        <v>208</v>
      </c>
      <c r="D36" s="251" t="s">
        <v>208</v>
      </c>
      <c r="E36" s="251" t="s">
        <v>210</v>
      </c>
      <c r="F36" s="233">
        <f t="shared" si="0"/>
        <v>32</v>
      </c>
      <c r="G36" s="233">
        <f t="shared" si="1"/>
        <v>0</v>
      </c>
      <c r="H36" s="233">
        <f t="shared" si="2"/>
        <v>16</v>
      </c>
      <c r="I36" s="233">
        <f t="shared" si="3"/>
        <v>16</v>
      </c>
      <c r="J36" s="233">
        <f t="shared" si="4"/>
        <v>0</v>
      </c>
      <c r="K36" s="233">
        <f t="shared" si="5"/>
        <v>0</v>
      </c>
      <c r="L36" s="233">
        <f t="shared" si="6"/>
        <v>0</v>
      </c>
      <c r="M36" s="233">
        <f t="shared" si="19"/>
        <v>8</v>
      </c>
      <c r="N36" s="233">
        <f t="shared" si="7"/>
        <v>0</v>
      </c>
      <c r="O36" s="233">
        <f>IFERROR(VLOOKUP(A36,TOTAL_HORAS,79,FALSE),0)</f>
        <v>0</v>
      </c>
      <c r="P36" s="233"/>
      <c r="Q36" s="233"/>
      <c r="R36" s="231">
        <f t="shared" si="8"/>
        <v>51.136363636363633</v>
      </c>
      <c r="S36" s="231">
        <f t="shared" si="9"/>
        <v>56.25</v>
      </c>
      <c r="T36" s="231">
        <f t="shared" si="10"/>
        <v>48.913043478260867</v>
      </c>
      <c r="U36" s="231">
        <f t="shared" si="11"/>
        <v>62.5</v>
      </c>
      <c r="V36" s="231">
        <f t="shared" si="12"/>
        <v>51.136363636363633</v>
      </c>
      <c r="W36" s="231">
        <f t="shared" si="13"/>
        <v>53.571428571428569</v>
      </c>
      <c r="X36" s="231">
        <f t="shared" si="14"/>
        <v>56.25</v>
      </c>
      <c r="Y36" s="231">
        <f t="shared" si="15"/>
        <v>51.136363636363633</v>
      </c>
      <c r="Z36" s="231">
        <f t="shared" si="16"/>
        <v>53.571428571428569</v>
      </c>
      <c r="AA36" s="231"/>
      <c r="AB36" s="231"/>
      <c r="AC36" s="231"/>
      <c r="AD36" s="230">
        <f t="shared" si="28"/>
        <v>1636.3636363636363</v>
      </c>
      <c r="AE36" s="230">
        <f t="shared" si="21"/>
        <v>0</v>
      </c>
      <c r="AF36" s="230">
        <f t="shared" si="22"/>
        <v>782.60869565217388</v>
      </c>
      <c r="AG36" s="230">
        <f t="shared" si="23"/>
        <v>1000</v>
      </c>
      <c r="AH36" s="230">
        <f t="shared" si="24"/>
        <v>0</v>
      </c>
      <c r="AI36" s="230">
        <f t="shared" si="25"/>
        <v>0</v>
      </c>
      <c r="AJ36" s="230">
        <f t="shared" si="26"/>
        <v>0</v>
      </c>
      <c r="AK36" s="230">
        <f t="shared" si="27"/>
        <v>409.09090909090907</v>
      </c>
      <c r="AL36" s="230">
        <f t="shared" si="27"/>
        <v>0</v>
      </c>
      <c r="AM36" s="230">
        <f t="shared" si="27"/>
        <v>0</v>
      </c>
      <c r="AN36" s="230">
        <f t="shared" si="27"/>
        <v>0</v>
      </c>
      <c r="AO36" s="230">
        <f t="shared" si="27"/>
        <v>0</v>
      </c>
    </row>
    <row r="37" spans="1:41" ht="15.75" customHeight="1" x14ac:dyDescent="0.25">
      <c r="A37" s="251" t="s">
        <v>700</v>
      </c>
      <c r="B37" s="251" t="s">
        <v>2</v>
      </c>
      <c r="C37" s="251" t="s">
        <v>44</v>
      </c>
      <c r="D37" s="251" t="s">
        <v>42</v>
      </c>
      <c r="E37" s="251" t="s">
        <v>304</v>
      </c>
      <c r="F37" s="233">
        <f t="shared" si="0"/>
        <v>104</v>
      </c>
      <c r="G37" s="233">
        <f t="shared" si="1"/>
        <v>160</v>
      </c>
      <c r="H37" s="233">
        <f t="shared" si="2"/>
        <v>168</v>
      </c>
      <c r="I37" s="233">
        <f t="shared" si="3"/>
        <v>128</v>
      </c>
      <c r="J37" s="233">
        <f t="shared" si="4"/>
        <v>168</v>
      </c>
      <c r="K37" s="233">
        <f t="shared" si="5"/>
        <v>160</v>
      </c>
      <c r="L37" s="233">
        <f t="shared" si="6"/>
        <v>160</v>
      </c>
      <c r="M37" s="233">
        <f t="shared" si="19"/>
        <v>168</v>
      </c>
      <c r="N37" s="233">
        <f t="shared" si="7"/>
        <v>168</v>
      </c>
      <c r="O37" s="233">
        <f>IFERROR(VLOOKUP(A37,TOTAL_HORAS,79,FALSE),0)</f>
        <v>40</v>
      </c>
      <c r="P37" s="233"/>
      <c r="Q37" s="233"/>
      <c r="R37" s="231">
        <f t="shared" si="8"/>
        <v>51.136363636363633</v>
      </c>
      <c r="S37" s="231">
        <f t="shared" si="9"/>
        <v>56.25</v>
      </c>
      <c r="T37" s="231">
        <f t="shared" si="10"/>
        <v>48.913043478260867</v>
      </c>
      <c r="U37" s="231">
        <f t="shared" si="11"/>
        <v>62.5</v>
      </c>
      <c r="V37" s="231">
        <f t="shared" si="12"/>
        <v>51.136363636363633</v>
      </c>
      <c r="W37" s="231">
        <f t="shared" si="13"/>
        <v>53.571428571428569</v>
      </c>
      <c r="X37" s="231">
        <f t="shared" si="14"/>
        <v>56.25</v>
      </c>
      <c r="Y37" s="231">
        <f t="shared" si="15"/>
        <v>51.136363636363633</v>
      </c>
      <c r="Z37" s="231">
        <f t="shared" si="16"/>
        <v>53.571428571428569</v>
      </c>
      <c r="AA37" s="231"/>
      <c r="AB37" s="231"/>
      <c r="AC37" s="231"/>
      <c r="AD37" s="230">
        <f t="shared" si="28"/>
        <v>5318.181818181818</v>
      </c>
      <c r="AE37" s="230">
        <f t="shared" si="21"/>
        <v>9000</v>
      </c>
      <c r="AF37" s="230">
        <f t="shared" si="22"/>
        <v>8217.391304347826</v>
      </c>
      <c r="AG37" s="230">
        <f t="shared" si="23"/>
        <v>8000</v>
      </c>
      <c r="AH37" s="230">
        <f t="shared" si="24"/>
        <v>8590.9090909090901</v>
      </c>
      <c r="AI37" s="230">
        <f t="shared" si="25"/>
        <v>8571.4285714285706</v>
      </c>
      <c r="AJ37" s="230">
        <f t="shared" si="26"/>
        <v>9000</v>
      </c>
      <c r="AK37" s="230">
        <f t="shared" si="27"/>
        <v>8590.9090909090901</v>
      </c>
      <c r="AL37" s="230">
        <f t="shared" si="27"/>
        <v>9000</v>
      </c>
      <c r="AM37" s="230">
        <f t="shared" si="27"/>
        <v>0</v>
      </c>
      <c r="AN37" s="230">
        <f t="shared" si="27"/>
        <v>0</v>
      </c>
      <c r="AO37" s="230">
        <f t="shared" si="27"/>
        <v>0</v>
      </c>
    </row>
    <row r="38" spans="1:41" ht="15.75" customHeight="1" x14ac:dyDescent="0.25">
      <c r="A38" s="251" t="s">
        <v>701</v>
      </c>
      <c r="B38" s="251" t="s">
        <v>4</v>
      </c>
      <c r="C38" s="251" t="s">
        <v>44</v>
      </c>
      <c r="D38" s="251" t="s">
        <v>42</v>
      </c>
      <c r="E38" s="251" t="s">
        <v>304</v>
      </c>
      <c r="F38" s="233">
        <f t="shared" si="0"/>
        <v>0</v>
      </c>
      <c r="G38" s="233">
        <f t="shared" si="1"/>
        <v>160</v>
      </c>
      <c r="H38" s="233">
        <f t="shared" si="2"/>
        <v>184</v>
      </c>
      <c r="I38" s="233">
        <f t="shared" si="3"/>
        <v>144</v>
      </c>
      <c r="J38" s="233">
        <f t="shared" si="4"/>
        <v>176</v>
      </c>
      <c r="K38" s="233">
        <f t="shared" si="5"/>
        <v>168</v>
      </c>
      <c r="L38" s="233">
        <f t="shared" si="6"/>
        <v>160</v>
      </c>
      <c r="M38" s="233">
        <f t="shared" si="19"/>
        <v>176</v>
      </c>
      <c r="N38" s="233">
        <f t="shared" si="7"/>
        <v>168</v>
      </c>
      <c r="O38" s="233">
        <f>IFERROR(VLOOKUP(A38,TOTAL_HORAS,79,FALSE),0)</f>
        <v>40</v>
      </c>
      <c r="P38" s="233"/>
      <c r="Q38" s="233"/>
      <c r="R38" s="231">
        <f t="shared" si="8"/>
        <v>0</v>
      </c>
      <c r="S38" s="231">
        <f t="shared" si="9"/>
        <v>37.5</v>
      </c>
      <c r="T38" s="231">
        <f t="shared" si="10"/>
        <v>32.608695652173914</v>
      </c>
      <c r="U38" s="231">
        <f t="shared" si="11"/>
        <v>41.666666666666664</v>
      </c>
      <c r="V38" s="231">
        <f t="shared" si="12"/>
        <v>34.090909090909093</v>
      </c>
      <c r="W38" s="231">
        <f t="shared" si="13"/>
        <v>35.714285714285715</v>
      </c>
      <c r="X38" s="231">
        <f t="shared" si="14"/>
        <v>37.5</v>
      </c>
      <c r="Y38" s="231">
        <f t="shared" si="15"/>
        <v>34.090909090909093</v>
      </c>
      <c r="Z38" s="231">
        <f t="shared" si="16"/>
        <v>35.714285714285715</v>
      </c>
      <c r="AA38" s="231"/>
      <c r="AB38" s="231"/>
      <c r="AC38" s="231"/>
      <c r="AD38" s="230">
        <f t="shared" si="28"/>
        <v>0</v>
      </c>
      <c r="AE38" s="230">
        <f t="shared" si="21"/>
        <v>6000</v>
      </c>
      <c r="AF38" s="230">
        <f t="shared" si="22"/>
        <v>6000</v>
      </c>
      <c r="AG38" s="230">
        <f t="shared" si="23"/>
        <v>6000</v>
      </c>
      <c r="AH38" s="230">
        <f t="shared" si="24"/>
        <v>6000</v>
      </c>
      <c r="AI38" s="230">
        <f t="shared" si="25"/>
        <v>6000</v>
      </c>
      <c r="AJ38" s="230">
        <f t="shared" si="26"/>
        <v>6000</v>
      </c>
      <c r="AK38" s="230">
        <f t="shared" si="27"/>
        <v>6000</v>
      </c>
      <c r="AL38" s="230">
        <f t="shared" si="27"/>
        <v>6000</v>
      </c>
      <c r="AM38" s="230">
        <f t="shared" si="27"/>
        <v>0</v>
      </c>
      <c r="AN38" s="230">
        <f t="shared" si="27"/>
        <v>0</v>
      </c>
      <c r="AO38" s="230">
        <f t="shared" si="27"/>
        <v>0</v>
      </c>
    </row>
    <row r="39" spans="1:41" ht="15.75" customHeight="1" x14ac:dyDescent="0.25">
      <c r="A39" s="251" t="s">
        <v>702</v>
      </c>
      <c r="B39" s="251" t="s">
        <v>16</v>
      </c>
      <c r="C39" s="251" t="s">
        <v>208</v>
      </c>
      <c r="D39" s="251" t="s">
        <v>208</v>
      </c>
      <c r="E39" s="251" t="s">
        <v>210</v>
      </c>
      <c r="F39" s="233">
        <f t="shared" si="0"/>
        <v>0</v>
      </c>
      <c r="G39" s="233">
        <f t="shared" si="1"/>
        <v>0</v>
      </c>
      <c r="H39" s="233">
        <f t="shared" si="2"/>
        <v>16</v>
      </c>
      <c r="I39" s="233">
        <f t="shared" si="3"/>
        <v>0</v>
      </c>
      <c r="J39" s="233">
        <f t="shared" si="4"/>
        <v>8</v>
      </c>
      <c r="K39" s="233">
        <f t="shared" si="5"/>
        <v>8</v>
      </c>
      <c r="L39" s="233">
        <f t="shared" si="6"/>
        <v>8</v>
      </c>
      <c r="M39" s="233">
        <f t="shared" si="19"/>
        <v>0</v>
      </c>
      <c r="N39" s="233">
        <f t="shared" si="7"/>
        <v>0</v>
      </c>
      <c r="O39" s="233">
        <f>IFERROR(VLOOKUP(A39,TOTAL_HORAS,79,FALSE),0)</f>
        <v>0</v>
      </c>
      <c r="P39" s="233"/>
      <c r="Q39" s="233"/>
      <c r="R39" s="231">
        <f t="shared" si="8"/>
        <v>34.090909090909093</v>
      </c>
      <c r="S39" s="231">
        <f t="shared" si="9"/>
        <v>37.5</v>
      </c>
      <c r="T39" s="231">
        <f t="shared" si="10"/>
        <v>32.608695652173914</v>
      </c>
      <c r="U39" s="231">
        <f t="shared" si="11"/>
        <v>41.666666666666664</v>
      </c>
      <c r="V39" s="231">
        <f t="shared" si="12"/>
        <v>34.090909090909093</v>
      </c>
      <c r="W39" s="231">
        <f t="shared" si="13"/>
        <v>35.714285714285715</v>
      </c>
      <c r="X39" s="231">
        <f t="shared" si="14"/>
        <v>37.5</v>
      </c>
      <c r="Y39" s="231">
        <f t="shared" si="15"/>
        <v>34.090909090909093</v>
      </c>
      <c r="Z39" s="231">
        <f t="shared" si="16"/>
        <v>35.714285714285715</v>
      </c>
      <c r="AA39" s="231"/>
      <c r="AB39" s="231"/>
      <c r="AC39" s="231"/>
      <c r="AD39" s="230">
        <f t="shared" si="28"/>
        <v>0</v>
      </c>
      <c r="AE39" s="230">
        <f t="shared" si="21"/>
        <v>0</v>
      </c>
      <c r="AF39" s="230">
        <f t="shared" si="22"/>
        <v>521.73913043478262</v>
      </c>
      <c r="AG39" s="230">
        <f t="shared" si="23"/>
        <v>0</v>
      </c>
      <c r="AH39" s="230">
        <f t="shared" si="24"/>
        <v>272.72727272727275</v>
      </c>
      <c r="AI39" s="230">
        <f t="shared" si="25"/>
        <v>285.71428571428572</v>
      </c>
      <c r="AJ39" s="230">
        <f t="shared" si="26"/>
        <v>300</v>
      </c>
      <c r="AK39" s="230">
        <f t="shared" si="27"/>
        <v>0</v>
      </c>
      <c r="AL39" s="230">
        <f t="shared" si="27"/>
        <v>0</v>
      </c>
      <c r="AM39" s="230">
        <f t="shared" si="27"/>
        <v>0</v>
      </c>
      <c r="AN39" s="230">
        <f t="shared" si="27"/>
        <v>0</v>
      </c>
      <c r="AO39" s="230">
        <f t="shared" si="27"/>
        <v>0</v>
      </c>
    </row>
    <row r="40" spans="1:41" ht="15.75" customHeight="1" x14ac:dyDescent="0.25">
      <c r="A40" s="251" t="s">
        <v>703</v>
      </c>
      <c r="B40" s="251" t="s">
        <v>16</v>
      </c>
      <c r="C40" s="251" t="s">
        <v>209</v>
      </c>
      <c r="D40" s="251" t="s">
        <v>209</v>
      </c>
      <c r="E40" s="251" t="s">
        <v>243</v>
      </c>
      <c r="F40" s="233">
        <f t="shared" si="0"/>
        <v>112</v>
      </c>
      <c r="G40" s="233">
        <f t="shared" si="1"/>
        <v>40</v>
      </c>
      <c r="H40" s="233">
        <f t="shared" si="2"/>
        <v>0</v>
      </c>
      <c r="I40" s="233">
        <f t="shared" si="3"/>
        <v>0</v>
      </c>
      <c r="J40" s="233">
        <f t="shared" si="4"/>
        <v>0</v>
      </c>
      <c r="K40" s="233">
        <f t="shared" si="5"/>
        <v>0</v>
      </c>
      <c r="L40" s="233">
        <f t="shared" si="6"/>
        <v>0</v>
      </c>
      <c r="M40" s="233">
        <f t="shared" si="19"/>
        <v>0</v>
      </c>
      <c r="N40" s="233">
        <f t="shared" si="7"/>
        <v>0</v>
      </c>
      <c r="O40" s="233">
        <f>IFERROR(VLOOKUP(A40,TOTAL_HORAS,79,FALSE),0)</f>
        <v>0</v>
      </c>
      <c r="P40" s="233"/>
      <c r="Q40" s="233"/>
      <c r="R40" s="231">
        <f t="shared" si="8"/>
        <v>34.090909090909093</v>
      </c>
      <c r="S40" s="231">
        <f t="shared" si="9"/>
        <v>37.5</v>
      </c>
      <c r="T40" s="231">
        <f t="shared" si="10"/>
        <v>32.608695652173914</v>
      </c>
      <c r="U40" s="231">
        <f t="shared" si="11"/>
        <v>41.666666666666664</v>
      </c>
      <c r="V40" s="231">
        <f t="shared" si="12"/>
        <v>34.090909090909093</v>
      </c>
      <c r="W40" s="231">
        <f t="shared" si="13"/>
        <v>35.714285714285715</v>
      </c>
      <c r="X40" s="231">
        <f t="shared" si="14"/>
        <v>37.5</v>
      </c>
      <c r="Y40" s="231">
        <f t="shared" si="15"/>
        <v>34.090909090909093</v>
      </c>
      <c r="Z40" s="231">
        <f t="shared" si="16"/>
        <v>35.714285714285715</v>
      </c>
      <c r="AA40" s="231"/>
      <c r="AB40" s="231"/>
      <c r="AC40" s="231"/>
      <c r="AD40" s="230">
        <f t="shared" si="28"/>
        <v>3818.1818181818185</v>
      </c>
      <c r="AE40" s="230">
        <f t="shared" si="21"/>
        <v>1500</v>
      </c>
      <c r="AF40" s="230">
        <f t="shared" si="22"/>
        <v>0</v>
      </c>
      <c r="AG40" s="230">
        <f t="shared" si="23"/>
        <v>0</v>
      </c>
      <c r="AH40" s="230">
        <f t="shared" si="24"/>
        <v>0</v>
      </c>
      <c r="AI40" s="230">
        <f t="shared" si="25"/>
        <v>0</v>
      </c>
      <c r="AJ40" s="230">
        <f t="shared" si="26"/>
        <v>0</v>
      </c>
      <c r="AK40" s="230">
        <f t="shared" si="27"/>
        <v>0</v>
      </c>
      <c r="AL40" s="230">
        <f t="shared" si="27"/>
        <v>0</v>
      </c>
      <c r="AM40" s="230">
        <f t="shared" si="27"/>
        <v>0</v>
      </c>
      <c r="AN40" s="230">
        <f t="shared" si="27"/>
        <v>0</v>
      </c>
      <c r="AO40" s="230">
        <f t="shared" si="27"/>
        <v>0</v>
      </c>
    </row>
    <row r="41" spans="1:41" ht="15.75" customHeight="1" x14ac:dyDescent="0.25">
      <c r="A41" s="251" t="s">
        <v>704</v>
      </c>
      <c r="B41" s="251" t="s">
        <v>16</v>
      </c>
      <c r="C41" s="251" t="s">
        <v>44</v>
      </c>
      <c r="D41" s="251" t="s">
        <v>42</v>
      </c>
      <c r="E41" s="251" t="s">
        <v>304</v>
      </c>
      <c r="F41" s="233">
        <f t="shared" si="0"/>
        <v>64</v>
      </c>
      <c r="G41" s="233">
        <f t="shared" si="1"/>
        <v>120</v>
      </c>
      <c r="H41" s="233">
        <f t="shared" si="2"/>
        <v>168</v>
      </c>
      <c r="I41" s="233">
        <f t="shared" si="3"/>
        <v>144</v>
      </c>
      <c r="J41" s="233">
        <f t="shared" si="4"/>
        <v>168</v>
      </c>
      <c r="K41" s="233">
        <f t="shared" si="5"/>
        <v>160</v>
      </c>
      <c r="L41" s="233">
        <f t="shared" si="6"/>
        <v>152</v>
      </c>
      <c r="M41" s="233">
        <f t="shared" si="19"/>
        <v>176</v>
      </c>
      <c r="N41" s="233">
        <f t="shared" si="7"/>
        <v>168</v>
      </c>
      <c r="O41" s="233">
        <f>IFERROR(VLOOKUP(A41,TOTAL_HORAS,79,FALSE),0)</f>
        <v>40</v>
      </c>
      <c r="P41" s="233"/>
      <c r="Q41" s="233"/>
      <c r="R41" s="231">
        <f t="shared" si="8"/>
        <v>34.090909090909093</v>
      </c>
      <c r="S41" s="231">
        <f t="shared" si="9"/>
        <v>37.5</v>
      </c>
      <c r="T41" s="231">
        <f t="shared" si="10"/>
        <v>32.608695652173914</v>
      </c>
      <c r="U41" s="231">
        <f t="shared" si="11"/>
        <v>41.666666666666664</v>
      </c>
      <c r="V41" s="231">
        <f t="shared" si="12"/>
        <v>34.090909090909093</v>
      </c>
      <c r="W41" s="231">
        <f t="shared" si="13"/>
        <v>35.714285714285715</v>
      </c>
      <c r="X41" s="231">
        <f t="shared" si="14"/>
        <v>37.5</v>
      </c>
      <c r="Y41" s="231">
        <f t="shared" si="15"/>
        <v>34.090909090909093</v>
      </c>
      <c r="Z41" s="231">
        <f t="shared" si="16"/>
        <v>35.714285714285715</v>
      </c>
      <c r="AA41" s="231"/>
      <c r="AB41" s="231"/>
      <c r="AC41" s="231"/>
      <c r="AD41" s="230">
        <f t="shared" si="28"/>
        <v>2181.818181818182</v>
      </c>
      <c r="AE41" s="230">
        <f t="shared" si="21"/>
        <v>4500</v>
      </c>
      <c r="AF41" s="230">
        <f t="shared" si="22"/>
        <v>5478.2608695652179</v>
      </c>
      <c r="AG41" s="230">
        <f t="shared" si="23"/>
        <v>6000</v>
      </c>
      <c r="AH41" s="230">
        <f t="shared" si="24"/>
        <v>5727.2727272727279</v>
      </c>
      <c r="AI41" s="230">
        <f t="shared" si="25"/>
        <v>5714.2857142857147</v>
      </c>
      <c r="AJ41" s="230">
        <f t="shared" si="26"/>
        <v>5700</v>
      </c>
      <c r="AK41" s="230">
        <f t="shared" si="27"/>
        <v>6000</v>
      </c>
      <c r="AL41" s="230">
        <f t="shared" si="27"/>
        <v>6000</v>
      </c>
      <c r="AM41" s="230">
        <f t="shared" si="27"/>
        <v>0</v>
      </c>
      <c r="AN41" s="230">
        <f t="shared" si="27"/>
        <v>0</v>
      </c>
      <c r="AO41" s="230">
        <f t="shared" si="27"/>
        <v>0</v>
      </c>
    </row>
    <row r="42" spans="1:41" ht="15.75" customHeight="1" x14ac:dyDescent="0.25">
      <c r="A42" s="251" t="s">
        <v>705</v>
      </c>
      <c r="B42" s="251" t="s">
        <v>8</v>
      </c>
      <c r="C42" s="251" t="s">
        <v>209</v>
      </c>
      <c r="D42" s="251" t="s">
        <v>209</v>
      </c>
      <c r="E42" s="251" t="s">
        <v>243</v>
      </c>
      <c r="F42" s="233">
        <f t="shared" si="0"/>
        <v>40</v>
      </c>
      <c r="G42" s="233">
        <f t="shared" si="1"/>
        <v>0</v>
      </c>
      <c r="H42" s="233">
        <f t="shared" si="2"/>
        <v>0</v>
      </c>
      <c r="I42" s="233">
        <f t="shared" si="3"/>
        <v>0</v>
      </c>
      <c r="J42" s="233">
        <f t="shared" si="4"/>
        <v>0</v>
      </c>
      <c r="K42" s="233">
        <f t="shared" si="5"/>
        <v>0</v>
      </c>
      <c r="L42" s="233">
        <f t="shared" si="6"/>
        <v>0</v>
      </c>
      <c r="M42" s="233">
        <f t="shared" si="19"/>
        <v>0</v>
      </c>
      <c r="N42" s="233">
        <f t="shared" si="7"/>
        <v>0</v>
      </c>
      <c r="O42" s="233">
        <f>IFERROR(VLOOKUP(A42,TOTAL_HORAS,79,FALSE),0)</f>
        <v>0</v>
      </c>
      <c r="P42" s="233"/>
      <c r="Q42" s="233"/>
      <c r="R42" s="231">
        <f t="shared" si="8"/>
        <v>35.951704545454547</v>
      </c>
      <c r="S42" s="231">
        <f t="shared" si="9"/>
        <v>39.546875</v>
      </c>
      <c r="T42" s="231">
        <f t="shared" si="10"/>
        <v>34.388586956521742</v>
      </c>
      <c r="U42" s="231">
        <f t="shared" si="11"/>
        <v>43.940972222222221</v>
      </c>
      <c r="V42" s="231">
        <f t="shared" si="12"/>
        <v>35.951704545454547</v>
      </c>
      <c r="W42" s="231">
        <f t="shared" si="13"/>
        <v>37.663690476190474</v>
      </c>
      <c r="X42" s="231">
        <f t="shared" si="14"/>
        <v>39.546875</v>
      </c>
      <c r="Y42" s="231">
        <f t="shared" si="15"/>
        <v>35.227272727272727</v>
      </c>
      <c r="Z42" s="231">
        <f t="shared" si="16"/>
        <v>37.663690476190474</v>
      </c>
      <c r="AA42" s="231"/>
      <c r="AB42" s="231"/>
      <c r="AC42" s="231"/>
      <c r="AD42" s="230">
        <f t="shared" si="28"/>
        <v>1438.068181818182</v>
      </c>
      <c r="AE42" s="230">
        <f t="shared" si="21"/>
        <v>0</v>
      </c>
      <c r="AF42" s="230">
        <f t="shared" si="22"/>
        <v>0</v>
      </c>
      <c r="AG42" s="230">
        <f t="shared" si="23"/>
        <v>0</v>
      </c>
      <c r="AH42" s="230">
        <f t="shared" si="24"/>
        <v>0</v>
      </c>
      <c r="AI42" s="230">
        <f t="shared" si="25"/>
        <v>0</v>
      </c>
      <c r="AJ42" s="230">
        <f t="shared" si="26"/>
        <v>0</v>
      </c>
      <c r="AK42" s="230">
        <f t="shared" si="27"/>
        <v>0</v>
      </c>
      <c r="AL42" s="230">
        <f t="shared" si="27"/>
        <v>0</v>
      </c>
      <c r="AM42" s="230">
        <f t="shared" si="27"/>
        <v>0</v>
      </c>
      <c r="AN42" s="230">
        <f t="shared" si="27"/>
        <v>0</v>
      </c>
      <c r="AO42" s="230">
        <f t="shared" si="27"/>
        <v>0</v>
      </c>
    </row>
    <row r="43" spans="1:41" ht="15.75" customHeight="1" x14ac:dyDescent="0.25">
      <c r="A43" s="251" t="s">
        <v>706</v>
      </c>
      <c r="B43" s="251" t="s">
        <v>8</v>
      </c>
      <c r="C43" s="251" t="s">
        <v>208</v>
      </c>
      <c r="D43" s="251" t="s">
        <v>208</v>
      </c>
      <c r="E43" s="251" t="s">
        <v>210</v>
      </c>
      <c r="F43" s="233">
        <f t="shared" si="0"/>
        <v>0</v>
      </c>
      <c r="G43" s="233">
        <f t="shared" si="1"/>
        <v>0</v>
      </c>
      <c r="H43" s="233">
        <f t="shared" si="2"/>
        <v>8</v>
      </c>
      <c r="I43" s="233">
        <f t="shared" si="3"/>
        <v>0</v>
      </c>
      <c r="J43" s="233">
        <f t="shared" si="4"/>
        <v>0</v>
      </c>
      <c r="K43" s="233">
        <f t="shared" si="5"/>
        <v>0</v>
      </c>
      <c r="L43" s="233">
        <f t="shared" si="6"/>
        <v>0</v>
      </c>
      <c r="M43" s="233">
        <f t="shared" si="19"/>
        <v>0</v>
      </c>
      <c r="N43" s="233">
        <f t="shared" si="7"/>
        <v>0</v>
      </c>
      <c r="O43" s="233">
        <f>IFERROR(VLOOKUP(A43,TOTAL_HORAS,79,FALSE),0)</f>
        <v>0</v>
      </c>
      <c r="P43" s="233"/>
      <c r="Q43" s="233"/>
      <c r="R43" s="231">
        <f t="shared" si="8"/>
        <v>35.951704545454547</v>
      </c>
      <c r="S43" s="231">
        <f t="shared" si="9"/>
        <v>39.546875</v>
      </c>
      <c r="T43" s="231">
        <f t="shared" si="10"/>
        <v>34.388586956521742</v>
      </c>
      <c r="U43" s="231">
        <f t="shared" si="11"/>
        <v>43.940972222222221</v>
      </c>
      <c r="V43" s="231">
        <f t="shared" si="12"/>
        <v>35.951704545454547</v>
      </c>
      <c r="W43" s="231">
        <f t="shared" si="13"/>
        <v>37.663690476190474</v>
      </c>
      <c r="X43" s="231">
        <f t="shared" si="14"/>
        <v>39.546875</v>
      </c>
      <c r="Y43" s="231">
        <f t="shared" si="15"/>
        <v>35.227272727272727</v>
      </c>
      <c r="Z43" s="231">
        <f t="shared" si="16"/>
        <v>37.663690476190474</v>
      </c>
      <c r="AA43" s="231"/>
      <c r="AB43" s="231"/>
      <c r="AC43" s="231"/>
      <c r="AD43" s="230">
        <f t="shared" si="28"/>
        <v>0</v>
      </c>
      <c r="AE43" s="230">
        <f t="shared" si="21"/>
        <v>0</v>
      </c>
      <c r="AF43" s="230">
        <f t="shared" si="22"/>
        <v>275.10869565217394</v>
      </c>
      <c r="AG43" s="230">
        <f t="shared" si="23"/>
        <v>0</v>
      </c>
      <c r="AH43" s="230">
        <f t="shared" si="24"/>
        <v>0</v>
      </c>
      <c r="AI43" s="230">
        <f t="shared" si="25"/>
        <v>0</v>
      </c>
      <c r="AJ43" s="230">
        <f t="shared" si="26"/>
        <v>0</v>
      </c>
      <c r="AK43" s="230">
        <f t="shared" si="27"/>
        <v>0</v>
      </c>
      <c r="AL43" s="230">
        <f t="shared" si="27"/>
        <v>0</v>
      </c>
      <c r="AM43" s="230">
        <f t="shared" si="27"/>
        <v>0</v>
      </c>
      <c r="AN43" s="230">
        <f t="shared" si="27"/>
        <v>0</v>
      </c>
      <c r="AO43" s="230">
        <f t="shared" si="27"/>
        <v>0</v>
      </c>
    </row>
    <row r="44" spans="1:41" ht="15.75" customHeight="1" x14ac:dyDescent="0.25">
      <c r="A44" s="251" t="s">
        <v>707</v>
      </c>
      <c r="B44" s="251" t="s">
        <v>7</v>
      </c>
      <c r="C44" s="251" t="s">
        <v>44</v>
      </c>
      <c r="D44" s="251" t="s">
        <v>42</v>
      </c>
      <c r="E44" s="251" t="s">
        <v>304</v>
      </c>
      <c r="F44" s="233">
        <f t="shared" si="0"/>
        <v>152</v>
      </c>
      <c r="G44" s="233">
        <f t="shared" si="1"/>
        <v>160</v>
      </c>
      <c r="H44" s="233">
        <f t="shared" si="2"/>
        <v>184</v>
      </c>
      <c r="I44" s="233">
        <f t="shared" si="3"/>
        <v>144</v>
      </c>
      <c r="J44" s="233">
        <f t="shared" si="4"/>
        <v>176</v>
      </c>
      <c r="K44" s="233">
        <f t="shared" si="5"/>
        <v>168</v>
      </c>
      <c r="L44" s="233">
        <f t="shared" si="6"/>
        <v>160</v>
      </c>
      <c r="M44" s="233">
        <f t="shared" si="19"/>
        <v>176</v>
      </c>
      <c r="N44" s="233">
        <f t="shared" si="7"/>
        <v>168</v>
      </c>
      <c r="O44" s="233">
        <f>IFERROR(VLOOKUP(A44,TOTAL_HORAS,79,FALSE),0)</f>
        <v>40</v>
      </c>
      <c r="P44" s="233"/>
      <c r="Q44" s="233"/>
      <c r="R44" s="231">
        <f t="shared" si="8"/>
        <v>28.806818181818183</v>
      </c>
      <c r="S44" s="231">
        <f t="shared" si="9"/>
        <v>31.6875</v>
      </c>
      <c r="T44" s="231">
        <f t="shared" si="10"/>
        <v>27.554347826086957</v>
      </c>
      <c r="U44" s="231">
        <f t="shared" si="11"/>
        <v>35.208333333333336</v>
      </c>
      <c r="V44" s="231">
        <f t="shared" si="12"/>
        <v>28.806818181818183</v>
      </c>
      <c r="W44" s="231">
        <f t="shared" si="13"/>
        <v>30.178571428571427</v>
      </c>
      <c r="X44" s="231">
        <f t="shared" si="14"/>
        <v>31.6875</v>
      </c>
      <c r="Y44" s="231">
        <f t="shared" si="15"/>
        <v>28.806818181818183</v>
      </c>
      <c r="Z44" s="231">
        <f t="shared" si="16"/>
        <v>30.178571428571427</v>
      </c>
      <c r="AA44" s="231"/>
      <c r="AB44" s="231"/>
      <c r="AC44" s="231"/>
      <c r="AD44" s="230">
        <f t="shared" si="28"/>
        <v>4378.636363636364</v>
      </c>
      <c r="AE44" s="230">
        <f t="shared" si="21"/>
        <v>5070</v>
      </c>
      <c r="AF44" s="230">
        <f t="shared" si="22"/>
        <v>5070</v>
      </c>
      <c r="AG44" s="230">
        <f t="shared" si="23"/>
        <v>5070</v>
      </c>
      <c r="AH44" s="230">
        <f t="shared" si="24"/>
        <v>5070</v>
      </c>
      <c r="AI44" s="230">
        <f t="shared" si="25"/>
        <v>5070</v>
      </c>
      <c r="AJ44" s="230">
        <f t="shared" si="26"/>
        <v>5070</v>
      </c>
      <c r="AK44" s="230">
        <f t="shared" si="27"/>
        <v>5070</v>
      </c>
      <c r="AL44" s="230">
        <f t="shared" si="27"/>
        <v>5070</v>
      </c>
      <c r="AM44" s="230">
        <f t="shared" si="27"/>
        <v>0</v>
      </c>
      <c r="AN44" s="230">
        <f t="shared" si="27"/>
        <v>0</v>
      </c>
      <c r="AO44" s="230">
        <f t="shared" si="27"/>
        <v>0</v>
      </c>
    </row>
    <row r="45" spans="1:41" ht="15.75" customHeight="1" x14ac:dyDescent="0.25">
      <c r="A45" s="251" t="s">
        <v>708</v>
      </c>
      <c r="B45" s="251" t="s">
        <v>21</v>
      </c>
      <c r="C45" s="251" t="s">
        <v>208</v>
      </c>
      <c r="D45" s="251" t="s">
        <v>208</v>
      </c>
      <c r="E45" s="251" t="s">
        <v>210</v>
      </c>
      <c r="F45" s="233">
        <f t="shared" si="0"/>
        <v>0</v>
      </c>
      <c r="G45" s="233">
        <f t="shared" si="1"/>
        <v>0</v>
      </c>
      <c r="H45" s="233">
        <f t="shared" si="2"/>
        <v>0</v>
      </c>
      <c r="I45" s="233">
        <f t="shared" si="3"/>
        <v>24</v>
      </c>
      <c r="J45" s="233">
        <f t="shared" si="4"/>
        <v>0</v>
      </c>
      <c r="K45" s="233">
        <f t="shared" si="5"/>
        <v>0</v>
      </c>
      <c r="L45" s="233">
        <f t="shared" si="6"/>
        <v>0</v>
      </c>
      <c r="M45" s="233">
        <f t="shared" si="19"/>
        <v>0</v>
      </c>
      <c r="N45" s="233">
        <f t="shared" si="7"/>
        <v>0</v>
      </c>
      <c r="O45" s="233">
        <f>IFERROR(VLOOKUP(A45,TOTAL_HORAS,79,FALSE),0)</f>
        <v>0</v>
      </c>
      <c r="P45" s="233"/>
      <c r="Q45" s="233"/>
      <c r="R45" s="231">
        <f t="shared" si="8"/>
        <v>39.863636363636367</v>
      </c>
      <c r="S45" s="231">
        <f t="shared" si="9"/>
        <v>43.85</v>
      </c>
      <c r="T45" s="231">
        <f t="shared" si="10"/>
        <v>38.130434782608695</v>
      </c>
      <c r="U45" s="231">
        <f t="shared" si="11"/>
        <v>48.722222222222221</v>
      </c>
      <c r="V45" s="231">
        <f t="shared" si="12"/>
        <v>39.863636363636367</v>
      </c>
      <c r="W45" s="231">
        <f t="shared" si="13"/>
        <v>41.761904761904759</v>
      </c>
      <c r="X45" s="231">
        <f t="shared" si="14"/>
        <v>42.875</v>
      </c>
      <c r="Y45" s="231">
        <f t="shared" si="15"/>
        <v>38.977272727272727</v>
      </c>
      <c r="Z45" s="231">
        <f t="shared" si="16"/>
        <v>40.833333333333336</v>
      </c>
      <c r="AA45" s="231"/>
      <c r="AB45" s="231"/>
      <c r="AC45" s="231"/>
      <c r="AD45" s="230">
        <f t="shared" si="28"/>
        <v>0</v>
      </c>
      <c r="AE45" s="230">
        <f t="shared" si="21"/>
        <v>0</v>
      </c>
      <c r="AF45" s="230">
        <f t="shared" si="22"/>
        <v>0</v>
      </c>
      <c r="AG45" s="230">
        <f t="shared" si="23"/>
        <v>1169.3333333333333</v>
      </c>
      <c r="AH45" s="230">
        <f t="shared" si="24"/>
        <v>0</v>
      </c>
      <c r="AI45" s="230">
        <f t="shared" si="25"/>
        <v>0</v>
      </c>
      <c r="AJ45" s="230">
        <f t="shared" si="26"/>
        <v>0</v>
      </c>
      <c r="AK45" s="230">
        <f t="shared" si="27"/>
        <v>0</v>
      </c>
      <c r="AL45" s="230">
        <f t="shared" si="27"/>
        <v>0</v>
      </c>
      <c r="AM45" s="230">
        <f t="shared" si="27"/>
        <v>0</v>
      </c>
      <c r="AN45" s="230">
        <f t="shared" si="27"/>
        <v>0</v>
      </c>
      <c r="AO45" s="230">
        <f t="shared" si="27"/>
        <v>0</v>
      </c>
    </row>
    <row r="46" spans="1:41" ht="15.75" customHeight="1" x14ac:dyDescent="0.25">
      <c r="A46" s="251" t="s">
        <v>937</v>
      </c>
      <c r="B46" s="251" t="s">
        <v>21</v>
      </c>
      <c r="C46" s="251" t="s">
        <v>209</v>
      </c>
      <c r="D46" s="251" t="s">
        <v>209</v>
      </c>
      <c r="E46" s="251" t="s">
        <v>243</v>
      </c>
      <c r="F46" s="233">
        <f t="shared" si="0"/>
        <v>0</v>
      </c>
      <c r="G46" s="233">
        <f t="shared" si="1"/>
        <v>0</v>
      </c>
      <c r="H46" s="233">
        <f t="shared" si="2"/>
        <v>0</v>
      </c>
      <c r="I46" s="233">
        <f t="shared" si="3"/>
        <v>0</v>
      </c>
      <c r="J46" s="233">
        <f t="shared" si="4"/>
        <v>0</v>
      </c>
      <c r="K46" s="233">
        <f t="shared" si="5"/>
        <v>0</v>
      </c>
      <c r="L46" s="233">
        <f t="shared" si="6"/>
        <v>0</v>
      </c>
      <c r="M46" s="233">
        <f t="shared" si="19"/>
        <v>0</v>
      </c>
      <c r="N46" s="233">
        <f t="shared" si="7"/>
        <v>56</v>
      </c>
      <c r="O46" s="233">
        <f>IFERROR(VLOOKUP(A46,TOTAL_HORAS,79,FALSE),0)</f>
        <v>0</v>
      </c>
      <c r="P46" s="233"/>
      <c r="Q46" s="233"/>
      <c r="R46" s="231">
        <f t="shared" si="8"/>
        <v>39.863636363636367</v>
      </c>
      <c r="S46" s="231">
        <f t="shared" si="9"/>
        <v>43.85</v>
      </c>
      <c r="T46" s="231">
        <f t="shared" si="10"/>
        <v>38.130434782608695</v>
      </c>
      <c r="U46" s="231">
        <f t="shared" si="11"/>
        <v>48.722222222222221</v>
      </c>
      <c r="V46" s="231">
        <f t="shared" si="12"/>
        <v>39.863636363636367</v>
      </c>
      <c r="W46" s="231">
        <f t="shared" si="13"/>
        <v>41.761904761904759</v>
      </c>
      <c r="X46" s="231">
        <f t="shared" si="14"/>
        <v>42.875</v>
      </c>
      <c r="Y46" s="231">
        <f t="shared" si="15"/>
        <v>38.977272727272727</v>
      </c>
      <c r="Z46" s="231">
        <f t="shared" si="16"/>
        <v>40.833333333333336</v>
      </c>
      <c r="AA46" s="231"/>
      <c r="AB46" s="231"/>
      <c r="AC46" s="231"/>
      <c r="AD46" s="230">
        <f t="shared" si="28"/>
        <v>0</v>
      </c>
      <c r="AE46" s="230">
        <f t="shared" si="21"/>
        <v>0</v>
      </c>
      <c r="AF46" s="230">
        <f t="shared" si="22"/>
        <v>0</v>
      </c>
      <c r="AG46" s="230">
        <f t="shared" si="23"/>
        <v>0</v>
      </c>
      <c r="AH46" s="230">
        <f t="shared" si="24"/>
        <v>0</v>
      </c>
      <c r="AI46" s="230">
        <f t="shared" si="25"/>
        <v>0</v>
      </c>
      <c r="AJ46" s="230">
        <f t="shared" si="26"/>
        <v>0</v>
      </c>
      <c r="AK46" s="230">
        <f t="shared" si="27"/>
        <v>0</v>
      </c>
      <c r="AL46" s="230">
        <f t="shared" si="27"/>
        <v>2286.666666666667</v>
      </c>
      <c r="AM46" s="230">
        <f t="shared" si="27"/>
        <v>0</v>
      </c>
      <c r="AN46" s="230">
        <f t="shared" si="27"/>
        <v>0</v>
      </c>
      <c r="AO46" s="230">
        <f t="shared" si="27"/>
        <v>0</v>
      </c>
    </row>
    <row r="47" spans="1:41" ht="15.75" customHeight="1" x14ac:dyDescent="0.25">
      <c r="A47" s="251" t="s">
        <v>709</v>
      </c>
      <c r="B47" s="251" t="s">
        <v>21</v>
      </c>
      <c r="C47" s="251" t="s">
        <v>44</v>
      </c>
      <c r="D47" s="251" t="s">
        <v>42</v>
      </c>
      <c r="E47" s="251" t="s">
        <v>304</v>
      </c>
      <c r="F47" s="233">
        <f t="shared" si="0"/>
        <v>176</v>
      </c>
      <c r="G47" s="233">
        <f t="shared" si="1"/>
        <v>160</v>
      </c>
      <c r="H47" s="233">
        <f t="shared" si="2"/>
        <v>184</v>
      </c>
      <c r="I47" s="233">
        <f t="shared" si="3"/>
        <v>120</v>
      </c>
      <c r="J47" s="233">
        <f t="shared" si="4"/>
        <v>176</v>
      </c>
      <c r="K47" s="233">
        <f t="shared" si="5"/>
        <v>168</v>
      </c>
      <c r="L47" s="233">
        <f t="shared" si="6"/>
        <v>160</v>
      </c>
      <c r="M47" s="233">
        <f t="shared" si="19"/>
        <v>176</v>
      </c>
      <c r="N47" s="233">
        <f t="shared" si="7"/>
        <v>112</v>
      </c>
      <c r="O47" s="233">
        <f>IFERROR(VLOOKUP(A47,TOTAL_HORAS,79,FALSE),0)</f>
        <v>40</v>
      </c>
      <c r="P47" s="233"/>
      <c r="Q47" s="233"/>
      <c r="R47" s="231">
        <f t="shared" si="8"/>
        <v>39.863636363636367</v>
      </c>
      <c r="S47" s="231">
        <f t="shared" si="9"/>
        <v>43.85</v>
      </c>
      <c r="T47" s="231">
        <f t="shared" si="10"/>
        <v>38.130434782608695</v>
      </c>
      <c r="U47" s="231">
        <f t="shared" si="11"/>
        <v>48.722222222222221</v>
      </c>
      <c r="V47" s="231">
        <f t="shared" si="12"/>
        <v>39.863636363636367</v>
      </c>
      <c r="W47" s="231">
        <f t="shared" si="13"/>
        <v>41.761904761904759</v>
      </c>
      <c r="X47" s="231">
        <f t="shared" si="14"/>
        <v>42.875</v>
      </c>
      <c r="Y47" s="231">
        <f t="shared" si="15"/>
        <v>38.977272727272727</v>
      </c>
      <c r="Z47" s="231">
        <f t="shared" si="16"/>
        <v>40.833333333333336</v>
      </c>
      <c r="AA47" s="231"/>
      <c r="AB47" s="231"/>
      <c r="AC47" s="231"/>
      <c r="AD47" s="230">
        <f t="shared" si="28"/>
        <v>7016.0000000000009</v>
      </c>
      <c r="AE47" s="230">
        <f t="shared" si="21"/>
        <v>7016</v>
      </c>
      <c r="AF47" s="230">
        <f t="shared" si="22"/>
        <v>7016</v>
      </c>
      <c r="AG47" s="230">
        <f t="shared" si="23"/>
        <v>5846.666666666667</v>
      </c>
      <c r="AH47" s="230">
        <f t="shared" si="24"/>
        <v>7016.0000000000009</v>
      </c>
      <c r="AI47" s="230">
        <f t="shared" si="25"/>
        <v>7016</v>
      </c>
      <c r="AJ47" s="230">
        <f t="shared" si="26"/>
        <v>6860</v>
      </c>
      <c r="AK47" s="230">
        <f t="shared" si="27"/>
        <v>6860</v>
      </c>
      <c r="AL47" s="230">
        <f t="shared" si="27"/>
        <v>4573.3333333333339</v>
      </c>
      <c r="AM47" s="230">
        <f t="shared" si="27"/>
        <v>0</v>
      </c>
      <c r="AN47" s="230">
        <f t="shared" si="27"/>
        <v>0</v>
      </c>
      <c r="AO47" s="230">
        <f t="shared" si="27"/>
        <v>0</v>
      </c>
    </row>
    <row r="48" spans="1:41" ht="15.75" customHeight="1" x14ac:dyDescent="0.25">
      <c r="A48" s="251" t="s">
        <v>710</v>
      </c>
      <c r="B48" s="251" t="s">
        <v>272</v>
      </c>
      <c r="C48" s="251" t="s">
        <v>75</v>
      </c>
      <c r="D48" s="251" t="s">
        <v>75</v>
      </c>
      <c r="E48" s="251" t="s">
        <v>131</v>
      </c>
      <c r="F48" s="233">
        <f t="shared" si="0"/>
        <v>0</v>
      </c>
      <c r="G48" s="233">
        <f t="shared" si="1"/>
        <v>0</v>
      </c>
      <c r="H48" s="233">
        <f t="shared" si="2"/>
        <v>0</v>
      </c>
      <c r="I48" s="233">
        <f t="shared" si="3"/>
        <v>0</v>
      </c>
      <c r="J48" s="233">
        <f t="shared" si="4"/>
        <v>0</v>
      </c>
      <c r="K48" s="233">
        <f t="shared" si="5"/>
        <v>8</v>
      </c>
      <c r="L48" s="233">
        <f t="shared" si="6"/>
        <v>0</v>
      </c>
      <c r="M48" s="233">
        <f t="shared" si="19"/>
        <v>0</v>
      </c>
      <c r="N48" s="233">
        <f t="shared" si="7"/>
        <v>0</v>
      </c>
      <c r="O48" s="233">
        <f>IFERROR(VLOOKUP(A48,TOTAL_HORAS,79,FALSE),0)</f>
        <v>0</v>
      </c>
      <c r="P48" s="233"/>
      <c r="Q48" s="233"/>
      <c r="R48" s="231">
        <f t="shared" si="8"/>
        <v>0</v>
      </c>
      <c r="S48" s="231">
        <f t="shared" si="9"/>
        <v>0</v>
      </c>
      <c r="T48" s="231">
        <f t="shared" si="10"/>
        <v>0</v>
      </c>
      <c r="U48" s="231">
        <f t="shared" si="11"/>
        <v>0</v>
      </c>
      <c r="V48" s="231">
        <f t="shared" si="12"/>
        <v>0</v>
      </c>
      <c r="W48" s="231">
        <f t="shared" si="13"/>
        <v>0</v>
      </c>
      <c r="X48" s="231">
        <f t="shared" si="14"/>
        <v>0</v>
      </c>
      <c r="Y48" s="231">
        <f t="shared" si="15"/>
        <v>0</v>
      </c>
      <c r="Z48" s="231">
        <f t="shared" si="16"/>
        <v>0</v>
      </c>
      <c r="AA48" s="231"/>
      <c r="AB48" s="231"/>
      <c r="AC48" s="231"/>
      <c r="AD48" s="230">
        <f t="shared" si="28"/>
        <v>0</v>
      </c>
      <c r="AE48" s="230">
        <f t="shared" si="21"/>
        <v>0</v>
      </c>
      <c r="AF48" s="230">
        <f t="shared" si="22"/>
        <v>0</v>
      </c>
      <c r="AG48" s="230">
        <f t="shared" si="23"/>
        <v>0</v>
      </c>
      <c r="AH48" s="230">
        <f t="shared" si="24"/>
        <v>0</v>
      </c>
      <c r="AI48" s="230">
        <f t="shared" si="25"/>
        <v>0</v>
      </c>
      <c r="AJ48" s="230">
        <f t="shared" si="26"/>
        <v>0</v>
      </c>
      <c r="AK48" s="230">
        <f t="shared" si="27"/>
        <v>0</v>
      </c>
      <c r="AL48" s="230">
        <f t="shared" si="27"/>
        <v>0</v>
      </c>
      <c r="AM48" s="230">
        <f t="shared" si="27"/>
        <v>0</v>
      </c>
      <c r="AN48" s="230">
        <f t="shared" si="27"/>
        <v>0</v>
      </c>
      <c r="AO48" s="230">
        <f t="shared" si="27"/>
        <v>0</v>
      </c>
    </row>
    <row r="49" spans="1:41" ht="15.75" customHeight="1" x14ac:dyDescent="0.25">
      <c r="A49" s="251" t="s">
        <v>711</v>
      </c>
      <c r="B49" s="251" t="s">
        <v>272</v>
      </c>
      <c r="C49" s="251" t="s">
        <v>44</v>
      </c>
      <c r="D49" s="251" t="s">
        <v>42</v>
      </c>
      <c r="E49" s="251" t="s">
        <v>304</v>
      </c>
      <c r="F49" s="233">
        <f t="shared" si="0"/>
        <v>0</v>
      </c>
      <c r="G49" s="233">
        <f t="shared" si="1"/>
        <v>56</v>
      </c>
      <c r="H49" s="233">
        <f t="shared" si="2"/>
        <v>184</v>
      </c>
      <c r="I49" s="233">
        <f t="shared" si="3"/>
        <v>144</v>
      </c>
      <c r="J49" s="233">
        <f t="shared" si="4"/>
        <v>176</v>
      </c>
      <c r="K49" s="233">
        <f t="shared" si="5"/>
        <v>136</v>
      </c>
      <c r="L49" s="233">
        <f t="shared" si="6"/>
        <v>0</v>
      </c>
      <c r="M49" s="233">
        <f t="shared" si="19"/>
        <v>0</v>
      </c>
      <c r="N49" s="233">
        <f t="shared" si="7"/>
        <v>0</v>
      </c>
      <c r="O49" s="233">
        <f>IFERROR(VLOOKUP(A49,TOTAL_HORAS,79,FALSE),0)</f>
        <v>0</v>
      </c>
      <c r="P49" s="233"/>
      <c r="Q49" s="233"/>
      <c r="R49" s="231">
        <f t="shared" si="8"/>
        <v>0</v>
      </c>
      <c r="S49" s="231">
        <f t="shared" si="9"/>
        <v>0</v>
      </c>
      <c r="T49" s="231">
        <f t="shared" si="10"/>
        <v>0</v>
      </c>
      <c r="U49" s="231">
        <f t="shared" si="11"/>
        <v>0</v>
      </c>
      <c r="V49" s="231">
        <f t="shared" si="12"/>
        <v>0</v>
      </c>
      <c r="W49" s="231">
        <f t="shared" si="13"/>
        <v>0</v>
      </c>
      <c r="X49" s="231">
        <f t="shared" si="14"/>
        <v>0</v>
      </c>
      <c r="Y49" s="231">
        <f t="shared" si="15"/>
        <v>0</v>
      </c>
      <c r="Z49" s="231">
        <f t="shared" si="16"/>
        <v>0</v>
      </c>
      <c r="AA49" s="231"/>
      <c r="AB49" s="231"/>
      <c r="AC49" s="231"/>
      <c r="AD49" s="230">
        <f t="shared" si="28"/>
        <v>0</v>
      </c>
      <c r="AE49" s="230">
        <f t="shared" si="21"/>
        <v>0</v>
      </c>
      <c r="AF49" s="230">
        <f t="shared" si="22"/>
        <v>0</v>
      </c>
      <c r="AG49" s="230">
        <f t="shared" si="23"/>
        <v>0</v>
      </c>
      <c r="AH49" s="230">
        <f t="shared" si="24"/>
        <v>0</v>
      </c>
      <c r="AI49" s="230">
        <f t="shared" si="25"/>
        <v>0</v>
      </c>
      <c r="AJ49" s="230">
        <f t="shared" si="26"/>
        <v>0</v>
      </c>
      <c r="AK49" s="230">
        <f t="shared" si="27"/>
        <v>0</v>
      </c>
      <c r="AL49" s="230">
        <f t="shared" si="27"/>
        <v>0</v>
      </c>
      <c r="AM49" s="230">
        <f t="shared" si="27"/>
        <v>0</v>
      </c>
      <c r="AN49" s="230">
        <f t="shared" si="27"/>
        <v>0</v>
      </c>
      <c r="AO49" s="230">
        <f t="shared" si="27"/>
        <v>0</v>
      </c>
    </row>
    <row r="50" spans="1:41" ht="15.75" customHeight="1" x14ac:dyDescent="0.25">
      <c r="A50" s="251" t="s">
        <v>712</v>
      </c>
      <c r="B50" s="251" t="s">
        <v>424</v>
      </c>
      <c r="C50" s="251" t="s">
        <v>44</v>
      </c>
      <c r="D50" s="251" t="s">
        <v>42</v>
      </c>
      <c r="E50" s="251" t="s">
        <v>304</v>
      </c>
      <c r="F50" s="233">
        <f t="shared" si="0"/>
        <v>168</v>
      </c>
      <c r="G50" s="233">
        <f t="shared" si="1"/>
        <v>160</v>
      </c>
      <c r="H50" s="233">
        <f t="shared" si="2"/>
        <v>184</v>
      </c>
      <c r="I50" s="233">
        <f t="shared" si="3"/>
        <v>144</v>
      </c>
      <c r="J50" s="233">
        <f t="shared" si="4"/>
        <v>0</v>
      </c>
      <c r="K50" s="233">
        <f t="shared" si="5"/>
        <v>0</v>
      </c>
      <c r="L50" s="233">
        <f t="shared" si="6"/>
        <v>0</v>
      </c>
      <c r="M50" s="233">
        <f t="shared" si="19"/>
        <v>0</v>
      </c>
      <c r="N50" s="233">
        <f t="shared" si="7"/>
        <v>0</v>
      </c>
      <c r="O50" s="233">
        <f>IFERROR(VLOOKUP(A50,TOTAL_HORAS,79,FALSE),0)</f>
        <v>0</v>
      </c>
      <c r="P50" s="233"/>
      <c r="Q50" s="233"/>
      <c r="R50" s="231">
        <f t="shared" si="8"/>
        <v>34.090909090909093</v>
      </c>
      <c r="S50" s="231">
        <f t="shared" si="9"/>
        <v>37.5</v>
      </c>
      <c r="T50" s="231">
        <f t="shared" si="10"/>
        <v>32.608695652173914</v>
      </c>
      <c r="U50" s="231">
        <f t="shared" si="11"/>
        <v>41.666666666666664</v>
      </c>
      <c r="V50" s="231">
        <f t="shared" si="12"/>
        <v>0</v>
      </c>
      <c r="W50" s="231">
        <f t="shared" si="13"/>
        <v>0</v>
      </c>
      <c r="X50" s="231">
        <f t="shared" si="14"/>
        <v>0</v>
      </c>
      <c r="Y50" s="231">
        <f t="shared" si="15"/>
        <v>0</v>
      </c>
      <c r="Z50" s="231">
        <f t="shared" si="16"/>
        <v>0</v>
      </c>
      <c r="AA50" s="231"/>
      <c r="AB50" s="231"/>
      <c r="AC50" s="231"/>
      <c r="AD50" s="230">
        <f t="shared" si="28"/>
        <v>5727.2727272727279</v>
      </c>
      <c r="AE50" s="230">
        <f t="shared" si="21"/>
        <v>6000</v>
      </c>
      <c r="AF50" s="230">
        <f t="shared" si="22"/>
        <v>6000</v>
      </c>
      <c r="AG50" s="230">
        <f t="shared" si="23"/>
        <v>6000</v>
      </c>
      <c r="AH50" s="230">
        <f t="shared" si="24"/>
        <v>0</v>
      </c>
      <c r="AI50" s="230">
        <f t="shared" si="25"/>
        <v>0</v>
      </c>
      <c r="AJ50" s="230">
        <f t="shared" si="26"/>
        <v>0</v>
      </c>
      <c r="AK50" s="230">
        <f t="shared" si="27"/>
        <v>0</v>
      </c>
      <c r="AL50" s="230">
        <f t="shared" si="27"/>
        <v>0</v>
      </c>
      <c r="AM50" s="230">
        <f t="shared" si="27"/>
        <v>0</v>
      </c>
      <c r="AN50" s="230">
        <f t="shared" si="27"/>
        <v>0</v>
      </c>
      <c r="AO50" s="230">
        <f t="shared" si="27"/>
        <v>0</v>
      </c>
    </row>
    <row r="51" spans="1:41" ht="15.75" customHeight="1" x14ac:dyDescent="0.25">
      <c r="A51" s="251" t="s">
        <v>713</v>
      </c>
      <c r="B51" s="251" t="s">
        <v>23</v>
      </c>
      <c r="C51" s="251" t="s">
        <v>44</v>
      </c>
      <c r="D51" s="251" t="s">
        <v>42</v>
      </c>
      <c r="E51" s="251" t="s">
        <v>304</v>
      </c>
      <c r="F51" s="233">
        <f t="shared" si="0"/>
        <v>176</v>
      </c>
      <c r="G51" s="233">
        <f t="shared" si="1"/>
        <v>160</v>
      </c>
      <c r="H51" s="233">
        <f t="shared" si="2"/>
        <v>184</v>
      </c>
      <c r="I51" s="233">
        <f t="shared" si="3"/>
        <v>144</v>
      </c>
      <c r="J51" s="233">
        <f t="shared" si="4"/>
        <v>176</v>
      </c>
      <c r="K51" s="233">
        <f t="shared" si="5"/>
        <v>168</v>
      </c>
      <c r="L51" s="233">
        <f t="shared" si="6"/>
        <v>80</v>
      </c>
      <c r="M51" s="233">
        <f t="shared" si="19"/>
        <v>0</v>
      </c>
      <c r="N51" s="233">
        <f t="shared" si="7"/>
        <v>0</v>
      </c>
      <c r="O51" s="233">
        <f>IFERROR(VLOOKUP(A51,TOTAL_HORAS,79,FALSE),0)</f>
        <v>0</v>
      </c>
      <c r="P51" s="233"/>
      <c r="Q51" s="233"/>
      <c r="R51" s="231">
        <f t="shared" si="8"/>
        <v>53.977272727272727</v>
      </c>
      <c r="S51" s="231">
        <f t="shared" si="9"/>
        <v>59.375</v>
      </c>
      <c r="T51" s="231">
        <f t="shared" si="10"/>
        <v>51.630434782608695</v>
      </c>
      <c r="U51" s="231">
        <f t="shared" si="11"/>
        <v>65.972222222222229</v>
      </c>
      <c r="V51" s="231">
        <f t="shared" si="12"/>
        <v>53.977272727272727</v>
      </c>
      <c r="W51" s="231">
        <f t="shared" si="13"/>
        <v>56.547619047619051</v>
      </c>
      <c r="X51" s="231">
        <f t="shared" si="14"/>
        <v>59.375</v>
      </c>
      <c r="Y51" s="231">
        <f t="shared" si="15"/>
        <v>0</v>
      </c>
      <c r="Z51" s="231">
        <f t="shared" si="16"/>
        <v>0</v>
      </c>
      <c r="AA51" s="231"/>
      <c r="AB51" s="231"/>
      <c r="AC51" s="231"/>
      <c r="AD51" s="230">
        <f t="shared" si="28"/>
        <v>9500</v>
      </c>
      <c r="AE51" s="230">
        <f t="shared" si="21"/>
        <v>9500</v>
      </c>
      <c r="AF51" s="230">
        <f t="shared" si="22"/>
        <v>9500</v>
      </c>
      <c r="AG51" s="230">
        <f t="shared" si="23"/>
        <v>9500</v>
      </c>
      <c r="AH51" s="230">
        <f t="shared" si="24"/>
        <v>9500</v>
      </c>
      <c r="AI51" s="230">
        <f t="shared" si="25"/>
        <v>9500</v>
      </c>
      <c r="AJ51" s="230">
        <f t="shared" si="26"/>
        <v>4750</v>
      </c>
      <c r="AK51" s="230">
        <f t="shared" si="27"/>
        <v>0</v>
      </c>
      <c r="AL51" s="230">
        <f t="shared" si="27"/>
        <v>0</v>
      </c>
      <c r="AM51" s="230">
        <f t="shared" si="27"/>
        <v>0</v>
      </c>
      <c r="AN51" s="230">
        <f t="shared" si="27"/>
        <v>0</v>
      </c>
      <c r="AO51" s="230">
        <f t="shared" si="27"/>
        <v>0</v>
      </c>
    </row>
    <row r="52" spans="1:41" ht="15.75" customHeight="1" x14ac:dyDescent="0.25">
      <c r="A52" s="251" t="s">
        <v>714</v>
      </c>
      <c r="B52" s="251" t="s">
        <v>430</v>
      </c>
      <c r="C52" s="251" t="s">
        <v>44</v>
      </c>
      <c r="D52" s="251" t="s">
        <v>42</v>
      </c>
      <c r="E52" s="251" t="s">
        <v>304</v>
      </c>
      <c r="F52" s="233">
        <f t="shared" si="0"/>
        <v>0</v>
      </c>
      <c r="G52" s="233">
        <f t="shared" si="1"/>
        <v>0</v>
      </c>
      <c r="H52" s="233">
        <f t="shared" si="2"/>
        <v>0</v>
      </c>
      <c r="I52" s="233">
        <f t="shared" si="3"/>
        <v>0</v>
      </c>
      <c r="J52" s="233">
        <f t="shared" si="4"/>
        <v>0</v>
      </c>
      <c r="K52" s="233">
        <f t="shared" si="5"/>
        <v>0</v>
      </c>
      <c r="L52" s="233">
        <f t="shared" si="6"/>
        <v>160</v>
      </c>
      <c r="M52" s="233">
        <f t="shared" si="19"/>
        <v>176</v>
      </c>
      <c r="N52" s="233">
        <f t="shared" si="7"/>
        <v>168</v>
      </c>
      <c r="O52" s="233">
        <f>IFERROR(VLOOKUP(A52,TOTAL_HORAS,79,FALSE),0)</f>
        <v>40</v>
      </c>
      <c r="P52" s="233"/>
      <c r="Q52" s="233"/>
      <c r="R52" s="231">
        <f t="shared" si="8"/>
        <v>0</v>
      </c>
      <c r="S52" s="231">
        <f t="shared" si="9"/>
        <v>0</v>
      </c>
      <c r="T52" s="231">
        <f t="shared" si="10"/>
        <v>0</v>
      </c>
      <c r="U52" s="231">
        <f t="shared" si="11"/>
        <v>0</v>
      </c>
      <c r="V52" s="231">
        <f t="shared" si="12"/>
        <v>0</v>
      </c>
      <c r="W52" s="231">
        <f t="shared" si="13"/>
        <v>0</v>
      </c>
      <c r="X52" s="231">
        <f t="shared" si="14"/>
        <v>40.625</v>
      </c>
      <c r="Y52" s="231">
        <f t="shared" si="15"/>
        <v>36.93181818181818</v>
      </c>
      <c r="Z52" s="231">
        <f t="shared" si="16"/>
        <v>38.69047619047619</v>
      </c>
      <c r="AA52" s="231"/>
      <c r="AB52" s="231"/>
      <c r="AC52" s="231"/>
      <c r="AD52" s="230">
        <f t="shared" si="28"/>
        <v>0</v>
      </c>
      <c r="AE52" s="230">
        <f t="shared" si="21"/>
        <v>0</v>
      </c>
      <c r="AF52" s="230">
        <f t="shared" si="22"/>
        <v>0</v>
      </c>
      <c r="AG52" s="230">
        <f t="shared" si="23"/>
        <v>0</v>
      </c>
      <c r="AH52" s="230">
        <f t="shared" si="24"/>
        <v>0</v>
      </c>
      <c r="AI52" s="230">
        <f t="shared" si="25"/>
        <v>0</v>
      </c>
      <c r="AJ52" s="230">
        <f t="shared" si="26"/>
        <v>6500</v>
      </c>
      <c r="AK52" s="230">
        <f t="shared" si="27"/>
        <v>6500</v>
      </c>
      <c r="AL52" s="230">
        <f t="shared" si="27"/>
        <v>6500</v>
      </c>
      <c r="AM52" s="230">
        <f t="shared" si="27"/>
        <v>0</v>
      </c>
      <c r="AN52" s="230">
        <f t="shared" si="27"/>
        <v>0</v>
      </c>
      <c r="AO52" s="230">
        <f t="shared" si="27"/>
        <v>0</v>
      </c>
    </row>
    <row r="53" spans="1:41" ht="15.75" customHeight="1" x14ac:dyDescent="0.25">
      <c r="A53" s="251" t="s">
        <v>715</v>
      </c>
      <c r="B53" s="251" t="s">
        <v>20</v>
      </c>
      <c r="C53" s="251" t="s">
        <v>209</v>
      </c>
      <c r="D53" s="251" t="s">
        <v>209</v>
      </c>
      <c r="E53" s="251" t="s">
        <v>243</v>
      </c>
      <c r="F53" s="233">
        <f t="shared" si="0"/>
        <v>0</v>
      </c>
      <c r="G53" s="233">
        <f t="shared" si="1"/>
        <v>0</v>
      </c>
      <c r="H53" s="233">
        <f t="shared" si="2"/>
        <v>0</v>
      </c>
      <c r="I53" s="233">
        <f t="shared" si="3"/>
        <v>40</v>
      </c>
      <c r="J53" s="233">
        <f t="shared" si="4"/>
        <v>0</v>
      </c>
      <c r="K53" s="233">
        <f t="shared" si="5"/>
        <v>4</v>
      </c>
      <c r="L53" s="233">
        <f t="shared" si="6"/>
        <v>0</v>
      </c>
      <c r="M53" s="233">
        <f t="shared" si="19"/>
        <v>0</v>
      </c>
      <c r="N53" s="233">
        <f t="shared" si="7"/>
        <v>0</v>
      </c>
      <c r="O53" s="233">
        <f>IFERROR(VLOOKUP(A53,TOTAL_HORAS,79,FALSE),0)</f>
        <v>0</v>
      </c>
      <c r="P53" s="233"/>
      <c r="Q53" s="233"/>
      <c r="R53" s="231">
        <f t="shared" si="8"/>
        <v>26.477272727272727</v>
      </c>
      <c r="S53" s="231">
        <f t="shared" si="9"/>
        <v>29.125</v>
      </c>
      <c r="T53" s="231">
        <f t="shared" si="10"/>
        <v>25.326086956521738</v>
      </c>
      <c r="U53" s="231">
        <f t="shared" si="11"/>
        <v>32.361111111111114</v>
      </c>
      <c r="V53" s="231">
        <f t="shared" si="12"/>
        <v>26.477272727272727</v>
      </c>
      <c r="W53" s="231">
        <f t="shared" si="13"/>
        <v>27.738095238095237</v>
      </c>
      <c r="X53" s="231">
        <f t="shared" si="14"/>
        <v>29.125</v>
      </c>
      <c r="Y53" s="231">
        <f t="shared" si="15"/>
        <v>26.477272727272727</v>
      </c>
      <c r="Z53" s="231">
        <f t="shared" si="16"/>
        <v>27.738095238095237</v>
      </c>
      <c r="AA53" s="231"/>
      <c r="AB53" s="231"/>
      <c r="AC53" s="231"/>
      <c r="AD53" s="230">
        <f t="shared" si="28"/>
        <v>0</v>
      </c>
      <c r="AE53" s="230">
        <f t="shared" si="21"/>
        <v>0</v>
      </c>
      <c r="AF53" s="230">
        <f t="shared" si="22"/>
        <v>0</v>
      </c>
      <c r="AG53" s="230">
        <f t="shared" si="23"/>
        <v>1294.4444444444446</v>
      </c>
      <c r="AH53" s="230">
        <f t="shared" si="24"/>
        <v>0</v>
      </c>
      <c r="AI53" s="230">
        <f t="shared" si="25"/>
        <v>110.95238095238095</v>
      </c>
      <c r="AJ53" s="230">
        <f t="shared" si="26"/>
        <v>0</v>
      </c>
      <c r="AK53" s="230">
        <f t="shared" si="27"/>
        <v>0</v>
      </c>
      <c r="AL53" s="230">
        <f t="shared" si="27"/>
        <v>0</v>
      </c>
      <c r="AM53" s="230">
        <f t="shared" si="27"/>
        <v>0</v>
      </c>
      <c r="AN53" s="230">
        <f t="shared" si="27"/>
        <v>0</v>
      </c>
      <c r="AO53" s="230">
        <f t="shared" si="27"/>
        <v>0</v>
      </c>
    </row>
    <row r="54" spans="1:41" ht="15.75" customHeight="1" x14ac:dyDescent="0.25">
      <c r="A54" s="251" t="s">
        <v>716</v>
      </c>
      <c r="B54" s="251" t="s">
        <v>20</v>
      </c>
      <c r="C54" s="251" t="s">
        <v>208</v>
      </c>
      <c r="D54" s="251" t="s">
        <v>208</v>
      </c>
      <c r="E54" s="251" t="s">
        <v>210</v>
      </c>
      <c r="F54" s="233">
        <f t="shared" si="0"/>
        <v>8</v>
      </c>
      <c r="G54" s="233">
        <f t="shared" si="1"/>
        <v>0</v>
      </c>
      <c r="H54" s="233">
        <f t="shared" si="2"/>
        <v>0</v>
      </c>
      <c r="I54" s="233">
        <f t="shared" si="3"/>
        <v>0</v>
      </c>
      <c r="J54" s="233">
        <f t="shared" si="4"/>
        <v>16</v>
      </c>
      <c r="K54" s="233">
        <f t="shared" si="5"/>
        <v>0</v>
      </c>
      <c r="L54" s="233">
        <f t="shared" si="6"/>
        <v>0</v>
      </c>
      <c r="M54" s="233">
        <f t="shared" si="19"/>
        <v>0</v>
      </c>
      <c r="N54" s="233">
        <f t="shared" si="7"/>
        <v>0</v>
      </c>
      <c r="O54" s="233">
        <f>IFERROR(VLOOKUP(A54,TOTAL_HORAS,79,FALSE),0)</f>
        <v>0</v>
      </c>
      <c r="P54" s="233"/>
      <c r="Q54" s="233"/>
      <c r="R54" s="231">
        <f t="shared" si="8"/>
        <v>26.477272727272727</v>
      </c>
      <c r="S54" s="231">
        <f t="shared" si="9"/>
        <v>29.125</v>
      </c>
      <c r="T54" s="231">
        <f t="shared" si="10"/>
        <v>25.326086956521738</v>
      </c>
      <c r="U54" s="231">
        <f t="shared" si="11"/>
        <v>32.361111111111114</v>
      </c>
      <c r="V54" s="231">
        <f t="shared" si="12"/>
        <v>26.477272727272727</v>
      </c>
      <c r="W54" s="231">
        <f t="shared" si="13"/>
        <v>27.738095238095237</v>
      </c>
      <c r="X54" s="231">
        <f t="shared" si="14"/>
        <v>29.125</v>
      </c>
      <c r="Y54" s="231">
        <f t="shared" si="15"/>
        <v>26.477272727272727</v>
      </c>
      <c r="Z54" s="231">
        <f t="shared" si="16"/>
        <v>27.738095238095237</v>
      </c>
      <c r="AA54" s="231"/>
      <c r="AB54" s="231"/>
      <c r="AC54" s="231"/>
      <c r="AD54" s="230">
        <f t="shared" si="28"/>
        <v>211.81818181818181</v>
      </c>
      <c r="AE54" s="230">
        <f t="shared" si="21"/>
        <v>0</v>
      </c>
      <c r="AF54" s="230">
        <f t="shared" si="22"/>
        <v>0</v>
      </c>
      <c r="AG54" s="230">
        <f t="shared" si="23"/>
        <v>0</v>
      </c>
      <c r="AH54" s="230">
        <f t="shared" si="24"/>
        <v>423.63636363636363</v>
      </c>
      <c r="AI54" s="230">
        <f t="shared" si="25"/>
        <v>0</v>
      </c>
      <c r="AJ54" s="230">
        <f t="shared" si="26"/>
        <v>0</v>
      </c>
      <c r="AK54" s="230">
        <f t="shared" si="27"/>
        <v>0</v>
      </c>
      <c r="AL54" s="230">
        <f t="shared" si="27"/>
        <v>0</v>
      </c>
      <c r="AM54" s="230">
        <f t="shared" si="27"/>
        <v>0</v>
      </c>
      <c r="AN54" s="230">
        <f t="shared" si="27"/>
        <v>0</v>
      </c>
      <c r="AO54" s="230">
        <f t="shared" si="27"/>
        <v>0</v>
      </c>
    </row>
    <row r="55" spans="1:41" ht="15.75" customHeight="1" x14ac:dyDescent="0.25">
      <c r="A55" s="251" t="s">
        <v>717</v>
      </c>
      <c r="B55" s="251" t="s">
        <v>20</v>
      </c>
      <c r="C55" s="251" t="s">
        <v>44</v>
      </c>
      <c r="D55" s="251" t="s">
        <v>42</v>
      </c>
      <c r="E55" s="251" t="s">
        <v>304</v>
      </c>
      <c r="F55" s="233">
        <f t="shared" si="0"/>
        <v>168</v>
      </c>
      <c r="G55" s="233">
        <f t="shared" si="1"/>
        <v>160</v>
      </c>
      <c r="H55" s="233">
        <f t="shared" si="2"/>
        <v>184</v>
      </c>
      <c r="I55" s="233">
        <f t="shared" si="3"/>
        <v>104</v>
      </c>
      <c r="J55" s="233">
        <f t="shared" si="4"/>
        <v>160</v>
      </c>
      <c r="K55" s="233">
        <f t="shared" si="5"/>
        <v>164</v>
      </c>
      <c r="L55" s="233">
        <f t="shared" si="6"/>
        <v>160</v>
      </c>
      <c r="M55" s="233">
        <f t="shared" si="19"/>
        <v>176</v>
      </c>
      <c r="N55" s="233">
        <f t="shared" si="7"/>
        <v>168</v>
      </c>
      <c r="O55" s="233">
        <f>IFERROR(VLOOKUP(A55,TOTAL_HORAS,79,FALSE),0)</f>
        <v>40</v>
      </c>
      <c r="P55" s="233"/>
      <c r="Q55" s="233"/>
      <c r="R55" s="231">
        <f t="shared" si="8"/>
        <v>26.477272727272727</v>
      </c>
      <c r="S55" s="231">
        <f t="shared" si="9"/>
        <v>29.125</v>
      </c>
      <c r="T55" s="231">
        <f t="shared" si="10"/>
        <v>25.326086956521738</v>
      </c>
      <c r="U55" s="231">
        <f t="shared" si="11"/>
        <v>32.361111111111114</v>
      </c>
      <c r="V55" s="231">
        <f t="shared" si="12"/>
        <v>26.477272727272727</v>
      </c>
      <c r="W55" s="231">
        <f t="shared" si="13"/>
        <v>27.738095238095237</v>
      </c>
      <c r="X55" s="231">
        <f t="shared" si="14"/>
        <v>29.125</v>
      </c>
      <c r="Y55" s="231">
        <f t="shared" si="15"/>
        <v>26.477272727272727</v>
      </c>
      <c r="Z55" s="231">
        <f t="shared" si="16"/>
        <v>27.738095238095237</v>
      </c>
      <c r="AA55" s="231"/>
      <c r="AB55" s="231"/>
      <c r="AC55" s="231"/>
      <c r="AD55" s="230">
        <f t="shared" si="28"/>
        <v>4448.181818181818</v>
      </c>
      <c r="AE55" s="230">
        <f t="shared" si="21"/>
        <v>4660</v>
      </c>
      <c r="AF55" s="230">
        <f t="shared" si="22"/>
        <v>4660</v>
      </c>
      <c r="AG55" s="230">
        <f t="shared" si="23"/>
        <v>3365.5555555555557</v>
      </c>
      <c r="AH55" s="230">
        <f t="shared" si="24"/>
        <v>4236.363636363636</v>
      </c>
      <c r="AI55" s="230">
        <f t="shared" si="25"/>
        <v>4549.0476190476193</v>
      </c>
      <c r="AJ55" s="230">
        <f t="shared" si="26"/>
        <v>4660</v>
      </c>
      <c r="AK55" s="230">
        <f t="shared" si="27"/>
        <v>4660</v>
      </c>
      <c r="AL55" s="230">
        <f t="shared" si="27"/>
        <v>4660</v>
      </c>
      <c r="AM55" s="230">
        <f t="shared" si="27"/>
        <v>0</v>
      </c>
      <c r="AN55" s="230">
        <f t="shared" si="27"/>
        <v>0</v>
      </c>
      <c r="AO55" s="230">
        <f t="shared" si="27"/>
        <v>0</v>
      </c>
    </row>
    <row r="56" spans="1:41" ht="15.75" customHeight="1" x14ac:dyDescent="0.25">
      <c r="A56" s="251" t="s">
        <v>718</v>
      </c>
      <c r="B56" s="251" t="s">
        <v>3</v>
      </c>
      <c r="C56" s="251" t="s">
        <v>209</v>
      </c>
      <c r="D56" s="251" t="s">
        <v>209</v>
      </c>
      <c r="E56" s="251" t="s">
        <v>243</v>
      </c>
      <c r="F56" s="233">
        <f t="shared" si="0"/>
        <v>0</v>
      </c>
      <c r="G56" s="233">
        <f t="shared" si="1"/>
        <v>0</v>
      </c>
      <c r="H56" s="233">
        <f t="shared" si="2"/>
        <v>0</v>
      </c>
      <c r="I56" s="233">
        <f t="shared" si="3"/>
        <v>0</v>
      </c>
      <c r="J56" s="233">
        <f t="shared" si="4"/>
        <v>0</v>
      </c>
      <c r="K56" s="233">
        <f t="shared" si="5"/>
        <v>0</v>
      </c>
      <c r="L56" s="233">
        <f t="shared" si="6"/>
        <v>8</v>
      </c>
      <c r="M56" s="233">
        <f t="shared" si="19"/>
        <v>32</v>
      </c>
      <c r="N56" s="233">
        <f t="shared" si="7"/>
        <v>0</v>
      </c>
      <c r="O56" s="233">
        <f>IFERROR(VLOOKUP(A56,TOTAL_HORAS,79,FALSE),0)</f>
        <v>0</v>
      </c>
      <c r="P56" s="233"/>
      <c r="Q56" s="233"/>
      <c r="R56" s="231">
        <f t="shared" si="8"/>
        <v>36.93181818181818</v>
      </c>
      <c r="S56" s="231">
        <f t="shared" si="9"/>
        <v>40.625</v>
      </c>
      <c r="T56" s="231">
        <f t="shared" si="10"/>
        <v>35.326086956521742</v>
      </c>
      <c r="U56" s="231">
        <f t="shared" si="11"/>
        <v>45.138888888888886</v>
      </c>
      <c r="V56" s="231">
        <f t="shared" si="12"/>
        <v>36.93181818181818</v>
      </c>
      <c r="W56" s="231">
        <f t="shared" si="13"/>
        <v>38.69047619047619</v>
      </c>
      <c r="X56" s="231">
        <f t="shared" si="14"/>
        <v>40.625</v>
      </c>
      <c r="Y56" s="231">
        <f t="shared" si="15"/>
        <v>36.93181818181818</v>
      </c>
      <c r="Z56" s="231">
        <f t="shared" si="16"/>
        <v>38.69047619047619</v>
      </c>
      <c r="AA56" s="231"/>
      <c r="AB56" s="231"/>
      <c r="AC56" s="231"/>
      <c r="AD56" s="230">
        <f t="shared" si="28"/>
        <v>0</v>
      </c>
      <c r="AE56" s="230">
        <f t="shared" si="21"/>
        <v>0</v>
      </c>
      <c r="AF56" s="230">
        <f t="shared" si="22"/>
        <v>0</v>
      </c>
      <c r="AG56" s="230">
        <f t="shared" si="23"/>
        <v>0</v>
      </c>
      <c r="AH56" s="230">
        <f t="shared" si="24"/>
        <v>0</v>
      </c>
      <c r="AI56" s="230">
        <f t="shared" si="25"/>
        <v>0</v>
      </c>
      <c r="AJ56" s="230">
        <f t="shared" si="26"/>
        <v>325</v>
      </c>
      <c r="AK56" s="230">
        <f t="shared" si="27"/>
        <v>1181.8181818181818</v>
      </c>
      <c r="AL56" s="230">
        <f t="shared" si="27"/>
        <v>0</v>
      </c>
      <c r="AM56" s="230">
        <f t="shared" si="27"/>
        <v>0</v>
      </c>
      <c r="AN56" s="230">
        <f t="shared" si="27"/>
        <v>0</v>
      </c>
      <c r="AO56" s="230">
        <f t="shared" si="27"/>
        <v>0</v>
      </c>
    </row>
    <row r="57" spans="1:41" ht="15.75" customHeight="1" x14ac:dyDescent="0.25">
      <c r="A57" s="251" t="s">
        <v>719</v>
      </c>
      <c r="B57" s="251" t="s">
        <v>3</v>
      </c>
      <c r="C57" s="251" t="s">
        <v>44</v>
      </c>
      <c r="D57" s="251" t="s">
        <v>42</v>
      </c>
      <c r="E57" s="251" t="s">
        <v>304</v>
      </c>
      <c r="F57" s="233">
        <f t="shared" si="0"/>
        <v>170</v>
      </c>
      <c r="G57" s="233">
        <f t="shared" si="1"/>
        <v>152</v>
      </c>
      <c r="H57" s="233">
        <f t="shared" si="2"/>
        <v>184</v>
      </c>
      <c r="I57" s="233">
        <f t="shared" si="3"/>
        <v>120</v>
      </c>
      <c r="J57" s="233">
        <f t="shared" si="4"/>
        <v>176</v>
      </c>
      <c r="K57" s="233">
        <f t="shared" si="5"/>
        <v>168</v>
      </c>
      <c r="L57" s="233">
        <f t="shared" si="6"/>
        <v>152</v>
      </c>
      <c r="M57" s="233">
        <f t="shared" si="19"/>
        <v>136</v>
      </c>
      <c r="N57" s="233">
        <f t="shared" si="7"/>
        <v>160</v>
      </c>
      <c r="O57" s="233">
        <f>IFERROR(VLOOKUP(A57,TOTAL_HORAS,79,FALSE),0)</f>
        <v>32</v>
      </c>
      <c r="P57" s="233"/>
      <c r="Q57" s="233"/>
      <c r="R57" s="231">
        <f t="shared" si="8"/>
        <v>36.93181818181818</v>
      </c>
      <c r="S57" s="231">
        <f t="shared" si="9"/>
        <v>40.625</v>
      </c>
      <c r="T57" s="231">
        <f t="shared" si="10"/>
        <v>35.326086956521742</v>
      </c>
      <c r="U57" s="231">
        <f t="shared" si="11"/>
        <v>45.138888888888886</v>
      </c>
      <c r="V57" s="231">
        <f t="shared" si="12"/>
        <v>36.93181818181818</v>
      </c>
      <c r="W57" s="231">
        <f t="shared" si="13"/>
        <v>38.69047619047619</v>
      </c>
      <c r="X57" s="231">
        <f t="shared" si="14"/>
        <v>40.625</v>
      </c>
      <c r="Y57" s="231">
        <f t="shared" si="15"/>
        <v>36.93181818181818</v>
      </c>
      <c r="Z57" s="231">
        <f t="shared" si="16"/>
        <v>38.69047619047619</v>
      </c>
      <c r="AA57" s="231"/>
      <c r="AB57" s="231"/>
      <c r="AC57" s="231"/>
      <c r="AD57" s="230">
        <f t="shared" si="28"/>
        <v>6278.409090909091</v>
      </c>
      <c r="AE57" s="230">
        <f t="shared" si="21"/>
        <v>6175</v>
      </c>
      <c r="AF57" s="230">
        <f t="shared" si="22"/>
        <v>6500.0000000000009</v>
      </c>
      <c r="AG57" s="230">
        <f t="shared" si="23"/>
        <v>5416.6666666666661</v>
      </c>
      <c r="AH57" s="230">
        <f t="shared" si="24"/>
        <v>6500</v>
      </c>
      <c r="AI57" s="230">
        <f t="shared" si="25"/>
        <v>6500</v>
      </c>
      <c r="AJ57" s="230">
        <f t="shared" si="26"/>
        <v>6175</v>
      </c>
      <c r="AK57" s="230">
        <f t="shared" si="27"/>
        <v>5022.7272727272721</v>
      </c>
      <c r="AL57" s="230">
        <f t="shared" si="27"/>
        <v>6190.4761904761908</v>
      </c>
      <c r="AM57" s="230">
        <f t="shared" si="27"/>
        <v>0</v>
      </c>
      <c r="AN57" s="230">
        <f t="shared" si="27"/>
        <v>0</v>
      </c>
      <c r="AO57" s="230">
        <f t="shared" si="27"/>
        <v>0</v>
      </c>
    </row>
    <row r="58" spans="1:41" ht="15.75" customHeight="1" x14ac:dyDescent="0.25">
      <c r="A58" s="251" t="s">
        <v>720</v>
      </c>
      <c r="B58" s="251" t="s">
        <v>10</v>
      </c>
      <c r="C58" s="251" t="s">
        <v>75</v>
      </c>
      <c r="D58" s="251" t="s">
        <v>75</v>
      </c>
      <c r="E58" s="251" t="s">
        <v>131</v>
      </c>
      <c r="F58" s="233">
        <f t="shared" si="0"/>
        <v>0</v>
      </c>
      <c r="G58" s="233">
        <f t="shared" si="1"/>
        <v>0</v>
      </c>
      <c r="H58" s="233">
        <f t="shared" si="2"/>
        <v>0</v>
      </c>
      <c r="I58" s="233">
        <f t="shared" si="3"/>
        <v>0</v>
      </c>
      <c r="J58" s="233">
        <f t="shared" si="4"/>
        <v>0</v>
      </c>
      <c r="K58" s="233">
        <f t="shared" si="5"/>
        <v>8</v>
      </c>
      <c r="L58" s="233">
        <f t="shared" si="6"/>
        <v>0</v>
      </c>
      <c r="M58" s="233">
        <f t="shared" si="19"/>
        <v>5</v>
      </c>
      <c r="N58" s="233">
        <f t="shared" si="7"/>
        <v>2</v>
      </c>
      <c r="O58" s="233">
        <f>IFERROR(VLOOKUP(A58,TOTAL_HORAS,79,FALSE),0)</f>
        <v>0</v>
      </c>
      <c r="P58" s="233"/>
      <c r="Q58" s="233"/>
      <c r="R58" s="231">
        <f t="shared" si="8"/>
        <v>32.670454545454547</v>
      </c>
      <c r="S58" s="231">
        <f t="shared" si="9"/>
        <v>35.9375</v>
      </c>
      <c r="T58" s="231">
        <f t="shared" si="10"/>
        <v>31.25</v>
      </c>
      <c r="U58" s="231">
        <f t="shared" si="11"/>
        <v>39.930555555555557</v>
      </c>
      <c r="V58" s="231">
        <f t="shared" si="12"/>
        <v>32.670454545454547</v>
      </c>
      <c r="W58" s="231">
        <f t="shared" si="13"/>
        <v>34.226190476190474</v>
      </c>
      <c r="X58" s="231">
        <f t="shared" si="14"/>
        <v>46.875</v>
      </c>
      <c r="Y58" s="231">
        <f t="shared" si="15"/>
        <v>42.613636363636367</v>
      </c>
      <c r="Z58" s="231">
        <f t="shared" si="16"/>
        <v>44.642857142857146</v>
      </c>
      <c r="AA58" s="231"/>
      <c r="AB58" s="231"/>
      <c r="AC58" s="231"/>
      <c r="AD58" s="230">
        <f t="shared" si="28"/>
        <v>0</v>
      </c>
      <c r="AE58" s="230">
        <f t="shared" si="21"/>
        <v>0</v>
      </c>
      <c r="AF58" s="230">
        <f t="shared" si="22"/>
        <v>0</v>
      </c>
      <c r="AG58" s="230">
        <f t="shared" si="23"/>
        <v>0</v>
      </c>
      <c r="AH58" s="230">
        <f t="shared" si="24"/>
        <v>0</v>
      </c>
      <c r="AI58" s="230">
        <f t="shared" si="25"/>
        <v>273.8095238095238</v>
      </c>
      <c r="AJ58" s="230">
        <f t="shared" si="26"/>
        <v>0</v>
      </c>
      <c r="AK58" s="230">
        <f t="shared" si="27"/>
        <v>213.06818181818184</v>
      </c>
      <c r="AL58" s="230">
        <f t="shared" si="27"/>
        <v>89.285714285714292</v>
      </c>
      <c r="AM58" s="230">
        <f t="shared" si="27"/>
        <v>0</v>
      </c>
      <c r="AN58" s="230">
        <f t="shared" si="27"/>
        <v>0</v>
      </c>
      <c r="AO58" s="230">
        <f t="shared" si="27"/>
        <v>0</v>
      </c>
    </row>
    <row r="59" spans="1:41" ht="15.75" customHeight="1" x14ac:dyDescent="0.25">
      <c r="A59" s="251" t="s">
        <v>721</v>
      </c>
      <c r="B59" s="251" t="s">
        <v>10</v>
      </c>
      <c r="C59" s="251" t="s">
        <v>208</v>
      </c>
      <c r="D59" s="251" t="s">
        <v>208</v>
      </c>
      <c r="E59" s="251" t="s">
        <v>210</v>
      </c>
      <c r="F59" s="233">
        <f t="shared" si="0"/>
        <v>0</v>
      </c>
      <c r="G59" s="233">
        <f t="shared" si="1"/>
        <v>0</v>
      </c>
      <c r="H59" s="233">
        <f t="shared" si="2"/>
        <v>0</v>
      </c>
      <c r="I59" s="233">
        <f t="shared" si="3"/>
        <v>0</v>
      </c>
      <c r="J59" s="233">
        <f t="shared" si="4"/>
        <v>8</v>
      </c>
      <c r="K59" s="233">
        <f t="shared" si="5"/>
        <v>0</v>
      </c>
      <c r="L59" s="233">
        <f t="shared" si="6"/>
        <v>0</v>
      </c>
      <c r="M59" s="233">
        <f t="shared" si="19"/>
        <v>0</v>
      </c>
      <c r="N59" s="233">
        <f t="shared" si="7"/>
        <v>0</v>
      </c>
      <c r="O59" s="233">
        <f>IFERROR(VLOOKUP(A59,TOTAL_HORAS,79,FALSE),0)</f>
        <v>0</v>
      </c>
      <c r="P59" s="233"/>
      <c r="Q59" s="233"/>
      <c r="R59" s="231">
        <f t="shared" si="8"/>
        <v>32.670454545454547</v>
      </c>
      <c r="S59" s="231">
        <f t="shared" si="9"/>
        <v>35.9375</v>
      </c>
      <c r="T59" s="231">
        <f t="shared" si="10"/>
        <v>31.25</v>
      </c>
      <c r="U59" s="231">
        <f t="shared" si="11"/>
        <v>39.930555555555557</v>
      </c>
      <c r="V59" s="231">
        <f t="shared" si="12"/>
        <v>32.670454545454547</v>
      </c>
      <c r="W59" s="231">
        <f t="shared" si="13"/>
        <v>34.226190476190474</v>
      </c>
      <c r="X59" s="231">
        <f t="shared" si="14"/>
        <v>46.875</v>
      </c>
      <c r="Y59" s="231">
        <f t="shared" si="15"/>
        <v>42.613636363636367</v>
      </c>
      <c r="Z59" s="231">
        <f t="shared" si="16"/>
        <v>44.642857142857146</v>
      </c>
      <c r="AA59" s="231"/>
      <c r="AB59" s="231"/>
      <c r="AC59" s="231"/>
      <c r="AD59" s="230">
        <f t="shared" si="28"/>
        <v>0</v>
      </c>
      <c r="AE59" s="230">
        <f t="shared" si="21"/>
        <v>0</v>
      </c>
      <c r="AF59" s="230">
        <f t="shared" si="22"/>
        <v>0</v>
      </c>
      <c r="AG59" s="230">
        <f t="shared" si="23"/>
        <v>0</v>
      </c>
      <c r="AH59" s="230">
        <f t="shared" si="24"/>
        <v>261.36363636363637</v>
      </c>
      <c r="AI59" s="230">
        <f t="shared" si="25"/>
        <v>0</v>
      </c>
      <c r="AJ59" s="230">
        <f t="shared" si="26"/>
        <v>0</v>
      </c>
      <c r="AK59" s="230">
        <f t="shared" si="27"/>
        <v>0</v>
      </c>
      <c r="AL59" s="230">
        <f t="shared" si="27"/>
        <v>0</v>
      </c>
      <c r="AM59" s="230">
        <f t="shared" si="27"/>
        <v>0</v>
      </c>
      <c r="AN59" s="230">
        <f t="shared" si="27"/>
        <v>0</v>
      </c>
      <c r="AO59" s="230">
        <f t="shared" si="27"/>
        <v>0</v>
      </c>
    </row>
    <row r="60" spans="1:41" ht="15.75" customHeight="1" x14ac:dyDescent="0.25">
      <c r="A60" s="251" t="s">
        <v>722</v>
      </c>
      <c r="B60" s="251" t="s">
        <v>10</v>
      </c>
      <c r="C60" s="251" t="s">
        <v>103</v>
      </c>
      <c r="D60" s="251" t="s">
        <v>361</v>
      </c>
      <c r="E60" s="251" t="s">
        <v>362</v>
      </c>
      <c r="F60" s="233">
        <f t="shared" si="0"/>
        <v>0</v>
      </c>
      <c r="G60" s="233">
        <f t="shared" si="1"/>
        <v>0</v>
      </c>
      <c r="H60" s="233">
        <f t="shared" si="2"/>
        <v>0</v>
      </c>
      <c r="I60" s="233">
        <f t="shared" si="3"/>
        <v>0</v>
      </c>
      <c r="J60" s="233">
        <f t="shared" si="4"/>
        <v>0</v>
      </c>
      <c r="K60" s="233">
        <f t="shared" si="5"/>
        <v>0</v>
      </c>
      <c r="L60" s="233">
        <f t="shared" si="6"/>
        <v>8</v>
      </c>
      <c r="M60" s="233">
        <f t="shared" si="19"/>
        <v>142</v>
      </c>
      <c r="N60" s="233">
        <f t="shared" si="7"/>
        <v>123</v>
      </c>
      <c r="O60" s="233">
        <f>IFERROR(VLOOKUP(A60,TOTAL_HORAS,79,FALSE),0)</f>
        <v>30</v>
      </c>
      <c r="P60" s="233"/>
      <c r="Q60" s="233"/>
      <c r="R60" s="231">
        <f t="shared" si="8"/>
        <v>32.670454545454547</v>
      </c>
      <c r="S60" s="231">
        <f t="shared" si="9"/>
        <v>35.9375</v>
      </c>
      <c r="T60" s="231">
        <f t="shared" si="10"/>
        <v>31.25</v>
      </c>
      <c r="U60" s="231">
        <f t="shared" si="11"/>
        <v>39.930555555555557</v>
      </c>
      <c r="V60" s="231">
        <f t="shared" si="12"/>
        <v>32.670454545454547</v>
      </c>
      <c r="W60" s="231">
        <f t="shared" si="13"/>
        <v>34.226190476190474</v>
      </c>
      <c r="X60" s="231">
        <f t="shared" si="14"/>
        <v>46.875</v>
      </c>
      <c r="Y60" s="231">
        <f t="shared" si="15"/>
        <v>42.613636363636367</v>
      </c>
      <c r="Z60" s="231">
        <f t="shared" si="16"/>
        <v>44.642857142857146</v>
      </c>
      <c r="AA60" s="231"/>
      <c r="AB60" s="231"/>
      <c r="AC60" s="231"/>
      <c r="AD60" s="230">
        <f t="shared" si="28"/>
        <v>0</v>
      </c>
      <c r="AE60" s="230">
        <f t="shared" si="21"/>
        <v>0</v>
      </c>
      <c r="AF60" s="230">
        <f t="shared" si="22"/>
        <v>0</v>
      </c>
      <c r="AG60" s="230">
        <f t="shared" si="23"/>
        <v>0</v>
      </c>
      <c r="AH60" s="230">
        <f t="shared" si="24"/>
        <v>0</v>
      </c>
      <c r="AI60" s="230">
        <f t="shared" si="25"/>
        <v>0</v>
      </c>
      <c r="AJ60" s="230">
        <f t="shared" si="26"/>
        <v>375</v>
      </c>
      <c r="AK60" s="230">
        <f t="shared" si="27"/>
        <v>6051.136363636364</v>
      </c>
      <c r="AL60" s="230">
        <f t="shared" si="27"/>
        <v>5491.0714285714294</v>
      </c>
      <c r="AM60" s="230">
        <f t="shared" si="27"/>
        <v>0</v>
      </c>
      <c r="AN60" s="230">
        <f t="shared" si="27"/>
        <v>0</v>
      </c>
      <c r="AO60" s="230">
        <f t="shared" si="27"/>
        <v>0</v>
      </c>
    </row>
    <row r="61" spans="1:41" ht="15.75" customHeight="1" x14ac:dyDescent="0.25">
      <c r="A61" s="251" t="s">
        <v>723</v>
      </c>
      <c r="B61" s="251" t="s">
        <v>10</v>
      </c>
      <c r="C61" s="251" t="s">
        <v>209</v>
      </c>
      <c r="D61" s="251" t="s">
        <v>209</v>
      </c>
      <c r="E61" s="251" t="s">
        <v>243</v>
      </c>
      <c r="F61" s="233">
        <f t="shared" si="0"/>
        <v>0</v>
      </c>
      <c r="G61" s="233">
        <f t="shared" si="1"/>
        <v>0</v>
      </c>
      <c r="H61" s="233">
        <f t="shared" si="2"/>
        <v>40</v>
      </c>
      <c r="I61" s="233">
        <f t="shared" si="3"/>
        <v>0</v>
      </c>
      <c r="J61" s="233">
        <f t="shared" si="4"/>
        <v>0</v>
      </c>
      <c r="K61" s="233">
        <f t="shared" si="5"/>
        <v>0</v>
      </c>
      <c r="L61" s="233">
        <f t="shared" si="6"/>
        <v>0</v>
      </c>
      <c r="M61" s="233">
        <f t="shared" si="19"/>
        <v>0</v>
      </c>
      <c r="N61" s="233">
        <f t="shared" si="7"/>
        <v>0</v>
      </c>
      <c r="O61" s="233">
        <f>IFERROR(VLOOKUP(A61,TOTAL_HORAS,79,FALSE),0)</f>
        <v>0</v>
      </c>
      <c r="P61" s="233"/>
      <c r="Q61" s="233"/>
      <c r="R61" s="231">
        <f t="shared" si="8"/>
        <v>32.670454545454547</v>
      </c>
      <c r="S61" s="231">
        <f t="shared" si="9"/>
        <v>35.9375</v>
      </c>
      <c r="T61" s="231">
        <f t="shared" si="10"/>
        <v>31.25</v>
      </c>
      <c r="U61" s="231">
        <f t="shared" si="11"/>
        <v>39.930555555555557</v>
      </c>
      <c r="V61" s="231">
        <f t="shared" si="12"/>
        <v>32.670454545454547</v>
      </c>
      <c r="W61" s="231">
        <f t="shared" si="13"/>
        <v>34.226190476190474</v>
      </c>
      <c r="X61" s="231">
        <f t="shared" si="14"/>
        <v>46.875</v>
      </c>
      <c r="Y61" s="231">
        <f t="shared" si="15"/>
        <v>42.613636363636367</v>
      </c>
      <c r="Z61" s="231">
        <f t="shared" si="16"/>
        <v>44.642857142857146</v>
      </c>
      <c r="AA61" s="231"/>
      <c r="AB61" s="231"/>
      <c r="AC61" s="231"/>
      <c r="AD61" s="230">
        <f t="shared" si="28"/>
        <v>0</v>
      </c>
      <c r="AE61" s="230">
        <f t="shared" si="21"/>
        <v>0</v>
      </c>
      <c r="AF61" s="230">
        <f t="shared" si="22"/>
        <v>1250</v>
      </c>
      <c r="AG61" s="230">
        <f t="shared" si="23"/>
        <v>0</v>
      </c>
      <c r="AH61" s="230">
        <f t="shared" si="24"/>
        <v>0</v>
      </c>
      <c r="AI61" s="230">
        <f t="shared" si="25"/>
        <v>0</v>
      </c>
      <c r="AJ61" s="230">
        <f t="shared" si="26"/>
        <v>0</v>
      </c>
      <c r="AK61" s="230">
        <f t="shared" si="27"/>
        <v>0</v>
      </c>
      <c r="AL61" s="230">
        <f t="shared" si="27"/>
        <v>0</v>
      </c>
      <c r="AM61" s="230">
        <f t="shared" si="27"/>
        <v>0</v>
      </c>
      <c r="AN61" s="230">
        <f t="shared" si="27"/>
        <v>0</v>
      </c>
      <c r="AO61" s="230">
        <f t="shared" si="27"/>
        <v>0</v>
      </c>
    </row>
    <row r="62" spans="1:41" ht="15.75" customHeight="1" x14ac:dyDescent="0.25">
      <c r="A62" s="251" t="s">
        <v>862</v>
      </c>
      <c r="B62" s="251" t="s">
        <v>10</v>
      </c>
      <c r="C62" s="251" t="s">
        <v>103</v>
      </c>
      <c r="D62" s="251" t="s">
        <v>198</v>
      </c>
      <c r="E62" s="251" t="s">
        <v>199</v>
      </c>
      <c r="F62" s="233">
        <f t="shared" si="0"/>
        <v>0</v>
      </c>
      <c r="G62" s="233">
        <f t="shared" si="1"/>
        <v>0</v>
      </c>
      <c r="H62" s="233">
        <f t="shared" si="2"/>
        <v>0</v>
      </c>
      <c r="I62" s="233">
        <f t="shared" si="3"/>
        <v>0</v>
      </c>
      <c r="J62" s="233">
        <f t="shared" si="4"/>
        <v>0</v>
      </c>
      <c r="K62" s="233">
        <f t="shared" si="5"/>
        <v>0</v>
      </c>
      <c r="L62" s="233">
        <f t="shared" si="6"/>
        <v>0</v>
      </c>
      <c r="M62" s="233">
        <f t="shared" si="19"/>
        <v>5</v>
      </c>
      <c r="N62" s="233">
        <f t="shared" si="7"/>
        <v>0</v>
      </c>
      <c r="O62" s="233">
        <f>IFERROR(VLOOKUP(A62,TOTAL_HORAS,79,FALSE),0)</f>
        <v>0</v>
      </c>
      <c r="P62" s="233"/>
      <c r="Q62" s="233"/>
      <c r="R62" s="231">
        <f t="shared" si="8"/>
        <v>32.670454545454547</v>
      </c>
      <c r="S62" s="231">
        <f t="shared" si="9"/>
        <v>35.9375</v>
      </c>
      <c r="T62" s="231">
        <f t="shared" si="10"/>
        <v>31.25</v>
      </c>
      <c r="U62" s="231">
        <f t="shared" si="11"/>
        <v>39.930555555555557</v>
      </c>
      <c r="V62" s="231">
        <f t="shared" si="12"/>
        <v>32.670454545454547</v>
      </c>
      <c r="W62" s="231">
        <f t="shared" si="13"/>
        <v>34.226190476190474</v>
      </c>
      <c r="X62" s="231">
        <f t="shared" si="14"/>
        <v>46.875</v>
      </c>
      <c r="Y62" s="231">
        <f t="shared" si="15"/>
        <v>42.613636363636367</v>
      </c>
      <c r="Z62" s="231">
        <f t="shared" si="16"/>
        <v>44.642857142857146</v>
      </c>
      <c r="AA62" s="231"/>
      <c r="AB62" s="231"/>
      <c r="AC62" s="231"/>
      <c r="AD62" s="230">
        <f t="shared" si="28"/>
        <v>0</v>
      </c>
      <c r="AE62" s="230">
        <f t="shared" si="21"/>
        <v>0</v>
      </c>
      <c r="AF62" s="230">
        <f t="shared" si="22"/>
        <v>0</v>
      </c>
      <c r="AG62" s="230">
        <f t="shared" si="23"/>
        <v>0</v>
      </c>
      <c r="AH62" s="230">
        <f t="shared" si="24"/>
        <v>0</v>
      </c>
      <c r="AI62" s="230">
        <f t="shared" si="25"/>
        <v>0</v>
      </c>
      <c r="AJ62" s="230">
        <f t="shared" si="26"/>
        <v>0</v>
      </c>
      <c r="AK62" s="230">
        <f t="shared" si="27"/>
        <v>213.06818181818184</v>
      </c>
      <c r="AL62" s="230">
        <f t="shared" si="27"/>
        <v>0</v>
      </c>
      <c r="AM62" s="230">
        <f t="shared" si="27"/>
        <v>0</v>
      </c>
      <c r="AN62" s="230">
        <f t="shared" si="27"/>
        <v>0</v>
      </c>
      <c r="AO62" s="230">
        <f t="shared" si="27"/>
        <v>0</v>
      </c>
    </row>
    <row r="63" spans="1:41" ht="15.75" customHeight="1" x14ac:dyDescent="0.25">
      <c r="A63" s="251" t="s">
        <v>863</v>
      </c>
      <c r="B63" s="251" t="s">
        <v>10</v>
      </c>
      <c r="C63" s="251" t="s">
        <v>46</v>
      </c>
      <c r="D63" s="251" t="s">
        <v>46</v>
      </c>
      <c r="E63" s="251" t="s">
        <v>132</v>
      </c>
      <c r="F63" s="233">
        <f t="shared" si="0"/>
        <v>0</v>
      </c>
      <c r="G63" s="233">
        <f t="shared" si="1"/>
        <v>0</v>
      </c>
      <c r="H63" s="233">
        <f t="shared" si="2"/>
        <v>0</v>
      </c>
      <c r="I63" s="233">
        <f t="shared" si="3"/>
        <v>0</v>
      </c>
      <c r="J63" s="233">
        <f t="shared" si="4"/>
        <v>0</v>
      </c>
      <c r="K63" s="233">
        <f t="shared" si="5"/>
        <v>0</v>
      </c>
      <c r="L63" s="233">
        <f t="shared" si="6"/>
        <v>0</v>
      </c>
      <c r="M63" s="233">
        <f t="shared" si="19"/>
        <v>24</v>
      </c>
      <c r="N63" s="233">
        <f t="shared" si="7"/>
        <v>43</v>
      </c>
      <c r="O63" s="233">
        <f>IFERROR(VLOOKUP(A63,TOTAL_HORAS,79,FALSE),0)</f>
        <v>10</v>
      </c>
      <c r="P63" s="233"/>
      <c r="Q63" s="233"/>
      <c r="R63" s="231">
        <f t="shared" si="8"/>
        <v>32.670454545454547</v>
      </c>
      <c r="S63" s="231">
        <f t="shared" si="9"/>
        <v>35.9375</v>
      </c>
      <c r="T63" s="231">
        <f t="shared" si="10"/>
        <v>31.25</v>
      </c>
      <c r="U63" s="231">
        <f t="shared" si="11"/>
        <v>39.930555555555557</v>
      </c>
      <c r="V63" s="231">
        <f t="shared" si="12"/>
        <v>32.670454545454547</v>
      </c>
      <c r="W63" s="231">
        <f t="shared" si="13"/>
        <v>34.226190476190474</v>
      </c>
      <c r="X63" s="231">
        <f t="shared" si="14"/>
        <v>46.875</v>
      </c>
      <c r="Y63" s="231">
        <f t="shared" si="15"/>
        <v>42.613636363636367</v>
      </c>
      <c r="Z63" s="231">
        <f t="shared" si="16"/>
        <v>44.642857142857146</v>
      </c>
      <c r="AA63" s="231"/>
      <c r="AB63" s="231"/>
      <c r="AC63" s="231"/>
      <c r="AD63" s="230">
        <f t="shared" si="28"/>
        <v>0</v>
      </c>
      <c r="AE63" s="230">
        <f t="shared" si="21"/>
        <v>0</v>
      </c>
      <c r="AF63" s="230">
        <f t="shared" si="22"/>
        <v>0</v>
      </c>
      <c r="AG63" s="230">
        <f t="shared" si="23"/>
        <v>0</v>
      </c>
      <c r="AH63" s="230">
        <f t="shared" si="24"/>
        <v>0</v>
      </c>
      <c r="AI63" s="230">
        <f t="shared" si="25"/>
        <v>0</v>
      </c>
      <c r="AJ63" s="230">
        <f t="shared" si="26"/>
        <v>0</v>
      </c>
      <c r="AK63" s="230">
        <f t="shared" si="27"/>
        <v>1022.7272727272727</v>
      </c>
      <c r="AL63" s="230">
        <f t="shared" si="27"/>
        <v>1919.6428571428573</v>
      </c>
      <c r="AM63" s="230">
        <f t="shared" si="27"/>
        <v>0</v>
      </c>
      <c r="AN63" s="230">
        <f t="shared" si="27"/>
        <v>0</v>
      </c>
      <c r="AO63" s="230">
        <f t="shared" ref="AO63:AO124" si="29">Q63*AC63</f>
        <v>0</v>
      </c>
    </row>
    <row r="64" spans="1:41" ht="15.75" customHeight="1" x14ac:dyDescent="0.25">
      <c r="A64" s="251" t="s">
        <v>724</v>
      </c>
      <c r="B64" s="251" t="s">
        <v>10</v>
      </c>
      <c r="C64" s="251" t="s">
        <v>44</v>
      </c>
      <c r="D64" s="251" t="s">
        <v>42</v>
      </c>
      <c r="E64" s="251" t="s">
        <v>304</v>
      </c>
      <c r="F64" s="233">
        <f t="shared" si="0"/>
        <v>176</v>
      </c>
      <c r="G64" s="233">
        <f t="shared" si="1"/>
        <v>160</v>
      </c>
      <c r="H64" s="233">
        <f t="shared" si="2"/>
        <v>144</v>
      </c>
      <c r="I64" s="233">
        <f t="shared" si="3"/>
        <v>144</v>
      </c>
      <c r="J64" s="233">
        <f t="shared" si="4"/>
        <v>168</v>
      </c>
      <c r="K64" s="233">
        <f t="shared" si="5"/>
        <v>160</v>
      </c>
      <c r="L64" s="233">
        <f t="shared" si="6"/>
        <v>152</v>
      </c>
      <c r="M64" s="233">
        <f t="shared" si="19"/>
        <v>0</v>
      </c>
      <c r="N64" s="233">
        <f t="shared" si="7"/>
        <v>0</v>
      </c>
      <c r="O64" s="233">
        <f>IFERROR(VLOOKUP(A64,TOTAL_HORAS,79,FALSE),0)</f>
        <v>0</v>
      </c>
      <c r="P64" s="233"/>
      <c r="Q64" s="233"/>
      <c r="R64" s="231">
        <f t="shared" si="8"/>
        <v>32.670454545454547</v>
      </c>
      <c r="S64" s="231">
        <f t="shared" si="9"/>
        <v>35.9375</v>
      </c>
      <c r="T64" s="231">
        <f t="shared" si="10"/>
        <v>31.25</v>
      </c>
      <c r="U64" s="231">
        <f t="shared" si="11"/>
        <v>39.930555555555557</v>
      </c>
      <c r="V64" s="231">
        <f t="shared" si="12"/>
        <v>32.670454545454547</v>
      </c>
      <c r="W64" s="231">
        <f t="shared" si="13"/>
        <v>34.226190476190474</v>
      </c>
      <c r="X64" s="231">
        <f t="shared" si="14"/>
        <v>46.875</v>
      </c>
      <c r="Y64" s="231">
        <f t="shared" si="15"/>
        <v>42.613636363636367</v>
      </c>
      <c r="Z64" s="231">
        <f t="shared" si="16"/>
        <v>44.642857142857146</v>
      </c>
      <c r="AA64" s="231"/>
      <c r="AB64" s="231"/>
      <c r="AC64" s="231"/>
      <c r="AD64" s="230">
        <f t="shared" si="28"/>
        <v>5750</v>
      </c>
      <c r="AE64" s="230">
        <f t="shared" si="21"/>
        <v>5750</v>
      </c>
      <c r="AF64" s="230">
        <f t="shared" si="22"/>
        <v>4500</v>
      </c>
      <c r="AG64" s="230">
        <f t="shared" si="23"/>
        <v>5750</v>
      </c>
      <c r="AH64" s="230">
        <f t="shared" si="24"/>
        <v>5488.636363636364</v>
      </c>
      <c r="AI64" s="230">
        <f t="shared" si="25"/>
        <v>5476.1904761904761</v>
      </c>
      <c r="AJ64" s="230">
        <f t="shared" si="26"/>
        <v>7125</v>
      </c>
      <c r="AK64" s="230">
        <f t="shared" si="27"/>
        <v>0</v>
      </c>
      <c r="AL64" s="230">
        <f t="shared" si="27"/>
        <v>0</v>
      </c>
      <c r="AM64" s="230">
        <f t="shared" si="27"/>
        <v>0</v>
      </c>
      <c r="AN64" s="230">
        <f t="shared" si="27"/>
        <v>0</v>
      </c>
      <c r="AO64" s="230">
        <f t="shared" si="29"/>
        <v>0</v>
      </c>
    </row>
    <row r="65" spans="1:41" ht="15.75" customHeight="1" x14ac:dyDescent="0.25">
      <c r="A65" s="251" t="s">
        <v>725</v>
      </c>
      <c r="B65" s="251" t="s">
        <v>5</v>
      </c>
      <c r="C65" s="251" t="s">
        <v>208</v>
      </c>
      <c r="D65" s="251" t="s">
        <v>208</v>
      </c>
      <c r="E65" s="251" t="s">
        <v>210</v>
      </c>
      <c r="F65" s="233">
        <f t="shared" si="0"/>
        <v>0</v>
      </c>
      <c r="G65" s="233">
        <f t="shared" si="1"/>
        <v>0</v>
      </c>
      <c r="H65" s="233">
        <f t="shared" si="2"/>
        <v>0</v>
      </c>
      <c r="I65" s="233">
        <f t="shared" si="3"/>
        <v>0</v>
      </c>
      <c r="J65" s="233">
        <f t="shared" si="4"/>
        <v>22</v>
      </c>
      <c r="K65" s="233">
        <f t="shared" si="5"/>
        <v>0</v>
      </c>
      <c r="L65" s="233">
        <f t="shared" si="6"/>
        <v>0</v>
      </c>
      <c r="M65" s="233">
        <f t="shared" si="19"/>
        <v>0</v>
      </c>
      <c r="N65" s="233">
        <f t="shared" si="7"/>
        <v>0</v>
      </c>
      <c r="O65" s="233">
        <f>IFERROR(VLOOKUP(A65,TOTAL_HORAS,79,FALSE),0)</f>
        <v>0</v>
      </c>
      <c r="P65" s="233"/>
      <c r="Q65" s="233"/>
      <c r="R65" s="231">
        <f t="shared" si="8"/>
        <v>47.727272727272727</v>
      </c>
      <c r="S65" s="231">
        <f t="shared" si="9"/>
        <v>52.5</v>
      </c>
      <c r="T65" s="231">
        <f t="shared" si="10"/>
        <v>45.652173913043477</v>
      </c>
      <c r="U65" s="231">
        <f t="shared" si="11"/>
        <v>58.333333333333336</v>
      </c>
      <c r="V65" s="231">
        <f t="shared" si="12"/>
        <v>47.727272727272727</v>
      </c>
      <c r="W65" s="231">
        <f t="shared" si="13"/>
        <v>50</v>
      </c>
      <c r="X65" s="231">
        <f t="shared" si="14"/>
        <v>52.5</v>
      </c>
      <c r="Y65" s="231">
        <f t="shared" si="15"/>
        <v>47.727272727272727</v>
      </c>
      <c r="Z65" s="231">
        <f t="shared" si="16"/>
        <v>50</v>
      </c>
      <c r="AA65" s="231"/>
      <c r="AB65" s="231"/>
      <c r="AC65" s="231"/>
      <c r="AD65" s="230">
        <f t="shared" si="28"/>
        <v>0</v>
      </c>
      <c r="AE65" s="230">
        <f t="shared" si="21"/>
        <v>0</v>
      </c>
      <c r="AF65" s="230">
        <f t="shared" si="22"/>
        <v>0</v>
      </c>
      <c r="AG65" s="230">
        <f t="shared" si="23"/>
        <v>0</v>
      </c>
      <c r="AH65" s="230">
        <f t="shared" si="24"/>
        <v>1050</v>
      </c>
      <c r="AI65" s="230">
        <f t="shared" si="25"/>
        <v>0</v>
      </c>
      <c r="AJ65" s="230">
        <f t="shared" si="26"/>
        <v>0</v>
      </c>
      <c r="AK65" s="230">
        <f t="shared" si="27"/>
        <v>0</v>
      </c>
      <c r="AL65" s="230">
        <f t="shared" si="27"/>
        <v>0</v>
      </c>
      <c r="AM65" s="230">
        <f t="shared" si="27"/>
        <v>0</v>
      </c>
      <c r="AN65" s="230">
        <f t="shared" si="27"/>
        <v>0</v>
      </c>
      <c r="AO65" s="230">
        <f t="shared" si="29"/>
        <v>0</v>
      </c>
    </row>
    <row r="66" spans="1:41" ht="15.75" customHeight="1" x14ac:dyDescent="0.25">
      <c r="A66" s="251" t="s">
        <v>726</v>
      </c>
      <c r="B66" s="251" t="s">
        <v>5</v>
      </c>
      <c r="C66" s="251" t="s">
        <v>209</v>
      </c>
      <c r="D66" s="251" t="s">
        <v>209</v>
      </c>
      <c r="E66" s="251" t="s">
        <v>243</v>
      </c>
      <c r="F66" s="233">
        <f t="shared" si="0"/>
        <v>64</v>
      </c>
      <c r="G66" s="233">
        <f t="shared" si="1"/>
        <v>0</v>
      </c>
      <c r="H66" s="233">
        <f t="shared" si="2"/>
        <v>0</v>
      </c>
      <c r="I66" s="233">
        <f t="shared" si="3"/>
        <v>0</v>
      </c>
      <c r="J66" s="233">
        <f t="shared" si="4"/>
        <v>0</v>
      </c>
      <c r="K66" s="233">
        <f t="shared" si="5"/>
        <v>0</v>
      </c>
      <c r="L66" s="233">
        <f t="shared" si="6"/>
        <v>0</v>
      </c>
      <c r="M66" s="233">
        <f t="shared" si="19"/>
        <v>0</v>
      </c>
      <c r="N66" s="233">
        <f t="shared" si="7"/>
        <v>0</v>
      </c>
      <c r="O66" s="233">
        <f>IFERROR(VLOOKUP(A66,TOTAL_HORAS,79,FALSE),0)</f>
        <v>0</v>
      </c>
      <c r="P66" s="233"/>
      <c r="Q66" s="233"/>
      <c r="R66" s="231">
        <f t="shared" si="8"/>
        <v>47.727272727272727</v>
      </c>
      <c r="S66" s="231">
        <f t="shared" si="9"/>
        <v>52.5</v>
      </c>
      <c r="T66" s="231">
        <f t="shared" si="10"/>
        <v>45.652173913043477</v>
      </c>
      <c r="U66" s="231">
        <f t="shared" si="11"/>
        <v>58.333333333333336</v>
      </c>
      <c r="V66" s="231">
        <f t="shared" si="12"/>
        <v>47.727272727272727</v>
      </c>
      <c r="W66" s="231">
        <f t="shared" si="13"/>
        <v>50</v>
      </c>
      <c r="X66" s="231">
        <f t="shared" si="14"/>
        <v>52.5</v>
      </c>
      <c r="Y66" s="231">
        <f t="shared" si="15"/>
        <v>47.727272727272727</v>
      </c>
      <c r="Z66" s="231">
        <f t="shared" si="16"/>
        <v>50</v>
      </c>
      <c r="AA66" s="231"/>
      <c r="AB66" s="231"/>
      <c r="AC66" s="231"/>
      <c r="AD66" s="230">
        <f t="shared" si="28"/>
        <v>3054.5454545454545</v>
      </c>
      <c r="AE66" s="230">
        <f t="shared" si="21"/>
        <v>0</v>
      </c>
      <c r="AF66" s="230">
        <f t="shared" si="22"/>
        <v>0</v>
      </c>
      <c r="AG66" s="230">
        <f t="shared" si="23"/>
        <v>0</v>
      </c>
      <c r="AH66" s="230">
        <f t="shared" si="24"/>
        <v>0</v>
      </c>
      <c r="AI66" s="230">
        <f t="shared" si="25"/>
        <v>0</v>
      </c>
      <c r="AJ66" s="230">
        <f t="shared" si="26"/>
        <v>0</v>
      </c>
      <c r="AK66" s="230">
        <f t="shared" si="27"/>
        <v>0</v>
      </c>
      <c r="AL66" s="230">
        <f t="shared" si="27"/>
        <v>0</v>
      </c>
      <c r="AM66" s="230">
        <f t="shared" si="27"/>
        <v>0</v>
      </c>
      <c r="AN66" s="230">
        <f t="shared" si="27"/>
        <v>0</v>
      </c>
      <c r="AO66" s="230">
        <f t="shared" si="29"/>
        <v>0</v>
      </c>
    </row>
    <row r="67" spans="1:41" ht="15.75" customHeight="1" x14ac:dyDescent="0.25">
      <c r="A67" s="251" t="s">
        <v>727</v>
      </c>
      <c r="B67" s="251" t="s">
        <v>5</v>
      </c>
      <c r="C67" s="251" t="s">
        <v>44</v>
      </c>
      <c r="D67" s="251" t="s">
        <v>42</v>
      </c>
      <c r="E67" s="251" t="s">
        <v>304</v>
      </c>
      <c r="F67" s="233">
        <f t="shared" ref="F67:F128" si="30">IFERROR(VLOOKUP(A67,TOTAL_HORAS,70,FALSE),0)</f>
        <v>112</v>
      </c>
      <c r="G67" s="233">
        <f t="shared" ref="G67:G128" si="31">IFERROR(VLOOKUP(A67,TOTAL_HORAS,71,FALSE),0)</f>
        <v>160</v>
      </c>
      <c r="H67" s="233">
        <f t="shared" ref="H67:H128" si="32">IFERROR(VLOOKUP(A67,TOTAL_HORAS,72,FALSE),0)</f>
        <v>184</v>
      </c>
      <c r="I67" s="233">
        <f t="shared" ref="I67:I128" si="33">IFERROR(VLOOKUP(A67,TOTAL_HORAS,73,FALSE),0)</f>
        <v>144</v>
      </c>
      <c r="J67" s="233">
        <f t="shared" ref="J67:J128" si="34">IFERROR(VLOOKUP(A67,TOTAL_HORAS,74,FALSE),0)</f>
        <v>154</v>
      </c>
      <c r="K67" s="233">
        <f t="shared" ref="K67:K128" si="35">IFERROR(VLOOKUP(A67,TOTAL_HORAS,75,FALSE),0)</f>
        <v>168</v>
      </c>
      <c r="L67" s="233">
        <f t="shared" ref="L67:L128" si="36">IFERROR(VLOOKUP(A67,TOTAL_HORAS,76,FALSE),0)</f>
        <v>160</v>
      </c>
      <c r="M67" s="233">
        <f t="shared" ref="M67:M128" si="37">IFERROR(VLOOKUP(A67,TOTAL_HORAS,77,FALSE),0)</f>
        <v>176</v>
      </c>
      <c r="N67" s="233">
        <f t="shared" ref="N67:N129" si="38">IFERROR(VLOOKUP(A67,TOTAL_HORAS,78,FALSE),0)</f>
        <v>168</v>
      </c>
      <c r="O67" s="233">
        <f>IFERROR(VLOOKUP(A67,TOTAL_HORAS,79,FALSE),0)</f>
        <v>40</v>
      </c>
      <c r="P67" s="233"/>
      <c r="Q67" s="233"/>
      <c r="R67" s="231">
        <f t="shared" ref="R67:R128" si="39">IFERROR(VLOOKUP(B67,MATRIZ_ENERO,2,FALSE),0)</f>
        <v>47.727272727272727</v>
      </c>
      <c r="S67" s="231">
        <f t="shared" ref="S67:S128" si="40">IFERROR(VLOOKUP(B67,MATRIZ_FEB,2,FALSE),0)</f>
        <v>52.5</v>
      </c>
      <c r="T67" s="231">
        <f t="shared" ref="T67:T128" si="41">IFERROR(VLOOKUP(B67,MATRIZ_MARZO,2,FALSE),0)</f>
        <v>45.652173913043477</v>
      </c>
      <c r="U67" s="231">
        <f t="shared" ref="U67:U128" si="42">IFERROR(VLOOKUP(B67,MATRIZ_ABRIL,2,FALSE),0)</f>
        <v>58.333333333333336</v>
      </c>
      <c r="V67" s="231">
        <f t="shared" ref="V67:V128" si="43">IFERROR(VLOOKUP(B67,MATRIZ_MAY,2,FALSE),0)</f>
        <v>47.727272727272727</v>
      </c>
      <c r="W67" s="231">
        <f t="shared" ref="W67:W128" si="44">IFERROR(VLOOKUP(B67,MATRIZ_JUN,2,FALSE),0)</f>
        <v>50</v>
      </c>
      <c r="X67" s="231">
        <f t="shared" ref="X67:X128" si="45">IFERROR(VLOOKUP(B67,MATRIZ_JUL,2,FALSE),0)</f>
        <v>52.5</v>
      </c>
      <c r="Y67" s="231">
        <f t="shared" ref="Y67:Y128" si="46">IFERROR(VLOOKUP(B67,MATRIZ_AGOSTO,2,FALSE),0)</f>
        <v>47.727272727272727</v>
      </c>
      <c r="Z67" s="231">
        <f t="shared" ref="Z67:Z130" si="47">IFERROR(VLOOKUP(B67,MATRIZ_SEPTIEM,2,FALSE),0)</f>
        <v>50</v>
      </c>
      <c r="AA67" s="231"/>
      <c r="AB67" s="231"/>
      <c r="AC67" s="231"/>
      <c r="AD67" s="230">
        <f t="shared" si="28"/>
        <v>5345.454545454545</v>
      </c>
      <c r="AE67" s="230">
        <f t="shared" si="21"/>
        <v>8400</v>
      </c>
      <c r="AF67" s="230">
        <f t="shared" si="22"/>
        <v>8400</v>
      </c>
      <c r="AG67" s="230">
        <f t="shared" si="23"/>
        <v>8400</v>
      </c>
      <c r="AH67" s="230">
        <f t="shared" si="24"/>
        <v>7350</v>
      </c>
      <c r="AI67" s="230">
        <f t="shared" si="25"/>
        <v>8400</v>
      </c>
      <c r="AJ67" s="230">
        <f t="shared" si="26"/>
        <v>8400</v>
      </c>
      <c r="AK67" s="230">
        <f t="shared" si="27"/>
        <v>8400</v>
      </c>
      <c r="AL67" s="230">
        <f t="shared" si="27"/>
        <v>8400</v>
      </c>
      <c r="AM67" s="230">
        <f t="shared" si="27"/>
        <v>0</v>
      </c>
      <c r="AN67" s="230">
        <f t="shared" si="27"/>
        <v>0</v>
      </c>
      <c r="AO67" s="230">
        <f t="shared" si="29"/>
        <v>0</v>
      </c>
    </row>
    <row r="68" spans="1:41" ht="15.75" customHeight="1" x14ac:dyDescent="0.25">
      <c r="A68" s="251" t="s">
        <v>728</v>
      </c>
      <c r="B68" s="251" t="s">
        <v>22</v>
      </c>
      <c r="C68" s="251" t="s">
        <v>209</v>
      </c>
      <c r="D68" s="251" t="s">
        <v>209</v>
      </c>
      <c r="E68" s="251" t="s">
        <v>243</v>
      </c>
      <c r="F68" s="233">
        <f t="shared" si="30"/>
        <v>0</v>
      </c>
      <c r="G68" s="233">
        <f t="shared" si="31"/>
        <v>0</v>
      </c>
      <c r="H68" s="233">
        <f t="shared" si="32"/>
        <v>0</v>
      </c>
      <c r="I68" s="233">
        <f t="shared" si="33"/>
        <v>0</v>
      </c>
      <c r="J68" s="233">
        <f t="shared" si="34"/>
        <v>0</v>
      </c>
      <c r="K68" s="233">
        <f t="shared" si="35"/>
        <v>0</v>
      </c>
      <c r="L68" s="233">
        <f t="shared" si="36"/>
        <v>0</v>
      </c>
      <c r="M68" s="233">
        <f t="shared" si="37"/>
        <v>64</v>
      </c>
      <c r="N68" s="233">
        <f t="shared" si="38"/>
        <v>0</v>
      </c>
      <c r="O68" s="233">
        <f>IFERROR(VLOOKUP(A68,TOTAL_HORAS,79,FALSE),0)</f>
        <v>0</v>
      </c>
      <c r="P68" s="233"/>
      <c r="Q68" s="233"/>
      <c r="R68" s="231">
        <f t="shared" si="39"/>
        <v>25.852272727272727</v>
      </c>
      <c r="S68" s="231">
        <f t="shared" si="40"/>
        <v>28.4375</v>
      </c>
      <c r="T68" s="231">
        <f t="shared" si="41"/>
        <v>24.728260869565219</v>
      </c>
      <c r="U68" s="231">
        <f t="shared" si="42"/>
        <v>31.597222222222221</v>
      </c>
      <c r="V68" s="231">
        <f t="shared" si="43"/>
        <v>25.852272727272727</v>
      </c>
      <c r="W68" s="231">
        <f t="shared" si="44"/>
        <v>27.083333333333332</v>
      </c>
      <c r="X68" s="231">
        <f t="shared" si="45"/>
        <v>28.4375</v>
      </c>
      <c r="Y68" s="231">
        <f t="shared" si="46"/>
        <v>25.852272727272727</v>
      </c>
      <c r="Z68" s="231">
        <f t="shared" si="47"/>
        <v>27.083333333333332</v>
      </c>
      <c r="AA68" s="231"/>
      <c r="AB68" s="231"/>
      <c r="AC68" s="231"/>
      <c r="AD68" s="230">
        <f t="shared" si="28"/>
        <v>0</v>
      </c>
      <c r="AE68" s="230">
        <f t="shared" ref="AE68:AE129" si="48">G68*S68</f>
        <v>0</v>
      </c>
      <c r="AF68" s="230">
        <f t="shared" ref="AF68:AF129" si="49">H68*T68</f>
        <v>0</v>
      </c>
      <c r="AG68" s="230">
        <f t="shared" ref="AG68:AG129" si="50">I68*U68</f>
        <v>0</v>
      </c>
      <c r="AH68" s="230">
        <f t="shared" ref="AH68:AH129" si="51">J68*V68</f>
        <v>0</v>
      </c>
      <c r="AI68" s="230">
        <f t="shared" ref="AI68:AI129" si="52">K68*W68</f>
        <v>0</v>
      </c>
      <c r="AJ68" s="230">
        <f t="shared" ref="AJ68:AJ129" si="53">L68*X68</f>
        <v>0</v>
      </c>
      <c r="AK68" s="230">
        <f t="shared" ref="AK68:AN129" si="54">M68*Y68</f>
        <v>1654.5454545454545</v>
      </c>
      <c r="AL68" s="230">
        <f t="shared" si="54"/>
        <v>0</v>
      </c>
      <c r="AM68" s="230">
        <f t="shared" si="54"/>
        <v>0</v>
      </c>
      <c r="AN68" s="230">
        <f t="shared" si="54"/>
        <v>0</v>
      </c>
      <c r="AO68" s="230">
        <f t="shared" si="29"/>
        <v>0</v>
      </c>
    </row>
    <row r="69" spans="1:41" ht="15.75" customHeight="1" x14ac:dyDescent="0.25">
      <c r="A69" s="251" t="s">
        <v>681</v>
      </c>
      <c r="B69" s="251" t="s">
        <v>22</v>
      </c>
      <c r="C69" s="251" t="s">
        <v>44</v>
      </c>
      <c r="D69" s="251" t="s">
        <v>42</v>
      </c>
      <c r="E69" s="251" t="s">
        <v>304</v>
      </c>
      <c r="F69" s="233">
        <f t="shared" si="30"/>
        <v>176</v>
      </c>
      <c r="G69" s="233">
        <f t="shared" si="31"/>
        <v>160</v>
      </c>
      <c r="H69" s="233">
        <f t="shared" si="32"/>
        <v>184</v>
      </c>
      <c r="I69" s="233">
        <f t="shared" si="33"/>
        <v>144</v>
      </c>
      <c r="J69" s="233">
        <f t="shared" si="34"/>
        <v>176</v>
      </c>
      <c r="K69" s="233">
        <f t="shared" si="35"/>
        <v>168</v>
      </c>
      <c r="L69" s="233">
        <f t="shared" si="36"/>
        <v>160</v>
      </c>
      <c r="M69" s="233">
        <f t="shared" si="37"/>
        <v>112</v>
      </c>
      <c r="N69" s="233">
        <f t="shared" si="38"/>
        <v>168</v>
      </c>
      <c r="O69" s="233">
        <f>IFERROR(VLOOKUP(A69,TOTAL_HORAS,79,FALSE),0)</f>
        <v>40</v>
      </c>
      <c r="P69" s="233"/>
      <c r="Q69" s="233"/>
      <c r="R69" s="231">
        <f t="shared" si="39"/>
        <v>25.852272727272727</v>
      </c>
      <c r="S69" s="231">
        <f t="shared" si="40"/>
        <v>28.4375</v>
      </c>
      <c r="T69" s="231">
        <f t="shared" si="41"/>
        <v>24.728260869565219</v>
      </c>
      <c r="U69" s="231">
        <f t="shared" si="42"/>
        <v>31.597222222222221</v>
      </c>
      <c r="V69" s="231">
        <f t="shared" si="43"/>
        <v>25.852272727272727</v>
      </c>
      <c r="W69" s="231">
        <f t="shared" si="44"/>
        <v>27.083333333333332</v>
      </c>
      <c r="X69" s="231">
        <f t="shared" si="45"/>
        <v>28.4375</v>
      </c>
      <c r="Y69" s="231">
        <f t="shared" si="46"/>
        <v>25.852272727272727</v>
      </c>
      <c r="Z69" s="231">
        <f t="shared" si="47"/>
        <v>27.083333333333332</v>
      </c>
      <c r="AA69" s="231"/>
      <c r="AB69" s="231"/>
      <c r="AC69" s="231"/>
      <c r="AD69" s="230">
        <f t="shared" si="28"/>
        <v>4550</v>
      </c>
      <c r="AE69" s="230">
        <f t="shared" si="48"/>
        <v>4550</v>
      </c>
      <c r="AF69" s="230">
        <f t="shared" si="49"/>
        <v>4550</v>
      </c>
      <c r="AG69" s="230">
        <f t="shared" si="50"/>
        <v>4550</v>
      </c>
      <c r="AH69" s="230">
        <f t="shared" si="51"/>
        <v>4550</v>
      </c>
      <c r="AI69" s="230">
        <f t="shared" si="52"/>
        <v>4550</v>
      </c>
      <c r="AJ69" s="230">
        <f t="shared" si="53"/>
        <v>4550</v>
      </c>
      <c r="AK69" s="230">
        <f t="shared" si="54"/>
        <v>2895.4545454545455</v>
      </c>
      <c r="AL69" s="230">
        <f t="shared" si="54"/>
        <v>4550</v>
      </c>
      <c r="AM69" s="230">
        <f t="shared" si="54"/>
        <v>0</v>
      </c>
      <c r="AN69" s="230">
        <f t="shared" si="54"/>
        <v>0</v>
      </c>
      <c r="AO69" s="230">
        <f t="shared" si="29"/>
        <v>0</v>
      </c>
    </row>
    <row r="70" spans="1:41" ht="15.75" customHeight="1" x14ac:dyDescent="0.25">
      <c r="A70" s="251" t="s">
        <v>729</v>
      </c>
      <c r="B70" s="251" t="s">
        <v>417</v>
      </c>
      <c r="C70" s="251" t="s">
        <v>44</v>
      </c>
      <c r="D70" s="251" t="s">
        <v>42</v>
      </c>
      <c r="E70" s="251" t="s">
        <v>304</v>
      </c>
      <c r="F70" s="233">
        <f t="shared" si="30"/>
        <v>176</v>
      </c>
      <c r="G70" s="233">
        <f t="shared" si="31"/>
        <v>112</v>
      </c>
      <c r="H70" s="233">
        <f t="shared" si="32"/>
        <v>184</v>
      </c>
      <c r="I70" s="233">
        <f t="shared" si="33"/>
        <v>144</v>
      </c>
      <c r="J70" s="233">
        <f t="shared" si="34"/>
        <v>0</v>
      </c>
      <c r="K70" s="233">
        <f t="shared" si="35"/>
        <v>0</v>
      </c>
      <c r="L70" s="233">
        <f t="shared" si="36"/>
        <v>0</v>
      </c>
      <c r="M70" s="233">
        <f t="shared" si="37"/>
        <v>0</v>
      </c>
      <c r="N70" s="233">
        <f t="shared" si="38"/>
        <v>0</v>
      </c>
      <c r="O70" s="233">
        <f>IFERROR(VLOOKUP(A70,TOTAL_HORAS,79,FALSE),0)</f>
        <v>0</v>
      </c>
      <c r="P70" s="233"/>
      <c r="Q70" s="233"/>
      <c r="R70" s="231">
        <f t="shared" si="39"/>
        <v>44.31818181818182</v>
      </c>
      <c r="S70" s="231">
        <f t="shared" si="40"/>
        <v>48.75</v>
      </c>
      <c r="T70" s="231">
        <f t="shared" si="41"/>
        <v>42.391304347826086</v>
      </c>
      <c r="U70" s="231">
        <f t="shared" si="42"/>
        <v>54.166666666666664</v>
      </c>
      <c r="V70" s="231">
        <f t="shared" si="43"/>
        <v>0</v>
      </c>
      <c r="W70" s="231">
        <f t="shared" si="44"/>
        <v>0</v>
      </c>
      <c r="X70" s="231">
        <f t="shared" si="45"/>
        <v>0</v>
      </c>
      <c r="Y70" s="231">
        <f t="shared" si="46"/>
        <v>0</v>
      </c>
      <c r="Z70" s="231">
        <f t="shared" si="47"/>
        <v>0</v>
      </c>
      <c r="AA70" s="231"/>
      <c r="AB70" s="231"/>
      <c r="AC70" s="231"/>
      <c r="AD70" s="230">
        <f t="shared" si="28"/>
        <v>7800</v>
      </c>
      <c r="AE70" s="230">
        <f t="shared" si="48"/>
        <v>5460</v>
      </c>
      <c r="AF70" s="230">
        <f t="shared" si="49"/>
        <v>7800</v>
      </c>
      <c r="AG70" s="230">
        <f t="shared" si="50"/>
        <v>7800</v>
      </c>
      <c r="AH70" s="230">
        <f t="shared" si="51"/>
        <v>0</v>
      </c>
      <c r="AI70" s="230">
        <f t="shared" si="52"/>
        <v>0</v>
      </c>
      <c r="AJ70" s="230">
        <f t="shared" si="53"/>
        <v>0</v>
      </c>
      <c r="AK70" s="230">
        <f t="shared" si="54"/>
        <v>0</v>
      </c>
      <c r="AL70" s="230">
        <f t="shared" si="54"/>
        <v>0</v>
      </c>
      <c r="AM70" s="230">
        <f t="shared" si="54"/>
        <v>0</v>
      </c>
      <c r="AN70" s="230">
        <f t="shared" si="54"/>
        <v>0</v>
      </c>
      <c r="AO70" s="230">
        <f t="shared" si="29"/>
        <v>0</v>
      </c>
    </row>
    <row r="71" spans="1:41" ht="15.75" customHeight="1" x14ac:dyDescent="0.25">
      <c r="A71" s="251" t="s">
        <v>730</v>
      </c>
      <c r="B71" s="251" t="s">
        <v>1</v>
      </c>
      <c r="C71" s="251" t="s">
        <v>208</v>
      </c>
      <c r="D71" s="251" t="s">
        <v>208</v>
      </c>
      <c r="E71" s="251" t="s">
        <v>210</v>
      </c>
      <c r="F71" s="233">
        <f t="shared" si="30"/>
        <v>0</v>
      </c>
      <c r="G71" s="233">
        <f t="shared" si="31"/>
        <v>0</v>
      </c>
      <c r="H71" s="233">
        <f t="shared" si="32"/>
        <v>0</v>
      </c>
      <c r="I71" s="233">
        <f t="shared" si="33"/>
        <v>0</v>
      </c>
      <c r="J71" s="233">
        <f t="shared" si="34"/>
        <v>8</v>
      </c>
      <c r="K71" s="233">
        <f t="shared" si="35"/>
        <v>0</v>
      </c>
      <c r="L71" s="233">
        <f t="shared" si="36"/>
        <v>0</v>
      </c>
      <c r="M71" s="233">
        <f t="shared" si="37"/>
        <v>0</v>
      </c>
      <c r="N71" s="233">
        <f t="shared" si="38"/>
        <v>0</v>
      </c>
      <c r="O71" s="233">
        <f>IFERROR(VLOOKUP(A71,TOTAL_HORAS,79,FALSE),0)</f>
        <v>0</v>
      </c>
      <c r="P71" s="233"/>
      <c r="Q71" s="233"/>
      <c r="R71" s="231">
        <f t="shared" si="39"/>
        <v>28.806818181818183</v>
      </c>
      <c r="S71" s="231">
        <f t="shared" si="40"/>
        <v>31.6875</v>
      </c>
      <c r="T71" s="231">
        <f t="shared" si="41"/>
        <v>27.554347826086957</v>
      </c>
      <c r="U71" s="231">
        <f t="shared" si="42"/>
        <v>35.208333333333336</v>
      </c>
      <c r="V71" s="231">
        <f t="shared" si="43"/>
        <v>28.806818181818183</v>
      </c>
      <c r="W71" s="231">
        <f t="shared" si="44"/>
        <v>30.178571428571427</v>
      </c>
      <c r="X71" s="231">
        <f t="shared" si="45"/>
        <v>31.6875</v>
      </c>
      <c r="Y71" s="231">
        <f t="shared" si="46"/>
        <v>28.806818181818183</v>
      </c>
      <c r="Z71" s="231">
        <f t="shared" si="47"/>
        <v>30.178571428571427</v>
      </c>
      <c r="AA71" s="231"/>
      <c r="AB71" s="231"/>
      <c r="AC71" s="231"/>
      <c r="AD71" s="230">
        <f t="shared" si="28"/>
        <v>0</v>
      </c>
      <c r="AE71" s="230">
        <f t="shared" si="48"/>
        <v>0</v>
      </c>
      <c r="AF71" s="230">
        <f t="shared" si="49"/>
        <v>0</v>
      </c>
      <c r="AG71" s="230">
        <f t="shared" si="50"/>
        <v>0</v>
      </c>
      <c r="AH71" s="230">
        <f t="shared" si="51"/>
        <v>230.45454545454547</v>
      </c>
      <c r="AI71" s="230">
        <f t="shared" si="52"/>
        <v>0</v>
      </c>
      <c r="AJ71" s="230">
        <f t="shared" si="53"/>
        <v>0</v>
      </c>
      <c r="AK71" s="230">
        <f t="shared" si="54"/>
        <v>0</v>
      </c>
      <c r="AL71" s="230">
        <f t="shared" si="54"/>
        <v>0</v>
      </c>
      <c r="AM71" s="230">
        <f t="shared" si="54"/>
        <v>0</v>
      </c>
      <c r="AN71" s="230">
        <f t="shared" si="54"/>
        <v>0</v>
      </c>
      <c r="AO71" s="230">
        <f t="shared" si="29"/>
        <v>0</v>
      </c>
    </row>
    <row r="72" spans="1:41" ht="15.75" customHeight="1" x14ac:dyDescent="0.25">
      <c r="A72" s="251" t="s">
        <v>731</v>
      </c>
      <c r="B72" s="251" t="s">
        <v>1</v>
      </c>
      <c r="C72" s="251" t="s">
        <v>44</v>
      </c>
      <c r="D72" s="251" t="s">
        <v>42</v>
      </c>
      <c r="E72" s="251" t="s">
        <v>304</v>
      </c>
      <c r="F72" s="233">
        <f t="shared" si="30"/>
        <v>176</v>
      </c>
      <c r="G72" s="233">
        <f t="shared" si="31"/>
        <v>160</v>
      </c>
      <c r="H72" s="233">
        <f t="shared" si="32"/>
        <v>184</v>
      </c>
      <c r="I72" s="233">
        <f t="shared" si="33"/>
        <v>144</v>
      </c>
      <c r="J72" s="233">
        <f t="shared" si="34"/>
        <v>168</v>
      </c>
      <c r="K72" s="233">
        <f t="shared" si="35"/>
        <v>168</v>
      </c>
      <c r="L72" s="233">
        <f t="shared" si="36"/>
        <v>160</v>
      </c>
      <c r="M72" s="233">
        <f t="shared" si="37"/>
        <v>176</v>
      </c>
      <c r="N72" s="233">
        <f t="shared" si="38"/>
        <v>168</v>
      </c>
      <c r="O72" s="233">
        <f>IFERROR(VLOOKUP(A72,TOTAL_HORAS,79,FALSE),0)</f>
        <v>40</v>
      </c>
      <c r="P72" s="233"/>
      <c r="Q72" s="233"/>
      <c r="R72" s="231">
        <f t="shared" si="39"/>
        <v>28.806818181818183</v>
      </c>
      <c r="S72" s="231">
        <f t="shared" si="40"/>
        <v>31.6875</v>
      </c>
      <c r="T72" s="231">
        <f t="shared" si="41"/>
        <v>27.554347826086957</v>
      </c>
      <c r="U72" s="231">
        <f t="shared" si="42"/>
        <v>35.208333333333336</v>
      </c>
      <c r="V72" s="231">
        <f t="shared" si="43"/>
        <v>28.806818181818183</v>
      </c>
      <c r="W72" s="231">
        <f t="shared" si="44"/>
        <v>30.178571428571427</v>
      </c>
      <c r="X72" s="231">
        <f t="shared" si="45"/>
        <v>31.6875</v>
      </c>
      <c r="Y72" s="231">
        <f t="shared" si="46"/>
        <v>28.806818181818183</v>
      </c>
      <c r="Z72" s="231">
        <f t="shared" si="47"/>
        <v>30.178571428571427</v>
      </c>
      <c r="AA72" s="231"/>
      <c r="AB72" s="231"/>
      <c r="AC72" s="231"/>
      <c r="AD72" s="230">
        <f t="shared" si="28"/>
        <v>5070</v>
      </c>
      <c r="AE72" s="230">
        <f t="shared" si="48"/>
        <v>5070</v>
      </c>
      <c r="AF72" s="230">
        <f t="shared" si="49"/>
        <v>5070</v>
      </c>
      <c r="AG72" s="230">
        <f t="shared" si="50"/>
        <v>5070</v>
      </c>
      <c r="AH72" s="230">
        <f t="shared" si="51"/>
        <v>4839.545454545455</v>
      </c>
      <c r="AI72" s="230">
        <f t="shared" si="52"/>
        <v>5070</v>
      </c>
      <c r="AJ72" s="230">
        <f t="shared" si="53"/>
        <v>5070</v>
      </c>
      <c r="AK72" s="230">
        <f t="shared" si="54"/>
        <v>5070</v>
      </c>
      <c r="AL72" s="230">
        <f t="shared" si="54"/>
        <v>5070</v>
      </c>
      <c r="AM72" s="230">
        <f t="shared" si="54"/>
        <v>0</v>
      </c>
      <c r="AN72" s="230">
        <f t="shared" si="54"/>
        <v>0</v>
      </c>
      <c r="AO72" s="230">
        <f t="shared" si="29"/>
        <v>0</v>
      </c>
    </row>
    <row r="73" spans="1:41" ht="15.75" customHeight="1" x14ac:dyDescent="0.25">
      <c r="A73" s="251" t="s">
        <v>732</v>
      </c>
      <c r="B73" s="251" t="s">
        <v>423</v>
      </c>
      <c r="C73" s="251" t="s">
        <v>208</v>
      </c>
      <c r="D73" s="251" t="s">
        <v>208</v>
      </c>
      <c r="E73" s="251" t="s">
        <v>210</v>
      </c>
      <c r="F73" s="233">
        <f t="shared" si="30"/>
        <v>8</v>
      </c>
      <c r="G73" s="233">
        <f t="shared" si="31"/>
        <v>0</v>
      </c>
      <c r="H73" s="233">
        <f t="shared" si="32"/>
        <v>0</v>
      </c>
      <c r="I73" s="233">
        <f t="shared" si="33"/>
        <v>0</v>
      </c>
      <c r="J73" s="233">
        <f t="shared" si="34"/>
        <v>0</v>
      </c>
      <c r="K73" s="233">
        <f t="shared" si="35"/>
        <v>0</v>
      </c>
      <c r="L73" s="233">
        <f t="shared" si="36"/>
        <v>0</v>
      </c>
      <c r="M73" s="233">
        <f t="shared" si="37"/>
        <v>0</v>
      </c>
      <c r="N73" s="233">
        <f t="shared" si="38"/>
        <v>0</v>
      </c>
      <c r="O73" s="233">
        <f>IFERROR(VLOOKUP(A73,TOTAL_HORAS,79,FALSE),0)</f>
        <v>0</v>
      </c>
      <c r="P73" s="233"/>
      <c r="Q73" s="233"/>
      <c r="R73" s="231">
        <f t="shared" si="39"/>
        <v>40.497159090909093</v>
      </c>
      <c r="S73" s="231">
        <f t="shared" si="40"/>
        <v>44.546875</v>
      </c>
      <c r="T73" s="231">
        <f t="shared" si="41"/>
        <v>38.736413043478258</v>
      </c>
      <c r="U73" s="231">
        <f t="shared" si="42"/>
        <v>49.496527777777779</v>
      </c>
      <c r="V73" s="231">
        <f t="shared" si="43"/>
        <v>40.497159090909093</v>
      </c>
      <c r="W73" s="231">
        <f t="shared" si="44"/>
        <v>42.425595238095241</v>
      </c>
      <c r="X73" s="231">
        <f t="shared" si="45"/>
        <v>44.546875</v>
      </c>
      <c r="Y73" s="231">
        <f t="shared" si="46"/>
        <v>39.772727272727273</v>
      </c>
      <c r="Z73" s="231">
        <f t="shared" si="47"/>
        <v>39.345238095238095</v>
      </c>
      <c r="AA73" s="231"/>
      <c r="AB73" s="231"/>
      <c r="AC73" s="231"/>
      <c r="AD73" s="230">
        <f t="shared" si="28"/>
        <v>323.97727272727275</v>
      </c>
      <c r="AE73" s="230">
        <f t="shared" si="48"/>
        <v>0</v>
      </c>
      <c r="AF73" s="230">
        <f t="shared" si="49"/>
        <v>0</v>
      </c>
      <c r="AG73" s="230">
        <f t="shared" si="50"/>
        <v>0</v>
      </c>
      <c r="AH73" s="230">
        <f t="shared" si="51"/>
        <v>0</v>
      </c>
      <c r="AI73" s="230">
        <f t="shared" si="52"/>
        <v>0</v>
      </c>
      <c r="AJ73" s="230">
        <f t="shared" si="53"/>
        <v>0</v>
      </c>
      <c r="AK73" s="230">
        <f t="shared" si="54"/>
        <v>0</v>
      </c>
      <c r="AL73" s="230">
        <f t="shared" si="54"/>
        <v>0</v>
      </c>
      <c r="AM73" s="230">
        <f t="shared" si="54"/>
        <v>0</v>
      </c>
      <c r="AN73" s="230">
        <f t="shared" si="54"/>
        <v>0</v>
      </c>
      <c r="AO73" s="230">
        <f t="shared" si="29"/>
        <v>0</v>
      </c>
    </row>
    <row r="74" spans="1:41" ht="15.75" customHeight="1" x14ac:dyDescent="0.25">
      <c r="A74" s="251" t="s">
        <v>733</v>
      </c>
      <c r="B74" s="251" t="s">
        <v>423</v>
      </c>
      <c r="C74" s="251" t="s">
        <v>209</v>
      </c>
      <c r="D74" s="251" t="s">
        <v>209</v>
      </c>
      <c r="E74" s="251" t="s">
        <v>243</v>
      </c>
      <c r="F74" s="233">
        <f t="shared" si="30"/>
        <v>0</v>
      </c>
      <c r="G74" s="233">
        <f t="shared" si="31"/>
        <v>48</v>
      </c>
      <c r="H74" s="233">
        <f t="shared" si="32"/>
        <v>0</v>
      </c>
      <c r="I74" s="233">
        <f t="shared" si="33"/>
        <v>0</v>
      </c>
      <c r="J74" s="233">
        <f t="shared" si="34"/>
        <v>64</v>
      </c>
      <c r="K74" s="233">
        <f t="shared" si="35"/>
        <v>16</v>
      </c>
      <c r="L74" s="233">
        <f t="shared" si="36"/>
        <v>0</v>
      </c>
      <c r="M74" s="233">
        <f t="shared" si="37"/>
        <v>0</v>
      </c>
      <c r="N74" s="233">
        <f t="shared" si="38"/>
        <v>0</v>
      </c>
      <c r="O74" s="233">
        <f>IFERROR(VLOOKUP(A74,TOTAL_HORAS,79,FALSE),0)</f>
        <v>0</v>
      </c>
      <c r="P74" s="233"/>
      <c r="Q74" s="233"/>
      <c r="R74" s="231">
        <f t="shared" si="39"/>
        <v>40.497159090909093</v>
      </c>
      <c r="S74" s="231">
        <f t="shared" si="40"/>
        <v>44.546875</v>
      </c>
      <c r="T74" s="231">
        <f t="shared" si="41"/>
        <v>38.736413043478258</v>
      </c>
      <c r="U74" s="231">
        <f t="shared" si="42"/>
        <v>49.496527777777779</v>
      </c>
      <c r="V74" s="231">
        <f t="shared" si="43"/>
        <v>40.497159090909093</v>
      </c>
      <c r="W74" s="231">
        <f t="shared" si="44"/>
        <v>42.425595238095241</v>
      </c>
      <c r="X74" s="231">
        <f t="shared" si="45"/>
        <v>44.546875</v>
      </c>
      <c r="Y74" s="231">
        <f t="shared" si="46"/>
        <v>39.772727272727273</v>
      </c>
      <c r="Z74" s="231">
        <f t="shared" si="47"/>
        <v>39.345238095238095</v>
      </c>
      <c r="AA74" s="231"/>
      <c r="AB74" s="231"/>
      <c r="AC74" s="231"/>
      <c r="AD74" s="230">
        <f t="shared" si="28"/>
        <v>0</v>
      </c>
      <c r="AE74" s="230">
        <f t="shared" si="48"/>
        <v>2138.25</v>
      </c>
      <c r="AF74" s="230">
        <f t="shared" si="49"/>
        <v>0</v>
      </c>
      <c r="AG74" s="230">
        <f t="shared" si="50"/>
        <v>0</v>
      </c>
      <c r="AH74" s="230">
        <f t="shared" si="51"/>
        <v>2591.818181818182</v>
      </c>
      <c r="AI74" s="230">
        <f t="shared" si="52"/>
        <v>678.80952380952385</v>
      </c>
      <c r="AJ74" s="230">
        <f t="shared" si="53"/>
        <v>0</v>
      </c>
      <c r="AK74" s="230">
        <f t="shared" si="54"/>
        <v>0</v>
      </c>
      <c r="AL74" s="230">
        <f t="shared" si="54"/>
        <v>0</v>
      </c>
      <c r="AM74" s="230">
        <f t="shared" si="54"/>
        <v>0</v>
      </c>
      <c r="AN74" s="230">
        <f t="shared" si="54"/>
        <v>0</v>
      </c>
      <c r="AO74" s="230">
        <f t="shared" si="29"/>
        <v>0</v>
      </c>
    </row>
    <row r="75" spans="1:41" ht="15.75" customHeight="1" x14ac:dyDescent="0.25">
      <c r="A75" s="251" t="s">
        <v>734</v>
      </c>
      <c r="B75" s="251" t="s">
        <v>423</v>
      </c>
      <c r="C75" s="251" t="s">
        <v>44</v>
      </c>
      <c r="D75" s="251" t="s">
        <v>42</v>
      </c>
      <c r="E75" s="251" t="s">
        <v>304</v>
      </c>
      <c r="F75" s="233">
        <f t="shared" si="30"/>
        <v>168</v>
      </c>
      <c r="G75" s="233">
        <f t="shared" si="31"/>
        <v>112</v>
      </c>
      <c r="H75" s="233">
        <f t="shared" si="32"/>
        <v>184</v>
      </c>
      <c r="I75" s="233">
        <f t="shared" si="33"/>
        <v>144</v>
      </c>
      <c r="J75" s="233">
        <f t="shared" si="34"/>
        <v>112</v>
      </c>
      <c r="K75" s="233">
        <f t="shared" si="35"/>
        <v>152</v>
      </c>
      <c r="L75" s="233">
        <f t="shared" si="36"/>
        <v>160</v>
      </c>
      <c r="M75" s="233">
        <f t="shared" si="37"/>
        <v>176</v>
      </c>
      <c r="N75" s="233">
        <f t="shared" si="38"/>
        <v>168</v>
      </c>
      <c r="O75" s="233">
        <f>IFERROR(VLOOKUP(A75,TOTAL_HORAS,79,FALSE),0)</f>
        <v>40</v>
      </c>
      <c r="P75" s="233"/>
      <c r="Q75" s="233"/>
      <c r="R75" s="231">
        <f t="shared" si="39"/>
        <v>40.497159090909093</v>
      </c>
      <c r="S75" s="231">
        <f t="shared" si="40"/>
        <v>44.546875</v>
      </c>
      <c r="T75" s="231">
        <f t="shared" si="41"/>
        <v>38.736413043478258</v>
      </c>
      <c r="U75" s="231">
        <f t="shared" si="42"/>
        <v>49.496527777777779</v>
      </c>
      <c r="V75" s="231">
        <f t="shared" si="43"/>
        <v>40.497159090909093</v>
      </c>
      <c r="W75" s="231">
        <f t="shared" si="44"/>
        <v>42.425595238095241</v>
      </c>
      <c r="X75" s="231">
        <f t="shared" si="45"/>
        <v>44.546875</v>
      </c>
      <c r="Y75" s="231">
        <f t="shared" si="46"/>
        <v>39.772727272727273</v>
      </c>
      <c r="Z75" s="231">
        <f t="shared" si="47"/>
        <v>39.345238095238095</v>
      </c>
      <c r="AA75" s="231"/>
      <c r="AB75" s="231"/>
      <c r="AC75" s="231"/>
      <c r="AD75" s="230">
        <f t="shared" si="28"/>
        <v>6803.5227272727279</v>
      </c>
      <c r="AE75" s="230">
        <f t="shared" si="48"/>
        <v>4989.25</v>
      </c>
      <c r="AF75" s="230">
        <f t="shared" si="49"/>
        <v>7127.4999999999991</v>
      </c>
      <c r="AG75" s="230">
        <f t="shared" si="50"/>
        <v>7127.5</v>
      </c>
      <c r="AH75" s="230">
        <f t="shared" si="51"/>
        <v>4535.681818181818</v>
      </c>
      <c r="AI75" s="230">
        <f t="shared" si="52"/>
        <v>6448.6904761904771</v>
      </c>
      <c r="AJ75" s="230">
        <f t="shared" si="53"/>
        <v>7127.5</v>
      </c>
      <c r="AK75" s="230">
        <f t="shared" si="54"/>
        <v>7000</v>
      </c>
      <c r="AL75" s="230">
        <f t="shared" si="54"/>
        <v>6610</v>
      </c>
      <c r="AM75" s="230">
        <f t="shared" si="54"/>
        <v>0</v>
      </c>
      <c r="AN75" s="230">
        <f t="shared" si="54"/>
        <v>0</v>
      </c>
      <c r="AO75" s="230">
        <f t="shared" si="29"/>
        <v>0</v>
      </c>
    </row>
    <row r="76" spans="1:41" ht="15.75" customHeight="1" x14ac:dyDescent="0.25">
      <c r="A76" s="251" t="s">
        <v>905</v>
      </c>
      <c r="B76" s="251" t="s">
        <v>11</v>
      </c>
      <c r="C76" s="251" t="s">
        <v>209</v>
      </c>
      <c r="D76" s="251" t="s">
        <v>209</v>
      </c>
      <c r="E76" s="251" t="s">
        <v>243</v>
      </c>
      <c r="F76" s="233">
        <f t="shared" si="30"/>
        <v>0</v>
      </c>
      <c r="G76" s="233">
        <f t="shared" si="31"/>
        <v>0</v>
      </c>
      <c r="H76" s="233">
        <f t="shared" si="32"/>
        <v>0</v>
      </c>
      <c r="I76" s="233">
        <f t="shared" si="33"/>
        <v>16</v>
      </c>
      <c r="J76" s="233">
        <f t="shared" si="34"/>
        <v>0</v>
      </c>
      <c r="K76" s="233">
        <f t="shared" si="35"/>
        <v>0</v>
      </c>
      <c r="L76" s="233">
        <f t="shared" si="36"/>
        <v>0</v>
      </c>
      <c r="M76" s="233">
        <f t="shared" si="37"/>
        <v>0</v>
      </c>
      <c r="N76" s="233">
        <f t="shared" si="38"/>
        <v>0</v>
      </c>
      <c r="O76" s="233">
        <f>IFERROR(VLOOKUP(A76,TOTAL_HORAS,79,FALSE),0)</f>
        <v>0</v>
      </c>
      <c r="P76" s="233"/>
      <c r="Q76" s="233"/>
      <c r="R76" s="231">
        <f t="shared" si="39"/>
        <v>40.625</v>
      </c>
      <c r="S76" s="231">
        <f t="shared" si="40"/>
        <v>44.6875</v>
      </c>
      <c r="T76" s="231">
        <f t="shared" si="41"/>
        <v>38.858695652173914</v>
      </c>
      <c r="U76" s="231">
        <f t="shared" si="42"/>
        <v>49.652777777777779</v>
      </c>
      <c r="V76" s="231">
        <f t="shared" si="43"/>
        <v>40.625</v>
      </c>
      <c r="W76" s="231">
        <f t="shared" si="44"/>
        <v>42.55952380952381</v>
      </c>
      <c r="X76" s="231">
        <f t="shared" si="45"/>
        <v>44.671875</v>
      </c>
      <c r="Y76" s="231">
        <f t="shared" si="46"/>
        <v>40.610795454545453</v>
      </c>
      <c r="Z76" s="231">
        <f t="shared" si="47"/>
        <v>42.544642857142854</v>
      </c>
      <c r="AA76" s="231"/>
      <c r="AB76" s="231"/>
      <c r="AC76" s="231"/>
      <c r="AD76" s="230">
        <f t="shared" si="28"/>
        <v>0</v>
      </c>
      <c r="AE76" s="230">
        <f t="shared" si="48"/>
        <v>0</v>
      </c>
      <c r="AF76" s="230">
        <f t="shared" si="49"/>
        <v>0</v>
      </c>
      <c r="AG76" s="230">
        <f t="shared" si="50"/>
        <v>794.44444444444446</v>
      </c>
      <c r="AH76" s="230">
        <f t="shared" si="51"/>
        <v>0</v>
      </c>
      <c r="AI76" s="230">
        <f t="shared" si="52"/>
        <v>0</v>
      </c>
      <c r="AJ76" s="230">
        <f t="shared" si="53"/>
        <v>0</v>
      </c>
      <c r="AK76" s="230">
        <f t="shared" si="54"/>
        <v>0</v>
      </c>
      <c r="AL76" s="230">
        <f t="shared" si="54"/>
        <v>0</v>
      </c>
      <c r="AM76" s="230">
        <f t="shared" si="54"/>
        <v>0</v>
      </c>
      <c r="AN76" s="230">
        <f t="shared" si="54"/>
        <v>0</v>
      </c>
      <c r="AO76" s="230">
        <f t="shared" si="29"/>
        <v>0</v>
      </c>
    </row>
    <row r="77" spans="1:41" ht="15.75" customHeight="1" x14ac:dyDescent="0.25">
      <c r="A77" s="251" t="s">
        <v>904</v>
      </c>
      <c r="B77" s="251" t="s">
        <v>11</v>
      </c>
      <c r="C77" s="251" t="s">
        <v>44</v>
      </c>
      <c r="D77" s="251" t="s">
        <v>42</v>
      </c>
      <c r="E77" s="251" t="s">
        <v>304</v>
      </c>
      <c r="F77" s="233">
        <f t="shared" si="30"/>
        <v>176</v>
      </c>
      <c r="G77" s="233">
        <f t="shared" si="31"/>
        <v>160</v>
      </c>
      <c r="H77" s="233">
        <f t="shared" si="32"/>
        <v>184</v>
      </c>
      <c r="I77" s="233">
        <f t="shared" si="33"/>
        <v>128</v>
      </c>
      <c r="J77" s="233">
        <f t="shared" si="34"/>
        <v>176</v>
      </c>
      <c r="K77" s="233">
        <f t="shared" si="35"/>
        <v>168</v>
      </c>
      <c r="L77" s="233">
        <f t="shared" si="36"/>
        <v>160</v>
      </c>
      <c r="M77" s="233">
        <f t="shared" si="37"/>
        <v>176</v>
      </c>
      <c r="N77" s="233">
        <f t="shared" si="38"/>
        <v>168</v>
      </c>
      <c r="O77" s="233">
        <f>IFERROR(VLOOKUP(A77,TOTAL_HORAS,79,FALSE),0)</f>
        <v>40</v>
      </c>
      <c r="P77" s="233"/>
      <c r="Q77" s="233"/>
      <c r="R77" s="231">
        <f t="shared" si="39"/>
        <v>40.625</v>
      </c>
      <c r="S77" s="231">
        <f t="shared" si="40"/>
        <v>44.6875</v>
      </c>
      <c r="T77" s="231">
        <f t="shared" si="41"/>
        <v>38.858695652173914</v>
      </c>
      <c r="U77" s="231">
        <f t="shared" si="42"/>
        <v>49.652777777777779</v>
      </c>
      <c r="V77" s="231">
        <f t="shared" si="43"/>
        <v>40.625</v>
      </c>
      <c r="W77" s="231">
        <f t="shared" si="44"/>
        <v>42.55952380952381</v>
      </c>
      <c r="X77" s="231">
        <f t="shared" si="45"/>
        <v>44.671875</v>
      </c>
      <c r="Y77" s="231">
        <f t="shared" si="46"/>
        <v>40.610795454545453</v>
      </c>
      <c r="Z77" s="231">
        <f t="shared" si="47"/>
        <v>42.544642857142854</v>
      </c>
      <c r="AA77" s="231"/>
      <c r="AB77" s="231"/>
      <c r="AC77" s="231"/>
      <c r="AD77" s="230">
        <f t="shared" si="28"/>
        <v>7150</v>
      </c>
      <c r="AE77" s="230">
        <f t="shared" si="48"/>
        <v>7150</v>
      </c>
      <c r="AF77" s="230">
        <f t="shared" si="49"/>
        <v>7150</v>
      </c>
      <c r="AG77" s="230">
        <f t="shared" si="50"/>
        <v>6355.5555555555557</v>
      </c>
      <c r="AH77" s="230">
        <f t="shared" si="51"/>
        <v>7150</v>
      </c>
      <c r="AI77" s="230">
        <f t="shared" si="52"/>
        <v>7150</v>
      </c>
      <c r="AJ77" s="230">
        <f t="shared" si="53"/>
        <v>7147.5</v>
      </c>
      <c r="AK77" s="230">
        <f t="shared" si="54"/>
        <v>7147.5</v>
      </c>
      <c r="AL77" s="230">
        <f t="shared" si="54"/>
        <v>7147.4999999999991</v>
      </c>
      <c r="AM77" s="230">
        <f t="shared" si="54"/>
        <v>0</v>
      </c>
      <c r="AN77" s="230">
        <f t="shared" si="54"/>
        <v>0</v>
      </c>
      <c r="AO77" s="230">
        <f t="shared" si="29"/>
        <v>0</v>
      </c>
    </row>
    <row r="78" spans="1:41" ht="15.75" customHeight="1" x14ac:dyDescent="0.25">
      <c r="A78" s="251" t="s">
        <v>735</v>
      </c>
      <c r="B78" s="251" t="s">
        <v>19</v>
      </c>
      <c r="C78" s="251" t="s">
        <v>44</v>
      </c>
      <c r="D78" s="251" t="s">
        <v>42</v>
      </c>
      <c r="E78" s="251" t="s">
        <v>304</v>
      </c>
      <c r="F78" s="233">
        <f t="shared" si="30"/>
        <v>174</v>
      </c>
      <c r="G78" s="233">
        <f t="shared" si="31"/>
        <v>160</v>
      </c>
      <c r="H78" s="233">
        <f t="shared" si="32"/>
        <v>184</v>
      </c>
      <c r="I78" s="233">
        <f t="shared" si="33"/>
        <v>144</v>
      </c>
      <c r="J78" s="233">
        <f t="shared" si="34"/>
        <v>176</v>
      </c>
      <c r="K78" s="233">
        <f t="shared" si="35"/>
        <v>168</v>
      </c>
      <c r="L78" s="233">
        <f t="shared" si="36"/>
        <v>152</v>
      </c>
      <c r="M78" s="233">
        <f t="shared" si="37"/>
        <v>172</v>
      </c>
      <c r="N78" s="233">
        <f t="shared" si="38"/>
        <v>48</v>
      </c>
      <c r="O78" s="233">
        <f>IFERROR(VLOOKUP(A78,TOTAL_HORAS,79,FALSE),0)</f>
        <v>0</v>
      </c>
      <c r="P78" s="233"/>
      <c r="Q78" s="233"/>
      <c r="R78" s="231">
        <f t="shared" si="39"/>
        <v>29.829545454545453</v>
      </c>
      <c r="S78" s="231">
        <f t="shared" si="40"/>
        <v>32.8125</v>
      </c>
      <c r="T78" s="231">
        <f t="shared" si="41"/>
        <v>28.532608695652176</v>
      </c>
      <c r="U78" s="231">
        <f t="shared" si="42"/>
        <v>36.458333333333336</v>
      </c>
      <c r="V78" s="231">
        <f t="shared" si="43"/>
        <v>29.829545454545453</v>
      </c>
      <c r="W78" s="231">
        <f t="shared" si="44"/>
        <v>31.25</v>
      </c>
      <c r="X78" s="231">
        <f t="shared" si="45"/>
        <v>32.8125</v>
      </c>
      <c r="Y78" s="231">
        <f t="shared" si="46"/>
        <v>30.553977272727273</v>
      </c>
      <c r="Z78" s="231">
        <f t="shared" si="47"/>
        <v>31.25</v>
      </c>
      <c r="AA78" s="231"/>
      <c r="AB78" s="231"/>
      <c r="AC78" s="231"/>
      <c r="AD78" s="230">
        <f t="shared" si="28"/>
        <v>5190.340909090909</v>
      </c>
      <c r="AE78" s="230">
        <f t="shared" si="48"/>
        <v>5250</v>
      </c>
      <c r="AF78" s="230">
        <f t="shared" si="49"/>
        <v>5250</v>
      </c>
      <c r="AG78" s="230">
        <f t="shared" si="50"/>
        <v>5250</v>
      </c>
      <c r="AH78" s="230">
        <f t="shared" si="51"/>
        <v>5250</v>
      </c>
      <c r="AI78" s="230">
        <f t="shared" si="52"/>
        <v>5250</v>
      </c>
      <c r="AJ78" s="230">
        <f t="shared" si="53"/>
        <v>4987.5</v>
      </c>
      <c r="AK78" s="230">
        <f t="shared" si="54"/>
        <v>5255.284090909091</v>
      </c>
      <c r="AL78" s="230">
        <f t="shared" si="54"/>
        <v>1500</v>
      </c>
      <c r="AM78" s="230">
        <f t="shared" si="54"/>
        <v>0</v>
      </c>
      <c r="AN78" s="230">
        <f t="shared" si="54"/>
        <v>0</v>
      </c>
      <c r="AO78" s="230">
        <f t="shared" si="29"/>
        <v>0</v>
      </c>
    </row>
    <row r="79" spans="1:41" ht="15.75" customHeight="1" x14ac:dyDescent="0.25">
      <c r="A79" s="251" t="s">
        <v>736</v>
      </c>
      <c r="B79" s="251" t="s">
        <v>265</v>
      </c>
      <c r="C79" s="251" t="s">
        <v>208</v>
      </c>
      <c r="D79" s="251" t="s">
        <v>208</v>
      </c>
      <c r="E79" s="251" t="s">
        <v>210</v>
      </c>
      <c r="F79" s="233">
        <f t="shared" si="30"/>
        <v>0</v>
      </c>
      <c r="G79" s="233">
        <f t="shared" si="31"/>
        <v>0</v>
      </c>
      <c r="H79" s="233">
        <f t="shared" si="32"/>
        <v>0</v>
      </c>
      <c r="I79" s="233">
        <f t="shared" si="33"/>
        <v>0</v>
      </c>
      <c r="J79" s="233">
        <f t="shared" si="34"/>
        <v>0</v>
      </c>
      <c r="K79" s="233">
        <f t="shared" si="35"/>
        <v>0</v>
      </c>
      <c r="L79" s="233">
        <f t="shared" si="36"/>
        <v>0</v>
      </c>
      <c r="M79" s="233">
        <f t="shared" si="37"/>
        <v>8</v>
      </c>
      <c r="N79" s="233">
        <f t="shared" si="38"/>
        <v>0</v>
      </c>
      <c r="O79" s="233">
        <f>IFERROR(VLOOKUP(A79,TOTAL_HORAS,79,FALSE),0)</f>
        <v>0</v>
      </c>
      <c r="P79" s="233"/>
      <c r="Q79" s="233"/>
      <c r="R79" s="231">
        <f t="shared" si="39"/>
        <v>0</v>
      </c>
      <c r="S79" s="231">
        <f t="shared" si="40"/>
        <v>0</v>
      </c>
      <c r="T79" s="231">
        <f t="shared" si="41"/>
        <v>0</v>
      </c>
      <c r="U79" s="231">
        <f t="shared" si="42"/>
        <v>0</v>
      </c>
      <c r="V79" s="231">
        <f t="shared" si="43"/>
        <v>0</v>
      </c>
      <c r="W79" s="231">
        <f t="shared" si="44"/>
        <v>0</v>
      </c>
      <c r="X79" s="231">
        <f t="shared" si="45"/>
        <v>0</v>
      </c>
      <c r="Y79" s="231">
        <f t="shared" si="46"/>
        <v>0</v>
      </c>
      <c r="Z79" s="231">
        <f t="shared" si="47"/>
        <v>0</v>
      </c>
      <c r="AA79" s="231"/>
      <c r="AB79" s="231"/>
      <c r="AC79" s="231"/>
      <c r="AD79" s="230">
        <f t="shared" si="28"/>
        <v>0</v>
      </c>
      <c r="AE79" s="230">
        <f t="shared" si="48"/>
        <v>0</v>
      </c>
      <c r="AF79" s="230">
        <f t="shared" si="49"/>
        <v>0</v>
      </c>
      <c r="AG79" s="230">
        <f t="shared" si="50"/>
        <v>0</v>
      </c>
      <c r="AH79" s="230">
        <f t="shared" si="51"/>
        <v>0</v>
      </c>
      <c r="AI79" s="230">
        <f t="shared" si="52"/>
        <v>0</v>
      </c>
      <c r="AJ79" s="230">
        <f t="shared" si="53"/>
        <v>0</v>
      </c>
      <c r="AK79" s="230">
        <f t="shared" si="54"/>
        <v>0</v>
      </c>
      <c r="AL79" s="230">
        <f t="shared" si="54"/>
        <v>0</v>
      </c>
      <c r="AM79" s="230">
        <f t="shared" si="54"/>
        <v>0</v>
      </c>
      <c r="AN79" s="230">
        <f t="shared" si="54"/>
        <v>0</v>
      </c>
      <c r="AO79" s="230">
        <f t="shared" si="29"/>
        <v>0</v>
      </c>
    </row>
    <row r="80" spans="1:41" ht="15.75" customHeight="1" x14ac:dyDescent="0.25">
      <c r="A80" s="251" t="s">
        <v>873</v>
      </c>
      <c r="B80" s="251" t="s">
        <v>265</v>
      </c>
      <c r="C80" s="251" t="s">
        <v>855</v>
      </c>
      <c r="D80" s="251" t="s">
        <v>855</v>
      </c>
      <c r="E80" s="251" t="s">
        <v>856</v>
      </c>
      <c r="F80" s="233">
        <f t="shared" si="30"/>
        <v>0</v>
      </c>
      <c r="G80" s="233">
        <f t="shared" si="31"/>
        <v>0</v>
      </c>
      <c r="H80" s="233">
        <f t="shared" si="32"/>
        <v>0</v>
      </c>
      <c r="I80" s="233">
        <f t="shared" si="33"/>
        <v>0</v>
      </c>
      <c r="J80" s="233">
        <f t="shared" si="34"/>
        <v>0</v>
      </c>
      <c r="K80" s="233">
        <f t="shared" si="35"/>
        <v>0</v>
      </c>
      <c r="L80" s="233">
        <f t="shared" si="36"/>
        <v>0</v>
      </c>
      <c r="M80" s="233">
        <f t="shared" si="37"/>
        <v>32</v>
      </c>
      <c r="N80" s="233">
        <f t="shared" si="38"/>
        <v>0</v>
      </c>
      <c r="O80" s="233">
        <f>IFERROR(VLOOKUP(A80,TOTAL_HORAS,79,FALSE),0)</f>
        <v>0</v>
      </c>
      <c r="P80" s="233"/>
      <c r="Q80" s="233"/>
      <c r="R80" s="231">
        <f t="shared" si="39"/>
        <v>0</v>
      </c>
      <c r="S80" s="231">
        <f t="shared" si="40"/>
        <v>0</v>
      </c>
      <c r="T80" s="231">
        <f t="shared" si="41"/>
        <v>0</v>
      </c>
      <c r="U80" s="231">
        <f t="shared" si="42"/>
        <v>0</v>
      </c>
      <c r="V80" s="231">
        <f t="shared" si="43"/>
        <v>0</v>
      </c>
      <c r="W80" s="231">
        <f t="shared" si="44"/>
        <v>0</v>
      </c>
      <c r="X80" s="231">
        <f t="shared" si="45"/>
        <v>0</v>
      </c>
      <c r="Y80" s="231">
        <f t="shared" si="46"/>
        <v>0</v>
      </c>
      <c r="Z80" s="231">
        <f t="shared" si="47"/>
        <v>0</v>
      </c>
      <c r="AA80" s="231"/>
      <c r="AB80" s="231"/>
      <c r="AC80" s="231"/>
      <c r="AD80" s="230">
        <f t="shared" si="28"/>
        <v>0</v>
      </c>
      <c r="AE80" s="230">
        <f t="shared" si="48"/>
        <v>0</v>
      </c>
      <c r="AF80" s="230">
        <f t="shared" si="49"/>
        <v>0</v>
      </c>
      <c r="AG80" s="230">
        <f t="shared" si="50"/>
        <v>0</v>
      </c>
      <c r="AH80" s="230">
        <f t="shared" si="51"/>
        <v>0</v>
      </c>
      <c r="AI80" s="230">
        <f t="shared" si="52"/>
        <v>0</v>
      </c>
      <c r="AJ80" s="230">
        <f t="shared" si="53"/>
        <v>0</v>
      </c>
      <c r="AK80" s="230">
        <f t="shared" si="54"/>
        <v>0</v>
      </c>
      <c r="AL80" s="230">
        <f t="shared" si="54"/>
        <v>0</v>
      </c>
      <c r="AM80" s="230">
        <f t="shared" si="54"/>
        <v>0</v>
      </c>
      <c r="AN80" s="230">
        <f t="shared" si="54"/>
        <v>0</v>
      </c>
      <c r="AO80" s="230">
        <f t="shared" si="29"/>
        <v>0</v>
      </c>
    </row>
    <row r="81" spans="1:41" ht="15.75" customHeight="1" x14ac:dyDescent="0.25">
      <c r="A81" s="251" t="s">
        <v>737</v>
      </c>
      <c r="B81" s="251" t="s">
        <v>265</v>
      </c>
      <c r="C81" s="251" t="s">
        <v>44</v>
      </c>
      <c r="D81" s="251" t="s">
        <v>42</v>
      </c>
      <c r="E81" s="251" t="s">
        <v>304</v>
      </c>
      <c r="F81" s="233">
        <f t="shared" si="30"/>
        <v>106</v>
      </c>
      <c r="G81" s="233">
        <f t="shared" si="31"/>
        <v>160</v>
      </c>
      <c r="H81" s="233">
        <f t="shared" si="32"/>
        <v>184</v>
      </c>
      <c r="I81" s="233">
        <f t="shared" si="33"/>
        <v>144</v>
      </c>
      <c r="J81" s="233">
        <f t="shared" si="34"/>
        <v>176</v>
      </c>
      <c r="K81" s="233">
        <f t="shared" si="35"/>
        <v>168</v>
      </c>
      <c r="L81" s="233">
        <f t="shared" si="36"/>
        <v>160</v>
      </c>
      <c r="M81" s="233">
        <f t="shared" si="37"/>
        <v>136</v>
      </c>
      <c r="N81" s="233">
        <f t="shared" si="38"/>
        <v>88</v>
      </c>
      <c r="O81" s="233">
        <f>IFERROR(VLOOKUP(A81,TOTAL_HORAS,79,FALSE),0)</f>
        <v>0</v>
      </c>
      <c r="P81" s="233"/>
      <c r="Q81" s="233"/>
      <c r="R81" s="231">
        <f t="shared" si="39"/>
        <v>0</v>
      </c>
      <c r="S81" s="231">
        <f t="shared" si="40"/>
        <v>0</v>
      </c>
      <c r="T81" s="231">
        <f t="shared" si="41"/>
        <v>0</v>
      </c>
      <c r="U81" s="231">
        <f t="shared" si="42"/>
        <v>0</v>
      </c>
      <c r="V81" s="231">
        <f t="shared" si="43"/>
        <v>0</v>
      </c>
      <c r="W81" s="231">
        <f t="shared" si="44"/>
        <v>0</v>
      </c>
      <c r="X81" s="231">
        <f t="shared" si="45"/>
        <v>0</v>
      </c>
      <c r="Y81" s="231">
        <f t="shared" si="46"/>
        <v>0</v>
      </c>
      <c r="Z81" s="231">
        <f t="shared" si="47"/>
        <v>0</v>
      </c>
      <c r="AA81" s="231"/>
      <c r="AB81" s="231"/>
      <c r="AC81" s="231"/>
      <c r="AD81" s="230">
        <f t="shared" si="28"/>
        <v>0</v>
      </c>
      <c r="AE81" s="230">
        <f t="shared" si="48"/>
        <v>0</v>
      </c>
      <c r="AF81" s="230">
        <f t="shared" si="49"/>
        <v>0</v>
      </c>
      <c r="AG81" s="230">
        <f t="shared" si="50"/>
        <v>0</v>
      </c>
      <c r="AH81" s="230">
        <f t="shared" si="51"/>
        <v>0</v>
      </c>
      <c r="AI81" s="230">
        <f t="shared" si="52"/>
        <v>0</v>
      </c>
      <c r="AJ81" s="230">
        <f t="shared" si="53"/>
        <v>0</v>
      </c>
      <c r="AK81" s="230">
        <f t="shared" si="54"/>
        <v>0</v>
      </c>
      <c r="AL81" s="230">
        <f t="shared" si="54"/>
        <v>0</v>
      </c>
      <c r="AM81" s="230">
        <f t="shared" si="54"/>
        <v>0</v>
      </c>
      <c r="AN81" s="230">
        <f t="shared" si="54"/>
        <v>0</v>
      </c>
      <c r="AO81" s="230">
        <f t="shared" si="29"/>
        <v>0</v>
      </c>
    </row>
    <row r="82" spans="1:41" ht="15.75" customHeight="1" x14ac:dyDescent="0.25">
      <c r="A82" s="251" t="s">
        <v>738</v>
      </c>
      <c r="B82" s="251" t="s">
        <v>0</v>
      </c>
      <c r="C82" s="251" t="s">
        <v>103</v>
      </c>
      <c r="D82" s="251" t="s">
        <v>562</v>
      </c>
      <c r="E82" s="251" t="s">
        <v>563</v>
      </c>
      <c r="F82" s="233">
        <f t="shared" si="30"/>
        <v>0</v>
      </c>
      <c r="G82" s="233">
        <f t="shared" si="31"/>
        <v>0</v>
      </c>
      <c r="H82" s="233">
        <f t="shared" si="32"/>
        <v>0</v>
      </c>
      <c r="I82" s="233">
        <f t="shared" si="33"/>
        <v>0</v>
      </c>
      <c r="J82" s="233">
        <f t="shared" si="34"/>
        <v>0</v>
      </c>
      <c r="K82" s="233">
        <f t="shared" si="35"/>
        <v>0</v>
      </c>
      <c r="L82" s="233">
        <f t="shared" si="36"/>
        <v>0</v>
      </c>
      <c r="M82" s="233">
        <f t="shared" si="37"/>
        <v>144</v>
      </c>
      <c r="N82" s="233">
        <f t="shared" si="38"/>
        <v>55</v>
      </c>
      <c r="O82" s="233">
        <f>IFERROR(VLOOKUP(A82,TOTAL_HORAS,79,FALSE),0)</f>
        <v>39</v>
      </c>
      <c r="P82" s="233"/>
      <c r="Q82" s="233"/>
      <c r="R82" s="231">
        <f t="shared" si="39"/>
        <v>44.946022727272727</v>
      </c>
      <c r="S82" s="231">
        <f t="shared" si="40"/>
        <v>49.440624999999997</v>
      </c>
      <c r="T82" s="231">
        <f t="shared" si="41"/>
        <v>42.991847826086953</v>
      </c>
      <c r="U82" s="231">
        <f t="shared" si="42"/>
        <v>54.934027777777779</v>
      </c>
      <c r="V82" s="231">
        <f t="shared" si="43"/>
        <v>44.946022727272727</v>
      </c>
      <c r="W82" s="231">
        <f t="shared" si="44"/>
        <v>0</v>
      </c>
      <c r="X82" s="231">
        <f t="shared" si="45"/>
        <v>0</v>
      </c>
      <c r="Y82" s="231">
        <f t="shared" si="46"/>
        <v>36.93181818181818</v>
      </c>
      <c r="Z82" s="231">
        <f t="shared" si="47"/>
        <v>38.69047619047619</v>
      </c>
      <c r="AA82" s="231"/>
      <c r="AB82" s="231"/>
      <c r="AC82" s="231"/>
      <c r="AD82" s="230">
        <f t="shared" si="28"/>
        <v>0</v>
      </c>
      <c r="AE82" s="230">
        <f t="shared" si="48"/>
        <v>0</v>
      </c>
      <c r="AF82" s="230">
        <f t="shared" si="49"/>
        <v>0</v>
      </c>
      <c r="AG82" s="230">
        <f t="shared" si="50"/>
        <v>0</v>
      </c>
      <c r="AH82" s="230">
        <f t="shared" si="51"/>
        <v>0</v>
      </c>
      <c r="AI82" s="230">
        <f t="shared" si="52"/>
        <v>0</v>
      </c>
      <c r="AJ82" s="230">
        <f t="shared" si="53"/>
        <v>0</v>
      </c>
      <c r="AK82" s="230">
        <f t="shared" si="54"/>
        <v>5318.181818181818</v>
      </c>
      <c r="AL82" s="230">
        <f t="shared" si="54"/>
        <v>2127.9761904761904</v>
      </c>
      <c r="AM82" s="230">
        <f t="shared" si="54"/>
        <v>0</v>
      </c>
      <c r="AN82" s="230">
        <f t="shared" si="54"/>
        <v>0</v>
      </c>
      <c r="AO82" s="230">
        <f t="shared" si="29"/>
        <v>0</v>
      </c>
    </row>
    <row r="83" spans="1:41" ht="15.75" customHeight="1" x14ac:dyDescent="0.25">
      <c r="A83" s="251" t="s">
        <v>915</v>
      </c>
      <c r="B83" s="251" t="s">
        <v>0</v>
      </c>
      <c r="C83" s="251" t="s">
        <v>103</v>
      </c>
      <c r="D83" s="251" t="s">
        <v>913</v>
      </c>
      <c r="E83" s="251" t="s">
        <v>916</v>
      </c>
      <c r="F83" s="233">
        <f t="shared" si="30"/>
        <v>0</v>
      </c>
      <c r="G83" s="233">
        <f t="shared" si="31"/>
        <v>0</v>
      </c>
      <c r="H83" s="233">
        <f t="shared" si="32"/>
        <v>0</v>
      </c>
      <c r="I83" s="233">
        <f t="shared" si="33"/>
        <v>0</v>
      </c>
      <c r="J83" s="233">
        <f t="shared" si="34"/>
        <v>0</v>
      </c>
      <c r="K83" s="233">
        <f t="shared" si="35"/>
        <v>0</v>
      </c>
      <c r="L83" s="233">
        <f t="shared" si="36"/>
        <v>0</v>
      </c>
      <c r="M83" s="233">
        <f t="shared" si="37"/>
        <v>0</v>
      </c>
      <c r="N83" s="233">
        <f t="shared" si="38"/>
        <v>113</v>
      </c>
      <c r="O83" s="233">
        <f>IFERROR(VLOOKUP(A83,TOTAL_HORAS,79,FALSE),0)</f>
        <v>1</v>
      </c>
      <c r="P83" s="233"/>
      <c r="Q83" s="233"/>
      <c r="R83" s="231">
        <f t="shared" si="39"/>
        <v>44.946022727272727</v>
      </c>
      <c r="S83" s="231">
        <f t="shared" si="40"/>
        <v>49.440624999999997</v>
      </c>
      <c r="T83" s="231">
        <f t="shared" si="41"/>
        <v>42.991847826086953</v>
      </c>
      <c r="U83" s="231">
        <f t="shared" si="42"/>
        <v>54.934027777777779</v>
      </c>
      <c r="V83" s="231">
        <f t="shared" si="43"/>
        <v>44.946022727272727</v>
      </c>
      <c r="W83" s="231">
        <f t="shared" si="44"/>
        <v>0</v>
      </c>
      <c r="X83" s="231">
        <f t="shared" si="45"/>
        <v>0</v>
      </c>
      <c r="Y83" s="231">
        <f t="shared" si="46"/>
        <v>36.93181818181818</v>
      </c>
      <c r="Z83" s="231">
        <f t="shared" si="47"/>
        <v>38.69047619047619</v>
      </c>
      <c r="AA83" s="231"/>
      <c r="AB83" s="231"/>
      <c r="AC83" s="231"/>
      <c r="AD83" s="230">
        <f t="shared" ref="AD83:AD144" si="55">F83*R83</f>
        <v>0</v>
      </c>
      <c r="AE83" s="230">
        <f t="shared" si="48"/>
        <v>0</v>
      </c>
      <c r="AF83" s="230">
        <f t="shared" si="49"/>
        <v>0</v>
      </c>
      <c r="AG83" s="230">
        <f t="shared" si="50"/>
        <v>0</v>
      </c>
      <c r="AH83" s="230">
        <f t="shared" si="51"/>
        <v>0</v>
      </c>
      <c r="AI83" s="230">
        <f t="shared" si="52"/>
        <v>0</v>
      </c>
      <c r="AJ83" s="230">
        <f t="shared" si="53"/>
        <v>0</v>
      </c>
      <c r="AK83" s="230">
        <f t="shared" si="54"/>
        <v>0</v>
      </c>
      <c r="AL83" s="230">
        <f t="shared" si="54"/>
        <v>4372.0238095238092</v>
      </c>
      <c r="AM83" s="230">
        <f t="shared" si="54"/>
        <v>0</v>
      </c>
      <c r="AN83" s="230">
        <f t="shared" si="54"/>
        <v>0</v>
      </c>
      <c r="AO83" s="230">
        <f t="shared" si="29"/>
        <v>0</v>
      </c>
    </row>
    <row r="84" spans="1:41" ht="15.75" customHeight="1" x14ac:dyDescent="0.25">
      <c r="A84" s="251" t="s">
        <v>739</v>
      </c>
      <c r="B84" s="251" t="s">
        <v>0</v>
      </c>
      <c r="C84" s="251" t="s">
        <v>44</v>
      </c>
      <c r="D84" s="251" t="s">
        <v>42</v>
      </c>
      <c r="E84" s="251" t="s">
        <v>304</v>
      </c>
      <c r="F84" s="233">
        <f t="shared" si="30"/>
        <v>176</v>
      </c>
      <c r="G84" s="233">
        <f t="shared" si="31"/>
        <v>160</v>
      </c>
      <c r="H84" s="233">
        <f t="shared" si="32"/>
        <v>184</v>
      </c>
      <c r="I84" s="233">
        <f t="shared" si="33"/>
        <v>144</v>
      </c>
      <c r="J84" s="233">
        <f t="shared" si="34"/>
        <v>176</v>
      </c>
      <c r="K84" s="233">
        <f t="shared" si="35"/>
        <v>0</v>
      </c>
      <c r="L84" s="233">
        <f t="shared" si="36"/>
        <v>0</v>
      </c>
      <c r="M84" s="233">
        <f t="shared" si="37"/>
        <v>0</v>
      </c>
      <c r="N84" s="233">
        <f t="shared" si="38"/>
        <v>0</v>
      </c>
      <c r="O84" s="233">
        <f>IFERROR(VLOOKUP(A84,TOTAL_HORAS,79,FALSE),0)</f>
        <v>0</v>
      </c>
      <c r="P84" s="233"/>
      <c r="Q84" s="233"/>
      <c r="R84" s="231">
        <f t="shared" si="39"/>
        <v>44.946022727272727</v>
      </c>
      <c r="S84" s="231">
        <f t="shared" si="40"/>
        <v>49.440624999999997</v>
      </c>
      <c r="T84" s="231">
        <f t="shared" si="41"/>
        <v>42.991847826086953</v>
      </c>
      <c r="U84" s="231">
        <f t="shared" si="42"/>
        <v>54.934027777777779</v>
      </c>
      <c r="V84" s="231">
        <f t="shared" si="43"/>
        <v>44.946022727272727</v>
      </c>
      <c r="W84" s="231">
        <f t="shared" si="44"/>
        <v>0</v>
      </c>
      <c r="X84" s="231">
        <f t="shared" si="45"/>
        <v>0</v>
      </c>
      <c r="Y84" s="231">
        <f t="shared" si="46"/>
        <v>36.93181818181818</v>
      </c>
      <c r="Z84" s="231">
        <f t="shared" si="47"/>
        <v>38.69047619047619</v>
      </c>
      <c r="AA84" s="231"/>
      <c r="AB84" s="231"/>
      <c r="AC84" s="231"/>
      <c r="AD84" s="230">
        <f t="shared" si="55"/>
        <v>7910.5</v>
      </c>
      <c r="AE84" s="230">
        <f t="shared" si="48"/>
        <v>7910.5</v>
      </c>
      <c r="AF84" s="230">
        <f t="shared" si="49"/>
        <v>7910.4999999999991</v>
      </c>
      <c r="AG84" s="230">
        <f t="shared" si="50"/>
        <v>7910.5</v>
      </c>
      <c r="AH84" s="230">
        <f t="shared" si="51"/>
        <v>7910.5</v>
      </c>
      <c r="AI84" s="230">
        <f t="shared" si="52"/>
        <v>0</v>
      </c>
      <c r="AJ84" s="230">
        <f t="shared" si="53"/>
        <v>0</v>
      </c>
      <c r="AK84" s="230">
        <f t="shared" si="54"/>
        <v>0</v>
      </c>
      <c r="AL84" s="230">
        <f t="shared" si="54"/>
        <v>0</v>
      </c>
      <c r="AM84" s="230">
        <f t="shared" si="54"/>
        <v>0</v>
      </c>
      <c r="AN84" s="230">
        <f t="shared" si="54"/>
        <v>0</v>
      </c>
      <c r="AO84" s="230">
        <f t="shared" si="29"/>
        <v>0</v>
      </c>
    </row>
    <row r="85" spans="1:41" ht="15.75" customHeight="1" x14ac:dyDescent="0.25">
      <c r="A85" s="251" t="s">
        <v>740</v>
      </c>
      <c r="B85" s="251" t="s">
        <v>13</v>
      </c>
      <c r="C85" s="251" t="s">
        <v>44</v>
      </c>
      <c r="D85" s="251" t="s">
        <v>42</v>
      </c>
      <c r="E85" s="251" t="s">
        <v>304</v>
      </c>
      <c r="F85" s="233">
        <f t="shared" si="30"/>
        <v>176</v>
      </c>
      <c r="G85" s="233">
        <f t="shared" si="31"/>
        <v>160</v>
      </c>
      <c r="H85" s="233">
        <f t="shared" si="32"/>
        <v>184</v>
      </c>
      <c r="I85" s="233">
        <f t="shared" si="33"/>
        <v>144</v>
      </c>
      <c r="J85" s="233">
        <f t="shared" si="34"/>
        <v>176</v>
      </c>
      <c r="K85" s="233">
        <f t="shared" si="35"/>
        <v>168</v>
      </c>
      <c r="L85" s="233">
        <f t="shared" si="36"/>
        <v>160</v>
      </c>
      <c r="M85" s="233">
        <f t="shared" si="37"/>
        <v>176</v>
      </c>
      <c r="N85" s="233">
        <f t="shared" si="38"/>
        <v>168</v>
      </c>
      <c r="O85" s="233">
        <f>IFERROR(VLOOKUP(A85,TOTAL_HORAS,79,FALSE),0)</f>
        <v>40</v>
      </c>
      <c r="P85" s="233"/>
      <c r="Q85" s="233"/>
      <c r="R85" s="231">
        <f t="shared" si="39"/>
        <v>22.15909090909091</v>
      </c>
      <c r="S85" s="231">
        <f t="shared" si="40"/>
        <v>24.375</v>
      </c>
      <c r="T85" s="231">
        <f t="shared" si="41"/>
        <v>21.195652173913043</v>
      </c>
      <c r="U85" s="231">
        <f t="shared" si="42"/>
        <v>27.083333333333332</v>
      </c>
      <c r="V85" s="231">
        <f t="shared" si="43"/>
        <v>22.15909090909091</v>
      </c>
      <c r="W85" s="231">
        <f t="shared" si="44"/>
        <v>23.214285714285715</v>
      </c>
      <c r="X85" s="231">
        <f t="shared" si="45"/>
        <v>24.375</v>
      </c>
      <c r="Y85" s="231">
        <f t="shared" si="46"/>
        <v>22.15909090909091</v>
      </c>
      <c r="Z85" s="231">
        <f t="shared" si="47"/>
        <v>23.214285714285715</v>
      </c>
      <c r="AA85" s="231"/>
      <c r="AB85" s="231"/>
      <c r="AC85" s="231"/>
      <c r="AD85" s="230">
        <f t="shared" si="55"/>
        <v>3900</v>
      </c>
      <c r="AE85" s="230">
        <f t="shared" si="48"/>
        <v>3900</v>
      </c>
      <c r="AF85" s="230">
        <f t="shared" si="49"/>
        <v>3900</v>
      </c>
      <c r="AG85" s="230">
        <f t="shared" si="50"/>
        <v>3900</v>
      </c>
      <c r="AH85" s="230">
        <f t="shared" si="51"/>
        <v>3900</v>
      </c>
      <c r="AI85" s="230">
        <f t="shared" si="52"/>
        <v>3900</v>
      </c>
      <c r="AJ85" s="230">
        <f t="shared" si="53"/>
        <v>3900</v>
      </c>
      <c r="AK85" s="230">
        <f t="shared" si="54"/>
        <v>3900</v>
      </c>
      <c r="AL85" s="230">
        <f t="shared" si="54"/>
        <v>3900</v>
      </c>
      <c r="AM85" s="230">
        <f t="shared" si="54"/>
        <v>0</v>
      </c>
      <c r="AN85" s="230">
        <f t="shared" si="54"/>
        <v>0</v>
      </c>
      <c r="AO85" s="230">
        <f t="shared" si="29"/>
        <v>0</v>
      </c>
    </row>
    <row r="86" spans="1:41" ht="15.75" customHeight="1" x14ac:dyDescent="0.25">
      <c r="A86" s="251" t="s">
        <v>741</v>
      </c>
      <c r="B86" s="251" t="s">
        <v>30</v>
      </c>
      <c r="C86" s="251" t="s">
        <v>86</v>
      </c>
      <c r="D86" s="251" t="s">
        <v>87</v>
      </c>
      <c r="E86" s="251" t="s">
        <v>125</v>
      </c>
      <c r="F86" s="233">
        <f t="shared" si="30"/>
        <v>0</v>
      </c>
      <c r="G86" s="233">
        <f t="shared" si="31"/>
        <v>0</v>
      </c>
      <c r="H86" s="233">
        <f t="shared" si="32"/>
        <v>0</v>
      </c>
      <c r="I86" s="233">
        <f t="shared" si="33"/>
        <v>13</v>
      </c>
      <c r="J86" s="233">
        <f t="shared" si="34"/>
        <v>1</v>
      </c>
      <c r="K86" s="233">
        <f t="shared" si="35"/>
        <v>0</v>
      </c>
      <c r="L86" s="233">
        <f t="shared" si="36"/>
        <v>0</v>
      </c>
      <c r="M86" s="233">
        <f t="shared" si="37"/>
        <v>0</v>
      </c>
      <c r="N86" s="233">
        <f t="shared" si="38"/>
        <v>0</v>
      </c>
      <c r="O86" s="233">
        <f>IFERROR(VLOOKUP(A86,TOTAL_HORAS,79,FALSE),0)</f>
        <v>0</v>
      </c>
      <c r="P86" s="233"/>
      <c r="Q86" s="233"/>
      <c r="R86" s="231">
        <f t="shared" si="39"/>
        <v>63.06818181818182</v>
      </c>
      <c r="S86" s="231">
        <f t="shared" si="40"/>
        <v>70.065624999999997</v>
      </c>
      <c r="T86" s="231">
        <f t="shared" si="41"/>
        <v>60.926630434782609</v>
      </c>
      <c r="U86" s="231">
        <f t="shared" si="42"/>
        <v>65.972222222222229</v>
      </c>
      <c r="V86" s="231">
        <f t="shared" si="43"/>
        <v>53.977272727272727</v>
      </c>
      <c r="W86" s="231">
        <f t="shared" si="44"/>
        <v>56.547619047619051</v>
      </c>
      <c r="X86" s="231">
        <f t="shared" si="45"/>
        <v>59.375</v>
      </c>
      <c r="Y86" s="231">
        <f t="shared" si="46"/>
        <v>53.977272727272727</v>
      </c>
      <c r="Z86" s="231">
        <f t="shared" si="47"/>
        <v>56.547619047619051</v>
      </c>
      <c r="AA86" s="231"/>
      <c r="AB86" s="231"/>
      <c r="AC86" s="231"/>
      <c r="AD86" s="230">
        <f t="shared" si="55"/>
        <v>0</v>
      </c>
      <c r="AE86" s="230">
        <f t="shared" si="48"/>
        <v>0</v>
      </c>
      <c r="AF86" s="230">
        <f t="shared" si="49"/>
        <v>0</v>
      </c>
      <c r="AG86" s="230">
        <f t="shared" si="50"/>
        <v>857.63888888888891</v>
      </c>
      <c r="AH86" s="230">
        <f t="shared" si="51"/>
        <v>53.977272727272727</v>
      </c>
      <c r="AI86" s="230">
        <f t="shared" si="52"/>
        <v>0</v>
      </c>
      <c r="AJ86" s="230">
        <f t="shared" si="53"/>
        <v>0</v>
      </c>
      <c r="AK86" s="230">
        <f t="shared" si="54"/>
        <v>0</v>
      </c>
      <c r="AL86" s="230">
        <f t="shared" si="54"/>
        <v>0</v>
      </c>
      <c r="AM86" s="230">
        <f t="shared" si="54"/>
        <v>0</v>
      </c>
      <c r="AN86" s="230">
        <f t="shared" si="54"/>
        <v>0</v>
      </c>
      <c r="AO86" s="230">
        <f t="shared" si="29"/>
        <v>0</v>
      </c>
    </row>
    <row r="87" spans="1:41" ht="15.75" customHeight="1" x14ac:dyDescent="0.25">
      <c r="A87" s="251" t="s">
        <v>742</v>
      </c>
      <c r="B87" s="251" t="s">
        <v>30</v>
      </c>
      <c r="C87" s="251" t="s">
        <v>209</v>
      </c>
      <c r="D87" s="251" t="s">
        <v>209</v>
      </c>
      <c r="E87" s="251" t="s">
        <v>243</v>
      </c>
      <c r="F87" s="233">
        <f t="shared" si="30"/>
        <v>0</v>
      </c>
      <c r="G87" s="233">
        <f t="shared" si="31"/>
        <v>0</v>
      </c>
      <c r="H87" s="233">
        <f t="shared" si="32"/>
        <v>0</v>
      </c>
      <c r="I87" s="233">
        <f t="shared" si="33"/>
        <v>0</v>
      </c>
      <c r="J87" s="233">
        <f t="shared" si="34"/>
        <v>0</v>
      </c>
      <c r="K87" s="233">
        <f t="shared" si="35"/>
        <v>8</v>
      </c>
      <c r="L87" s="233">
        <f t="shared" si="36"/>
        <v>0</v>
      </c>
      <c r="M87" s="233">
        <f t="shared" si="37"/>
        <v>0</v>
      </c>
      <c r="N87" s="233">
        <f t="shared" si="38"/>
        <v>0</v>
      </c>
      <c r="O87" s="233">
        <f>IFERROR(VLOOKUP(A87,TOTAL_HORAS,79,FALSE),0)</f>
        <v>0</v>
      </c>
      <c r="P87" s="233"/>
      <c r="Q87" s="233"/>
      <c r="R87" s="231">
        <f t="shared" si="39"/>
        <v>63.06818181818182</v>
      </c>
      <c r="S87" s="231">
        <f t="shared" si="40"/>
        <v>70.065624999999997</v>
      </c>
      <c r="T87" s="231">
        <f t="shared" si="41"/>
        <v>60.926630434782609</v>
      </c>
      <c r="U87" s="231">
        <f t="shared" si="42"/>
        <v>65.972222222222229</v>
      </c>
      <c r="V87" s="231">
        <f t="shared" si="43"/>
        <v>53.977272727272727</v>
      </c>
      <c r="W87" s="231">
        <f t="shared" si="44"/>
        <v>56.547619047619051</v>
      </c>
      <c r="X87" s="231">
        <f t="shared" si="45"/>
        <v>59.375</v>
      </c>
      <c r="Y87" s="231">
        <f t="shared" si="46"/>
        <v>53.977272727272727</v>
      </c>
      <c r="Z87" s="231">
        <f t="shared" si="47"/>
        <v>56.547619047619051</v>
      </c>
      <c r="AA87" s="231"/>
      <c r="AB87" s="231"/>
      <c r="AC87" s="231"/>
      <c r="AD87" s="230">
        <f t="shared" si="55"/>
        <v>0</v>
      </c>
      <c r="AE87" s="230">
        <f t="shared" si="48"/>
        <v>0</v>
      </c>
      <c r="AF87" s="230">
        <f t="shared" si="49"/>
        <v>0</v>
      </c>
      <c r="AG87" s="230">
        <f t="shared" si="50"/>
        <v>0</v>
      </c>
      <c r="AH87" s="230">
        <f t="shared" si="51"/>
        <v>0</v>
      </c>
      <c r="AI87" s="230">
        <f t="shared" si="52"/>
        <v>452.38095238095241</v>
      </c>
      <c r="AJ87" s="230">
        <f t="shared" si="53"/>
        <v>0</v>
      </c>
      <c r="AK87" s="230">
        <f t="shared" si="54"/>
        <v>0</v>
      </c>
      <c r="AL87" s="230">
        <f t="shared" si="54"/>
        <v>0</v>
      </c>
      <c r="AM87" s="230">
        <f t="shared" si="54"/>
        <v>0</v>
      </c>
      <c r="AN87" s="230">
        <f t="shared" si="54"/>
        <v>0</v>
      </c>
      <c r="AO87" s="230">
        <f t="shared" si="29"/>
        <v>0</v>
      </c>
    </row>
    <row r="88" spans="1:41" ht="15.75" customHeight="1" x14ac:dyDescent="0.25">
      <c r="A88" s="251" t="s">
        <v>743</v>
      </c>
      <c r="B88" s="251" t="s">
        <v>30</v>
      </c>
      <c r="C88" s="251" t="s">
        <v>75</v>
      </c>
      <c r="D88" s="251" t="s">
        <v>75</v>
      </c>
      <c r="E88" s="251" t="s">
        <v>131</v>
      </c>
      <c r="F88" s="233">
        <f t="shared" si="30"/>
        <v>26.5</v>
      </c>
      <c r="G88" s="233">
        <f t="shared" si="31"/>
        <v>16</v>
      </c>
      <c r="H88" s="233">
        <f t="shared" si="32"/>
        <v>39.5</v>
      </c>
      <c r="I88" s="233">
        <f t="shared" si="33"/>
        <v>67</v>
      </c>
      <c r="J88" s="233">
        <f t="shared" si="34"/>
        <v>72</v>
      </c>
      <c r="K88" s="233">
        <f t="shared" si="35"/>
        <v>0</v>
      </c>
      <c r="L88" s="233">
        <f t="shared" si="36"/>
        <v>20</v>
      </c>
      <c r="M88" s="233">
        <f t="shared" si="37"/>
        <v>0</v>
      </c>
      <c r="N88" s="233">
        <f t="shared" si="38"/>
        <v>0</v>
      </c>
      <c r="O88" s="233">
        <f>IFERROR(VLOOKUP(A88,TOTAL_HORAS,79,FALSE),0)</f>
        <v>0</v>
      </c>
      <c r="P88" s="233"/>
      <c r="Q88" s="233"/>
      <c r="R88" s="231">
        <f t="shared" si="39"/>
        <v>63.06818181818182</v>
      </c>
      <c r="S88" s="231">
        <f t="shared" si="40"/>
        <v>70.065624999999997</v>
      </c>
      <c r="T88" s="231">
        <f t="shared" si="41"/>
        <v>60.926630434782609</v>
      </c>
      <c r="U88" s="231">
        <f t="shared" si="42"/>
        <v>65.972222222222229</v>
      </c>
      <c r="V88" s="231">
        <f t="shared" si="43"/>
        <v>53.977272727272727</v>
      </c>
      <c r="W88" s="231">
        <f t="shared" si="44"/>
        <v>56.547619047619051</v>
      </c>
      <c r="X88" s="231">
        <f t="shared" si="45"/>
        <v>59.375</v>
      </c>
      <c r="Y88" s="231">
        <f t="shared" si="46"/>
        <v>53.977272727272727</v>
      </c>
      <c r="Z88" s="231">
        <f t="shared" si="47"/>
        <v>56.547619047619051</v>
      </c>
      <c r="AA88" s="231"/>
      <c r="AB88" s="231"/>
      <c r="AC88" s="231"/>
      <c r="AD88" s="230">
        <f t="shared" si="55"/>
        <v>1671.3068181818182</v>
      </c>
      <c r="AE88" s="230">
        <f t="shared" si="48"/>
        <v>1121.05</v>
      </c>
      <c r="AF88" s="230">
        <f t="shared" si="49"/>
        <v>2406.601902173913</v>
      </c>
      <c r="AG88" s="230">
        <f t="shared" si="50"/>
        <v>4420.1388888888896</v>
      </c>
      <c r="AH88" s="230">
        <f t="shared" si="51"/>
        <v>3886.3636363636365</v>
      </c>
      <c r="AI88" s="230">
        <f t="shared" si="52"/>
        <v>0</v>
      </c>
      <c r="AJ88" s="230">
        <f t="shared" si="53"/>
        <v>1187.5</v>
      </c>
      <c r="AK88" s="230">
        <f t="shared" si="54"/>
        <v>0</v>
      </c>
      <c r="AL88" s="230">
        <f t="shared" si="54"/>
        <v>0</v>
      </c>
      <c r="AM88" s="230">
        <f t="shared" si="54"/>
        <v>0</v>
      </c>
      <c r="AN88" s="230">
        <f t="shared" si="54"/>
        <v>0</v>
      </c>
      <c r="AO88" s="230">
        <f t="shared" si="29"/>
        <v>0</v>
      </c>
    </row>
    <row r="89" spans="1:41" ht="15.75" customHeight="1" x14ac:dyDescent="0.25">
      <c r="A89" s="251" t="s">
        <v>744</v>
      </c>
      <c r="B89" s="251" t="s">
        <v>30</v>
      </c>
      <c r="C89" s="251" t="s">
        <v>46</v>
      </c>
      <c r="D89" s="251" t="s">
        <v>46</v>
      </c>
      <c r="E89" s="251" t="s">
        <v>132</v>
      </c>
      <c r="F89" s="233">
        <f t="shared" si="30"/>
        <v>26.5</v>
      </c>
      <c r="G89" s="233">
        <f t="shared" si="31"/>
        <v>16</v>
      </c>
      <c r="H89" s="233">
        <f t="shared" si="32"/>
        <v>0</v>
      </c>
      <c r="I89" s="233">
        <f t="shared" si="33"/>
        <v>0</v>
      </c>
      <c r="J89" s="233">
        <f t="shared" si="34"/>
        <v>64</v>
      </c>
      <c r="K89" s="233">
        <f t="shared" si="35"/>
        <v>97</v>
      </c>
      <c r="L89" s="233">
        <f t="shared" si="36"/>
        <v>0</v>
      </c>
      <c r="M89" s="233">
        <f t="shared" si="37"/>
        <v>0</v>
      </c>
      <c r="N89" s="233">
        <f t="shared" si="38"/>
        <v>0</v>
      </c>
      <c r="O89" s="233">
        <f>IFERROR(VLOOKUP(A89,TOTAL_HORAS,79,FALSE),0)</f>
        <v>0</v>
      </c>
      <c r="P89" s="233"/>
      <c r="Q89" s="233"/>
      <c r="R89" s="231">
        <f t="shared" si="39"/>
        <v>63.06818181818182</v>
      </c>
      <c r="S89" s="231">
        <f t="shared" si="40"/>
        <v>70.065624999999997</v>
      </c>
      <c r="T89" s="231">
        <f t="shared" si="41"/>
        <v>60.926630434782609</v>
      </c>
      <c r="U89" s="231">
        <f t="shared" si="42"/>
        <v>65.972222222222229</v>
      </c>
      <c r="V89" s="231">
        <f t="shared" si="43"/>
        <v>53.977272727272727</v>
      </c>
      <c r="W89" s="231">
        <f t="shared" si="44"/>
        <v>56.547619047619051</v>
      </c>
      <c r="X89" s="231">
        <f t="shared" si="45"/>
        <v>59.375</v>
      </c>
      <c r="Y89" s="231">
        <f t="shared" si="46"/>
        <v>53.977272727272727</v>
      </c>
      <c r="Z89" s="231">
        <f t="shared" si="47"/>
        <v>56.547619047619051</v>
      </c>
      <c r="AA89" s="231"/>
      <c r="AB89" s="231"/>
      <c r="AC89" s="231"/>
      <c r="AD89" s="230">
        <f t="shared" si="55"/>
        <v>1671.3068181818182</v>
      </c>
      <c r="AE89" s="230">
        <f t="shared" si="48"/>
        <v>1121.05</v>
      </c>
      <c r="AF89" s="230">
        <f t="shared" si="49"/>
        <v>0</v>
      </c>
      <c r="AG89" s="230">
        <f t="shared" si="50"/>
        <v>0</v>
      </c>
      <c r="AH89" s="230">
        <f t="shared" si="51"/>
        <v>3454.5454545454545</v>
      </c>
      <c r="AI89" s="230">
        <f t="shared" si="52"/>
        <v>5485.1190476190477</v>
      </c>
      <c r="AJ89" s="230">
        <f t="shared" si="53"/>
        <v>0</v>
      </c>
      <c r="AK89" s="230">
        <f t="shared" si="54"/>
        <v>0</v>
      </c>
      <c r="AL89" s="230">
        <f t="shared" si="54"/>
        <v>0</v>
      </c>
      <c r="AM89" s="230">
        <f t="shared" si="54"/>
        <v>0</v>
      </c>
      <c r="AN89" s="230">
        <f t="shared" si="54"/>
        <v>0</v>
      </c>
      <c r="AO89" s="230">
        <f t="shared" si="29"/>
        <v>0</v>
      </c>
    </row>
    <row r="90" spans="1:41" ht="15.75" customHeight="1" x14ac:dyDescent="0.25">
      <c r="A90" s="251" t="s">
        <v>745</v>
      </c>
      <c r="B90" s="251" t="s">
        <v>39</v>
      </c>
      <c r="C90" s="251" t="s">
        <v>76</v>
      </c>
      <c r="D90" s="251" t="s">
        <v>77</v>
      </c>
      <c r="E90" s="251" t="s">
        <v>115</v>
      </c>
      <c r="F90" s="233">
        <f t="shared" si="30"/>
        <v>0</v>
      </c>
      <c r="G90" s="233">
        <f t="shared" si="31"/>
        <v>0</v>
      </c>
      <c r="H90" s="233">
        <f t="shared" si="32"/>
        <v>176</v>
      </c>
      <c r="I90" s="233">
        <f t="shared" si="33"/>
        <v>0</v>
      </c>
      <c r="J90" s="233">
        <f t="shared" si="34"/>
        <v>0</v>
      </c>
      <c r="K90" s="233">
        <f t="shared" si="35"/>
        <v>0</v>
      </c>
      <c r="L90" s="233">
        <f t="shared" si="36"/>
        <v>80</v>
      </c>
      <c r="M90" s="233">
        <f t="shared" si="37"/>
        <v>0</v>
      </c>
      <c r="N90" s="233">
        <f t="shared" si="38"/>
        <v>0</v>
      </c>
      <c r="O90" s="233">
        <f>IFERROR(VLOOKUP(A90,TOTAL_HORAS,79,FALSE),0)</f>
        <v>0</v>
      </c>
      <c r="P90" s="233"/>
      <c r="Q90" s="233"/>
      <c r="R90" s="231">
        <f t="shared" si="39"/>
        <v>42.613636363636367</v>
      </c>
      <c r="S90" s="231">
        <f t="shared" si="40"/>
        <v>46.875</v>
      </c>
      <c r="T90" s="231">
        <f t="shared" si="41"/>
        <v>32.5</v>
      </c>
      <c r="U90" s="231">
        <f t="shared" si="42"/>
        <v>41.527777777777779</v>
      </c>
      <c r="V90" s="231">
        <f t="shared" si="43"/>
        <v>33.977272727272727</v>
      </c>
      <c r="W90" s="231">
        <f t="shared" si="44"/>
        <v>35.595238095238095</v>
      </c>
      <c r="X90" s="231">
        <f t="shared" si="45"/>
        <v>37.375</v>
      </c>
      <c r="Y90" s="231">
        <f t="shared" si="46"/>
        <v>33.977272727272727</v>
      </c>
      <c r="Z90" s="231">
        <f t="shared" si="47"/>
        <v>0</v>
      </c>
      <c r="AA90" s="231"/>
      <c r="AB90" s="231"/>
      <c r="AC90" s="231"/>
      <c r="AD90" s="230">
        <f t="shared" si="55"/>
        <v>0</v>
      </c>
      <c r="AE90" s="230">
        <f t="shared" si="48"/>
        <v>0</v>
      </c>
      <c r="AF90" s="230">
        <f t="shared" si="49"/>
        <v>5720</v>
      </c>
      <c r="AG90" s="230">
        <f t="shared" si="50"/>
        <v>0</v>
      </c>
      <c r="AH90" s="230">
        <f t="shared" si="51"/>
        <v>0</v>
      </c>
      <c r="AI90" s="230">
        <f t="shared" si="52"/>
        <v>0</v>
      </c>
      <c r="AJ90" s="230">
        <f t="shared" si="53"/>
        <v>2990</v>
      </c>
      <c r="AK90" s="230">
        <f t="shared" si="54"/>
        <v>0</v>
      </c>
      <c r="AL90" s="230">
        <f t="shared" si="54"/>
        <v>0</v>
      </c>
      <c r="AM90" s="230">
        <f t="shared" si="54"/>
        <v>0</v>
      </c>
      <c r="AN90" s="230">
        <f t="shared" si="54"/>
        <v>0</v>
      </c>
      <c r="AO90" s="230">
        <f t="shared" si="29"/>
        <v>0</v>
      </c>
    </row>
    <row r="91" spans="1:41" ht="15.75" customHeight="1" x14ac:dyDescent="0.25">
      <c r="A91" s="251" t="s">
        <v>746</v>
      </c>
      <c r="B91" s="251" t="s">
        <v>39</v>
      </c>
      <c r="C91" s="251" t="s">
        <v>45</v>
      </c>
      <c r="D91" s="251" t="s">
        <v>47</v>
      </c>
      <c r="E91" s="251" t="s">
        <v>120</v>
      </c>
      <c r="F91" s="233">
        <f t="shared" si="30"/>
        <v>80</v>
      </c>
      <c r="G91" s="233">
        <f t="shared" si="31"/>
        <v>0</v>
      </c>
      <c r="H91" s="233">
        <f t="shared" si="32"/>
        <v>0</v>
      </c>
      <c r="I91" s="233">
        <f t="shared" si="33"/>
        <v>0</v>
      </c>
      <c r="J91" s="233">
        <f t="shared" si="34"/>
        <v>0</v>
      </c>
      <c r="K91" s="233">
        <f t="shared" si="35"/>
        <v>0</v>
      </c>
      <c r="L91" s="233">
        <f t="shared" si="36"/>
        <v>0</v>
      </c>
      <c r="M91" s="233">
        <f t="shared" si="37"/>
        <v>0</v>
      </c>
      <c r="N91" s="233">
        <f t="shared" si="38"/>
        <v>0</v>
      </c>
      <c r="O91" s="233">
        <f>IFERROR(VLOOKUP(A91,TOTAL_HORAS,79,FALSE),0)</f>
        <v>0</v>
      </c>
      <c r="P91" s="233"/>
      <c r="Q91" s="233"/>
      <c r="R91" s="231">
        <f t="shared" si="39"/>
        <v>42.613636363636367</v>
      </c>
      <c r="S91" s="231">
        <f t="shared" si="40"/>
        <v>46.875</v>
      </c>
      <c r="T91" s="231">
        <f t="shared" si="41"/>
        <v>32.5</v>
      </c>
      <c r="U91" s="231">
        <f t="shared" si="42"/>
        <v>41.527777777777779</v>
      </c>
      <c r="V91" s="231">
        <f t="shared" si="43"/>
        <v>33.977272727272727</v>
      </c>
      <c r="W91" s="231">
        <f t="shared" si="44"/>
        <v>35.595238095238095</v>
      </c>
      <c r="X91" s="231">
        <f t="shared" si="45"/>
        <v>37.375</v>
      </c>
      <c r="Y91" s="231">
        <f t="shared" si="46"/>
        <v>33.977272727272727</v>
      </c>
      <c r="Z91" s="231">
        <f t="shared" si="47"/>
        <v>0</v>
      </c>
      <c r="AA91" s="231"/>
      <c r="AB91" s="231"/>
      <c r="AC91" s="231"/>
      <c r="AD91" s="230">
        <f t="shared" si="55"/>
        <v>3409.0909090909095</v>
      </c>
      <c r="AE91" s="230">
        <f t="shared" si="48"/>
        <v>0</v>
      </c>
      <c r="AF91" s="230">
        <f t="shared" si="49"/>
        <v>0</v>
      </c>
      <c r="AG91" s="230">
        <f t="shared" si="50"/>
        <v>0</v>
      </c>
      <c r="AH91" s="230">
        <f t="shared" si="51"/>
        <v>0</v>
      </c>
      <c r="AI91" s="230">
        <f t="shared" si="52"/>
        <v>0</v>
      </c>
      <c r="AJ91" s="230">
        <f t="shared" si="53"/>
        <v>0</v>
      </c>
      <c r="AK91" s="230">
        <f t="shared" si="54"/>
        <v>0</v>
      </c>
      <c r="AL91" s="230">
        <f t="shared" si="54"/>
        <v>0</v>
      </c>
      <c r="AM91" s="230">
        <f t="shared" si="54"/>
        <v>0</v>
      </c>
      <c r="AN91" s="230">
        <f t="shared" si="54"/>
        <v>0</v>
      </c>
      <c r="AO91" s="230">
        <f t="shared" si="29"/>
        <v>0</v>
      </c>
    </row>
    <row r="92" spans="1:41" ht="15.75" customHeight="1" x14ac:dyDescent="0.25">
      <c r="A92" s="251" t="s">
        <v>747</v>
      </c>
      <c r="B92" s="251" t="s">
        <v>38</v>
      </c>
      <c r="C92" s="251" t="s">
        <v>50</v>
      </c>
      <c r="D92" s="251" t="s">
        <v>196</v>
      </c>
      <c r="E92" s="251" t="s">
        <v>127</v>
      </c>
      <c r="F92" s="233">
        <f t="shared" si="30"/>
        <v>176</v>
      </c>
      <c r="G92" s="233">
        <f t="shared" si="31"/>
        <v>0</v>
      </c>
      <c r="H92" s="233">
        <f t="shared" si="32"/>
        <v>0</v>
      </c>
      <c r="I92" s="233">
        <f t="shared" si="33"/>
        <v>0</v>
      </c>
      <c r="J92" s="233">
        <f t="shared" si="34"/>
        <v>0</v>
      </c>
      <c r="K92" s="233">
        <f t="shared" si="35"/>
        <v>0</v>
      </c>
      <c r="L92" s="233">
        <f t="shared" si="36"/>
        <v>0</v>
      </c>
      <c r="M92" s="233">
        <f t="shared" si="37"/>
        <v>0</v>
      </c>
      <c r="N92" s="233">
        <f t="shared" si="38"/>
        <v>0</v>
      </c>
      <c r="O92" s="233">
        <f>IFERROR(VLOOKUP(A92,TOTAL_HORAS,79,FALSE),0)</f>
        <v>0</v>
      </c>
      <c r="P92" s="233"/>
      <c r="Q92" s="233"/>
      <c r="R92" s="231">
        <f t="shared" si="39"/>
        <v>26.196022727272727</v>
      </c>
      <c r="S92" s="231">
        <f t="shared" si="40"/>
        <v>30.315625000000001</v>
      </c>
      <c r="T92" s="231">
        <f t="shared" si="41"/>
        <v>26.361413043478262</v>
      </c>
      <c r="U92" s="231">
        <f t="shared" si="42"/>
        <v>33.684027777777779</v>
      </c>
      <c r="V92" s="231">
        <f t="shared" si="43"/>
        <v>27.55965909090909</v>
      </c>
      <c r="W92" s="231">
        <f t="shared" si="44"/>
        <v>28.87202380952381</v>
      </c>
      <c r="X92" s="231">
        <f t="shared" si="45"/>
        <v>0</v>
      </c>
      <c r="Y92" s="231">
        <f t="shared" si="46"/>
        <v>0</v>
      </c>
      <c r="Z92" s="231">
        <f t="shared" si="47"/>
        <v>0</v>
      </c>
      <c r="AA92" s="231"/>
      <c r="AB92" s="231"/>
      <c r="AC92" s="231"/>
      <c r="AD92" s="230">
        <f t="shared" si="55"/>
        <v>4610.5</v>
      </c>
      <c r="AE92" s="230">
        <f t="shared" si="48"/>
        <v>0</v>
      </c>
      <c r="AF92" s="230">
        <f t="shared" si="49"/>
        <v>0</v>
      </c>
      <c r="AG92" s="230">
        <f t="shared" si="50"/>
        <v>0</v>
      </c>
      <c r="AH92" s="230">
        <f t="shared" si="51"/>
        <v>0</v>
      </c>
      <c r="AI92" s="230">
        <f t="shared" si="52"/>
        <v>0</v>
      </c>
      <c r="AJ92" s="230">
        <f t="shared" si="53"/>
        <v>0</v>
      </c>
      <c r="AK92" s="230">
        <f t="shared" si="54"/>
        <v>0</v>
      </c>
      <c r="AL92" s="230">
        <f t="shared" si="54"/>
        <v>0</v>
      </c>
      <c r="AM92" s="230">
        <f t="shared" si="54"/>
        <v>0</v>
      </c>
      <c r="AN92" s="230">
        <f t="shared" si="54"/>
        <v>0</v>
      </c>
      <c r="AO92" s="230">
        <f t="shared" si="29"/>
        <v>0</v>
      </c>
    </row>
    <row r="93" spans="1:41" ht="15.75" customHeight="1" x14ac:dyDescent="0.25">
      <c r="A93" s="251" t="s">
        <v>748</v>
      </c>
      <c r="B93" s="251" t="s">
        <v>427</v>
      </c>
      <c r="C93" s="251" t="s">
        <v>50</v>
      </c>
      <c r="D93" s="251" t="s">
        <v>196</v>
      </c>
      <c r="E93" s="251" t="s">
        <v>127</v>
      </c>
      <c r="F93" s="233">
        <f t="shared" si="30"/>
        <v>96</v>
      </c>
      <c r="G93" s="233">
        <f t="shared" si="31"/>
        <v>160</v>
      </c>
      <c r="H93" s="233">
        <f t="shared" si="32"/>
        <v>4</v>
      </c>
      <c r="I93" s="233">
        <f t="shared" si="33"/>
        <v>0</v>
      </c>
      <c r="J93" s="233">
        <f t="shared" si="34"/>
        <v>0</v>
      </c>
      <c r="K93" s="233">
        <f t="shared" si="35"/>
        <v>0</v>
      </c>
      <c r="L93" s="233">
        <f t="shared" si="36"/>
        <v>0</v>
      </c>
      <c r="M93" s="233">
        <f t="shared" si="37"/>
        <v>0</v>
      </c>
      <c r="N93" s="233">
        <f t="shared" si="38"/>
        <v>0</v>
      </c>
      <c r="O93" s="233">
        <f>IFERROR(VLOOKUP(A93,TOTAL_HORAS,79,FALSE),0)</f>
        <v>0</v>
      </c>
      <c r="P93" s="233"/>
      <c r="Q93" s="233"/>
      <c r="R93" s="231">
        <f t="shared" si="39"/>
        <v>19.886363636363637</v>
      </c>
      <c r="S93" s="231">
        <f t="shared" si="40"/>
        <v>21.875</v>
      </c>
      <c r="T93" s="231">
        <f t="shared" si="41"/>
        <v>19.021739130434781</v>
      </c>
      <c r="U93" s="231">
        <f t="shared" si="42"/>
        <v>0</v>
      </c>
      <c r="V93" s="231">
        <f t="shared" si="43"/>
        <v>0</v>
      </c>
      <c r="W93" s="231">
        <f t="shared" si="44"/>
        <v>0</v>
      </c>
      <c r="X93" s="231">
        <f t="shared" si="45"/>
        <v>0</v>
      </c>
      <c r="Y93" s="231">
        <f t="shared" si="46"/>
        <v>0</v>
      </c>
      <c r="Z93" s="231">
        <f t="shared" si="47"/>
        <v>0</v>
      </c>
      <c r="AA93" s="231"/>
      <c r="AB93" s="231"/>
      <c r="AC93" s="231"/>
      <c r="AD93" s="230">
        <f t="shared" si="55"/>
        <v>1909.090909090909</v>
      </c>
      <c r="AE93" s="230">
        <f t="shared" si="48"/>
        <v>3500</v>
      </c>
      <c r="AF93" s="230">
        <f t="shared" si="49"/>
        <v>76.086956521739125</v>
      </c>
      <c r="AG93" s="230">
        <f t="shared" si="50"/>
        <v>0</v>
      </c>
      <c r="AH93" s="230">
        <f t="shared" si="51"/>
        <v>0</v>
      </c>
      <c r="AI93" s="230">
        <f t="shared" si="52"/>
        <v>0</v>
      </c>
      <c r="AJ93" s="230">
        <f t="shared" si="53"/>
        <v>0</v>
      </c>
      <c r="AK93" s="230">
        <f t="shared" si="54"/>
        <v>0</v>
      </c>
      <c r="AL93" s="230">
        <f t="shared" si="54"/>
        <v>0</v>
      </c>
      <c r="AM93" s="230">
        <f t="shared" si="54"/>
        <v>0</v>
      </c>
      <c r="AN93" s="230">
        <f t="shared" si="54"/>
        <v>0</v>
      </c>
      <c r="AO93" s="230">
        <f t="shared" si="29"/>
        <v>0</v>
      </c>
    </row>
    <row r="94" spans="1:41" ht="15.75" customHeight="1" x14ac:dyDescent="0.25">
      <c r="A94" s="251" t="s">
        <v>749</v>
      </c>
      <c r="B94" s="251" t="s">
        <v>425</v>
      </c>
      <c r="C94" s="251" t="s">
        <v>50</v>
      </c>
      <c r="D94" s="251" t="s">
        <v>196</v>
      </c>
      <c r="E94" s="251" t="s">
        <v>127</v>
      </c>
      <c r="F94" s="233">
        <f t="shared" si="30"/>
        <v>0</v>
      </c>
      <c r="G94" s="233">
        <f t="shared" si="31"/>
        <v>160</v>
      </c>
      <c r="H94" s="233">
        <f t="shared" si="32"/>
        <v>0</v>
      </c>
      <c r="I94" s="233">
        <f t="shared" si="33"/>
        <v>0</v>
      </c>
      <c r="J94" s="233">
        <f t="shared" si="34"/>
        <v>0</v>
      </c>
      <c r="K94" s="233">
        <f t="shared" si="35"/>
        <v>0</v>
      </c>
      <c r="L94" s="233">
        <f t="shared" si="36"/>
        <v>0</v>
      </c>
      <c r="M94" s="233">
        <f t="shared" si="37"/>
        <v>0</v>
      </c>
      <c r="N94" s="233">
        <f t="shared" si="38"/>
        <v>0</v>
      </c>
      <c r="O94" s="233">
        <f>IFERROR(VLOOKUP(A94,TOTAL_HORAS,79,FALSE),0)</f>
        <v>0</v>
      </c>
      <c r="P94" s="233"/>
      <c r="Q94" s="233"/>
      <c r="R94" s="231">
        <f t="shared" si="39"/>
        <v>22.15909090909091</v>
      </c>
      <c r="S94" s="231">
        <f t="shared" si="40"/>
        <v>24.375</v>
      </c>
      <c r="T94" s="231">
        <f t="shared" si="41"/>
        <v>21.195652173913043</v>
      </c>
      <c r="U94" s="231">
        <f t="shared" si="42"/>
        <v>0</v>
      </c>
      <c r="V94" s="231">
        <f t="shared" si="43"/>
        <v>0</v>
      </c>
      <c r="W94" s="231">
        <f t="shared" si="44"/>
        <v>0</v>
      </c>
      <c r="X94" s="231">
        <f t="shared" si="45"/>
        <v>0</v>
      </c>
      <c r="Y94" s="231">
        <f t="shared" si="46"/>
        <v>0</v>
      </c>
      <c r="Z94" s="231">
        <f t="shared" si="47"/>
        <v>0</v>
      </c>
      <c r="AA94" s="231"/>
      <c r="AB94" s="231"/>
      <c r="AC94" s="231"/>
      <c r="AD94" s="230">
        <f t="shared" si="55"/>
        <v>0</v>
      </c>
      <c r="AE94" s="230">
        <f t="shared" si="48"/>
        <v>3900</v>
      </c>
      <c r="AF94" s="230">
        <f t="shared" si="49"/>
        <v>0</v>
      </c>
      <c r="AG94" s="230">
        <f t="shared" si="50"/>
        <v>0</v>
      </c>
      <c r="AH94" s="230">
        <f t="shared" si="51"/>
        <v>0</v>
      </c>
      <c r="AI94" s="230">
        <f t="shared" si="52"/>
        <v>0</v>
      </c>
      <c r="AJ94" s="230">
        <f t="shared" si="53"/>
        <v>0</v>
      </c>
      <c r="AK94" s="230">
        <f t="shared" si="54"/>
        <v>0</v>
      </c>
      <c r="AL94" s="230">
        <f t="shared" si="54"/>
        <v>0</v>
      </c>
      <c r="AM94" s="230">
        <f t="shared" si="54"/>
        <v>0</v>
      </c>
      <c r="AN94" s="230">
        <f t="shared" si="54"/>
        <v>0</v>
      </c>
      <c r="AO94" s="230">
        <f t="shared" si="29"/>
        <v>0</v>
      </c>
    </row>
    <row r="95" spans="1:41" ht="15.75" customHeight="1" x14ac:dyDescent="0.25">
      <c r="A95" s="251" t="s">
        <v>669</v>
      </c>
      <c r="B95" s="251" t="s">
        <v>34</v>
      </c>
      <c r="C95" s="251" t="s">
        <v>50</v>
      </c>
      <c r="D95" s="251" t="s">
        <v>411</v>
      </c>
      <c r="E95" s="251" t="s">
        <v>410</v>
      </c>
      <c r="F95" s="233">
        <f t="shared" si="30"/>
        <v>0</v>
      </c>
      <c r="G95" s="233">
        <f t="shared" si="31"/>
        <v>0</v>
      </c>
      <c r="H95" s="233">
        <f t="shared" si="32"/>
        <v>123</v>
      </c>
      <c r="I95" s="233">
        <f t="shared" si="33"/>
        <v>18</v>
      </c>
      <c r="J95" s="233">
        <f t="shared" si="34"/>
        <v>0</v>
      </c>
      <c r="K95" s="233">
        <f t="shared" si="35"/>
        <v>0</v>
      </c>
      <c r="L95" s="233">
        <f t="shared" si="36"/>
        <v>0</v>
      </c>
      <c r="M95" s="233">
        <f t="shared" si="37"/>
        <v>0</v>
      </c>
      <c r="N95" s="233">
        <f t="shared" si="38"/>
        <v>0</v>
      </c>
      <c r="O95" s="233">
        <f>IFERROR(VLOOKUP(A95,TOTAL_HORAS,79,FALSE),0)</f>
        <v>0</v>
      </c>
      <c r="P95" s="233"/>
      <c r="Q95" s="233"/>
      <c r="R95" s="231">
        <f t="shared" si="39"/>
        <v>53.977272727272727</v>
      </c>
      <c r="S95" s="231">
        <f t="shared" si="40"/>
        <v>59.375</v>
      </c>
      <c r="T95" s="231">
        <f t="shared" si="41"/>
        <v>51.630434782608695</v>
      </c>
      <c r="U95" s="231">
        <f t="shared" si="42"/>
        <v>65.972222222222229</v>
      </c>
      <c r="V95" s="231">
        <f t="shared" si="43"/>
        <v>53.977272727272727</v>
      </c>
      <c r="W95" s="231">
        <f t="shared" si="44"/>
        <v>56.547619047619051</v>
      </c>
      <c r="X95" s="231">
        <f t="shared" si="45"/>
        <v>59.375</v>
      </c>
      <c r="Y95" s="231">
        <f t="shared" si="46"/>
        <v>53.977272727272727</v>
      </c>
      <c r="Z95" s="231">
        <f t="shared" si="47"/>
        <v>56.547619047619051</v>
      </c>
      <c r="AA95" s="231"/>
      <c r="AB95" s="231"/>
      <c r="AC95" s="231"/>
      <c r="AD95" s="230">
        <f t="shared" si="55"/>
        <v>0</v>
      </c>
      <c r="AE95" s="230">
        <f t="shared" si="48"/>
        <v>0</v>
      </c>
      <c r="AF95" s="230">
        <f t="shared" si="49"/>
        <v>6350.54347826087</v>
      </c>
      <c r="AG95" s="230">
        <f t="shared" si="50"/>
        <v>1187.5</v>
      </c>
      <c r="AH95" s="230">
        <f t="shared" si="51"/>
        <v>0</v>
      </c>
      <c r="AI95" s="230">
        <f t="shared" si="52"/>
        <v>0</v>
      </c>
      <c r="AJ95" s="230">
        <f t="shared" si="53"/>
        <v>0</v>
      </c>
      <c r="AK95" s="230">
        <f t="shared" si="54"/>
        <v>0</v>
      </c>
      <c r="AL95" s="230">
        <f t="shared" si="54"/>
        <v>0</v>
      </c>
      <c r="AM95" s="230">
        <f t="shared" si="54"/>
        <v>0</v>
      </c>
      <c r="AN95" s="230">
        <f t="shared" si="54"/>
        <v>0</v>
      </c>
      <c r="AO95" s="230">
        <f t="shared" si="29"/>
        <v>0</v>
      </c>
    </row>
    <row r="96" spans="1:41" ht="15.75" customHeight="1" x14ac:dyDescent="0.25">
      <c r="A96" s="251" t="s">
        <v>750</v>
      </c>
      <c r="B96" s="251" t="s">
        <v>39</v>
      </c>
      <c r="C96" s="251" t="s">
        <v>45</v>
      </c>
      <c r="D96" s="251" t="s">
        <v>51</v>
      </c>
      <c r="E96" s="251" t="s">
        <v>122</v>
      </c>
      <c r="F96" s="233">
        <f t="shared" si="30"/>
        <v>0</v>
      </c>
      <c r="G96" s="233">
        <f t="shared" si="31"/>
        <v>0</v>
      </c>
      <c r="H96" s="233">
        <f t="shared" si="32"/>
        <v>0</v>
      </c>
      <c r="I96" s="233">
        <f t="shared" si="33"/>
        <v>0</v>
      </c>
      <c r="J96" s="233">
        <f t="shared" si="34"/>
        <v>36</v>
      </c>
      <c r="K96" s="233">
        <f t="shared" si="35"/>
        <v>40</v>
      </c>
      <c r="L96" s="233">
        <f t="shared" si="36"/>
        <v>0</v>
      </c>
      <c r="M96" s="233">
        <f t="shared" si="37"/>
        <v>0</v>
      </c>
      <c r="N96" s="233">
        <f t="shared" si="38"/>
        <v>0</v>
      </c>
      <c r="O96" s="233">
        <f>IFERROR(VLOOKUP(A96,TOTAL_HORAS,79,FALSE),0)</f>
        <v>0</v>
      </c>
      <c r="P96" s="233"/>
      <c r="Q96" s="233"/>
      <c r="R96" s="231">
        <f t="shared" si="39"/>
        <v>42.613636363636367</v>
      </c>
      <c r="S96" s="231">
        <f t="shared" si="40"/>
        <v>46.875</v>
      </c>
      <c r="T96" s="231">
        <f t="shared" si="41"/>
        <v>32.5</v>
      </c>
      <c r="U96" s="231">
        <f t="shared" si="42"/>
        <v>41.527777777777779</v>
      </c>
      <c r="V96" s="231">
        <f t="shared" si="43"/>
        <v>33.977272727272727</v>
      </c>
      <c r="W96" s="231">
        <f t="shared" si="44"/>
        <v>35.595238095238095</v>
      </c>
      <c r="X96" s="231">
        <f t="shared" si="45"/>
        <v>37.375</v>
      </c>
      <c r="Y96" s="231">
        <f t="shared" si="46"/>
        <v>33.977272727272727</v>
      </c>
      <c r="Z96" s="231">
        <f t="shared" si="47"/>
        <v>0</v>
      </c>
      <c r="AA96" s="231"/>
      <c r="AB96" s="231"/>
      <c r="AC96" s="231"/>
      <c r="AD96" s="230">
        <f t="shared" si="55"/>
        <v>0</v>
      </c>
      <c r="AE96" s="230">
        <f t="shared" si="48"/>
        <v>0</v>
      </c>
      <c r="AF96" s="230">
        <f t="shared" si="49"/>
        <v>0</v>
      </c>
      <c r="AG96" s="230">
        <f t="shared" si="50"/>
        <v>0</v>
      </c>
      <c r="AH96" s="230">
        <f t="shared" si="51"/>
        <v>1223.1818181818182</v>
      </c>
      <c r="AI96" s="230">
        <f t="shared" si="52"/>
        <v>1423.8095238095239</v>
      </c>
      <c r="AJ96" s="230">
        <f t="shared" si="53"/>
        <v>0</v>
      </c>
      <c r="AK96" s="230">
        <f t="shared" si="54"/>
        <v>0</v>
      </c>
      <c r="AL96" s="230">
        <f t="shared" si="54"/>
        <v>0</v>
      </c>
      <c r="AM96" s="230">
        <f t="shared" si="54"/>
        <v>0</v>
      </c>
      <c r="AN96" s="230">
        <f t="shared" si="54"/>
        <v>0</v>
      </c>
      <c r="AO96" s="230">
        <f t="shared" si="29"/>
        <v>0</v>
      </c>
    </row>
    <row r="97" spans="1:41" ht="15.75" customHeight="1" x14ac:dyDescent="0.25">
      <c r="A97" s="251" t="s">
        <v>751</v>
      </c>
      <c r="B97" s="251" t="s">
        <v>39</v>
      </c>
      <c r="C97" s="251" t="s">
        <v>45</v>
      </c>
      <c r="D97" s="251" t="s">
        <v>88</v>
      </c>
      <c r="E97" s="251" t="s">
        <v>121</v>
      </c>
      <c r="F97" s="233">
        <f t="shared" si="30"/>
        <v>0</v>
      </c>
      <c r="G97" s="233">
        <f t="shared" si="31"/>
        <v>0</v>
      </c>
      <c r="H97" s="233">
        <f t="shared" si="32"/>
        <v>0</v>
      </c>
      <c r="I97" s="233">
        <f t="shared" si="33"/>
        <v>120</v>
      </c>
      <c r="J97" s="233">
        <f t="shared" si="34"/>
        <v>132</v>
      </c>
      <c r="K97" s="233">
        <f t="shared" si="35"/>
        <v>112</v>
      </c>
      <c r="L97" s="233">
        <f t="shared" si="36"/>
        <v>0</v>
      </c>
      <c r="M97" s="233">
        <f t="shared" si="37"/>
        <v>0</v>
      </c>
      <c r="N97" s="233">
        <f t="shared" si="38"/>
        <v>0</v>
      </c>
      <c r="O97" s="233">
        <f>IFERROR(VLOOKUP(A97,TOTAL_HORAS,79,FALSE),0)</f>
        <v>0</v>
      </c>
      <c r="P97" s="233"/>
      <c r="Q97" s="233"/>
      <c r="R97" s="231">
        <f t="shared" si="39"/>
        <v>42.613636363636367</v>
      </c>
      <c r="S97" s="231">
        <f t="shared" si="40"/>
        <v>46.875</v>
      </c>
      <c r="T97" s="231">
        <f t="shared" si="41"/>
        <v>32.5</v>
      </c>
      <c r="U97" s="231">
        <f t="shared" si="42"/>
        <v>41.527777777777779</v>
      </c>
      <c r="V97" s="231">
        <f t="shared" si="43"/>
        <v>33.977272727272727</v>
      </c>
      <c r="W97" s="231">
        <f t="shared" si="44"/>
        <v>35.595238095238095</v>
      </c>
      <c r="X97" s="231">
        <f t="shared" si="45"/>
        <v>37.375</v>
      </c>
      <c r="Y97" s="231">
        <f t="shared" si="46"/>
        <v>33.977272727272727</v>
      </c>
      <c r="Z97" s="231">
        <f t="shared" si="47"/>
        <v>0</v>
      </c>
      <c r="AA97" s="231"/>
      <c r="AB97" s="231"/>
      <c r="AC97" s="231"/>
      <c r="AD97" s="230">
        <f t="shared" si="55"/>
        <v>0</v>
      </c>
      <c r="AE97" s="230">
        <f t="shared" si="48"/>
        <v>0</v>
      </c>
      <c r="AF97" s="230">
        <f t="shared" si="49"/>
        <v>0</v>
      </c>
      <c r="AG97" s="230">
        <f t="shared" si="50"/>
        <v>4983.333333333333</v>
      </c>
      <c r="AH97" s="230">
        <f t="shared" si="51"/>
        <v>4485</v>
      </c>
      <c r="AI97" s="230">
        <f t="shared" si="52"/>
        <v>3986.6666666666665</v>
      </c>
      <c r="AJ97" s="230">
        <f t="shared" si="53"/>
        <v>0</v>
      </c>
      <c r="AK97" s="230">
        <f t="shared" si="54"/>
        <v>0</v>
      </c>
      <c r="AL97" s="230">
        <f t="shared" si="54"/>
        <v>0</v>
      </c>
      <c r="AM97" s="230">
        <f t="shared" si="54"/>
        <v>0</v>
      </c>
      <c r="AN97" s="230">
        <f t="shared" si="54"/>
        <v>0</v>
      </c>
      <c r="AO97" s="230">
        <f t="shared" si="29"/>
        <v>0</v>
      </c>
    </row>
    <row r="98" spans="1:41" ht="15.75" customHeight="1" x14ac:dyDescent="0.25">
      <c r="A98" s="251" t="s">
        <v>752</v>
      </c>
      <c r="B98" s="251" t="s">
        <v>34</v>
      </c>
      <c r="C98" s="251" t="s">
        <v>48</v>
      </c>
      <c r="D98" s="251" t="s">
        <v>204</v>
      </c>
      <c r="E98" s="251" t="s">
        <v>435</v>
      </c>
      <c r="F98" s="233">
        <f t="shared" si="30"/>
        <v>0</v>
      </c>
      <c r="G98" s="233">
        <f t="shared" si="31"/>
        <v>0</v>
      </c>
      <c r="H98" s="233">
        <f t="shared" si="32"/>
        <v>24</v>
      </c>
      <c r="I98" s="233">
        <f t="shared" si="33"/>
        <v>2</v>
      </c>
      <c r="J98" s="233">
        <f t="shared" si="34"/>
        <v>0</v>
      </c>
      <c r="K98" s="233">
        <f t="shared" si="35"/>
        <v>0</v>
      </c>
      <c r="L98" s="233">
        <f t="shared" si="36"/>
        <v>0</v>
      </c>
      <c r="M98" s="233">
        <f t="shared" si="37"/>
        <v>0</v>
      </c>
      <c r="N98" s="233">
        <f t="shared" si="38"/>
        <v>0</v>
      </c>
      <c r="O98" s="233">
        <f>IFERROR(VLOOKUP(A98,TOTAL_HORAS,79,FALSE),0)</f>
        <v>0</v>
      </c>
      <c r="P98" s="233"/>
      <c r="Q98" s="233"/>
      <c r="R98" s="231">
        <f t="shared" si="39"/>
        <v>53.977272727272727</v>
      </c>
      <c r="S98" s="231">
        <f t="shared" si="40"/>
        <v>59.375</v>
      </c>
      <c r="T98" s="231">
        <f t="shared" si="41"/>
        <v>51.630434782608695</v>
      </c>
      <c r="U98" s="231">
        <f t="shared" si="42"/>
        <v>65.972222222222229</v>
      </c>
      <c r="V98" s="231">
        <f t="shared" si="43"/>
        <v>53.977272727272727</v>
      </c>
      <c r="W98" s="231">
        <f t="shared" si="44"/>
        <v>56.547619047619051</v>
      </c>
      <c r="X98" s="231">
        <f t="shared" si="45"/>
        <v>59.375</v>
      </c>
      <c r="Y98" s="231">
        <f t="shared" si="46"/>
        <v>53.977272727272727</v>
      </c>
      <c r="Z98" s="231">
        <f t="shared" si="47"/>
        <v>56.547619047619051</v>
      </c>
      <c r="AA98" s="231"/>
      <c r="AB98" s="231"/>
      <c r="AC98" s="231"/>
      <c r="AD98" s="230">
        <f t="shared" si="55"/>
        <v>0</v>
      </c>
      <c r="AE98" s="230">
        <f t="shared" si="48"/>
        <v>0</v>
      </c>
      <c r="AF98" s="230">
        <f t="shared" si="49"/>
        <v>1239.1304347826087</v>
      </c>
      <c r="AG98" s="230">
        <f t="shared" si="50"/>
        <v>131.94444444444446</v>
      </c>
      <c r="AH98" s="230">
        <f t="shared" si="51"/>
        <v>0</v>
      </c>
      <c r="AI98" s="230">
        <f t="shared" si="52"/>
        <v>0</v>
      </c>
      <c r="AJ98" s="230">
        <f t="shared" si="53"/>
        <v>0</v>
      </c>
      <c r="AK98" s="230">
        <f t="shared" si="54"/>
        <v>0</v>
      </c>
      <c r="AL98" s="230">
        <f t="shared" si="54"/>
        <v>0</v>
      </c>
      <c r="AM98" s="230">
        <f t="shared" si="54"/>
        <v>0</v>
      </c>
      <c r="AN98" s="230">
        <f t="shared" si="54"/>
        <v>0</v>
      </c>
      <c r="AO98" s="230">
        <f t="shared" si="29"/>
        <v>0</v>
      </c>
    </row>
    <row r="99" spans="1:41" ht="15.75" customHeight="1" x14ac:dyDescent="0.25">
      <c r="A99" s="251" t="s">
        <v>753</v>
      </c>
      <c r="B99" s="251" t="s">
        <v>34</v>
      </c>
      <c r="C99" s="251" t="s">
        <v>48</v>
      </c>
      <c r="D99" s="251" t="s">
        <v>433</v>
      </c>
      <c r="E99" s="251" t="s">
        <v>434</v>
      </c>
      <c r="F99" s="233">
        <f t="shared" si="30"/>
        <v>0</v>
      </c>
      <c r="G99" s="233">
        <f t="shared" si="31"/>
        <v>0</v>
      </c>
      <c r="H99" s="233">
        <f t="shared" si="32"/>
        <v>0</v>
      </c>
      <c r="I99" s="233">
        <f t="shared" si="33"/>
        <v>0</v>
      </c>
      <c r="J99" s="233">
        <f t="shared" si="34"/>
        <v>24</v>
      </c>
      <c r="K99" s="233">
        <f t="shared" si="35"/>
        <v>64</v>
      </c>
      <c r="L99" s="233">
        <f t="shared" si="36"/>
        <v>57.5</v>
      </c>
      <c r="M99" s="233">
        <f t="shared" si="37"/>
        <v>0</v>
      </c>
      <c r="N99" s="233">
        <f t="shared" si="38"/>
        <v>0</v>
      </c>
      <c r="O99" s="233">
        <f>IFERROR(VLOOKUP(A99,TOTAL_HORAS,79,FALSE),0)</f>
        <v>0</v>
      </c>
      <c r="P99" s="233"/>
      <c r="Q99" s="233"/>
      <c r="R99" s="231">
        <f t="shared" si="39"/>
        <v>53.977272727272727</v>
      </c>
      <c r="S99" s="231">
        <f t="shared" si="40"/>
        <v>59.375</v>
      </c>
      <c r="T99" s="231">
        <f t="shared" si="41"/>
        <v>51.630434782608695</v>
      </c>
      <c r="U99" s="231">
        <f t="shared" si="42"/>
        <v>65.972222222222229</v>
      </c>
      <c r="V99" s="231">
        <f t="shared" si="43"/>
        <v>53.977272727272727</v>
      </c>
      <c r="W99" s="231">
        <f t="shared" si="44"/>
        <v>56.547619047619051</v>
      </c>
      <c r="X99" s="231">
        <f t="shared" si="45"/>
        <v>59.375</v>
      </c>
      <c r="Y99" s="231">
        <f t="shared" si="46"/>
        <v>53.977272727272727</v>
      </c>
      <c r="Z99" s="231">
        <f t="shared" si="47"/>
        <v>56.547619047619051</v>
      </c>
      <c r="AA99" s="231"/>
      <c r="AB99" s="231"/>
      <c r="AC99" s="231"/>
      <c r="AD99" s="230">
        <f t="shared" si="55"/>
        <v>0</v>
      </c>
      <c r="AE99" s="230">
        <f t="shared" si="48"/>
        <v>0</v>
      </c>
      <c r="AF99" s="230">
        <f t="shared" si="49"/>
        <v>0</v>
      </c>
      <c r="AG99" s="230">
        <f t="shared" si="50"/>
        <v>0</v>
      </c>
      <c r="AH99" s="230">
        <f t="shared" si="51"/>
        <v>1295.4545454545455</v>
      </c>
      <c r="AI99" s="230">
        <f t="shared" si="52"/>
        <v>3619.0476190476193</v>
      </c>
      <c r="AJ99" s="230">
        <f t="shared" si="53"/>
        <v>3414.0625</v>
      </c>
      <c r="AK99" s="230">
        <f t="shared" si="54"/>
        <v>0</v>
      </c>
      <c r="AL99" s="230">
        <f t="shared" si="54"/>
        <v>0</v>
      </c>
      <c r="AM99" s="230">
        <f t="shared" si="54"/>
        <v>0</v>
      </c>
      <c r="AN99" s="230">
        <f t="shared" si="54"/>
        <v>0</v>
      </c>
      <c r="AO99" s="230">
        <f t="shared" si="29"/>
        <v>0</v>
      </c>
    </row>
    <row r="100" spans="1:41" ht="15.75" customHeight="1" x14ac:dyDescent="0.25">
      <c r="A100" s="251" t="s">
        <v>754</v>
      </c>
      <c r="B100" s="251" t="s">
        <v>421</v>
      </c>
      <c r="C100" s="251" t="s">
        <v>48</v>
      </c>
      <c r="D100" s="251" t="s">
        <v>43</v>
      </c>
      <c r="E100" s="251" t="s">
        <v>128</v>
      </c>
      <c r="F100" s="233">
        <f t="shared" si="30"/>
        <v>76</v>
      </c>
      <c r="G100" s="233">
        <f t="shared" si="31"/>
        <v>66</v>
      </c>
      <c r="H100" s="233">
        <f t="shared" si="32"/>
        <v>0</v>
      </c>
      <c r="I100" s="233">
        <f t="shared" si="33"/>
        <v>0</v>
      </c>
      <c r="J100" s="233">
        <f t="shared" si="34"/>
        <v>0</v>
      </c>
      <c r="K100" s="233">
        <f t="shared" si="35"/>
        <v>0</v>
      </c>
      <c r="L100" s="233">
        <f t="shared" si="36"/>
        <v>0</v>
      </c>
      <c r="M100" s="233">
        <f t="shared" si="37"/>
        <v>0</v>
      </c>
      <c r="N100" s="233">
        <f t="shared" si="38"/>
        <v>0</v>
      </c>
      <c r="O100" s="233">
        <f>IFERROR(VLOOKUP(A100,TOTAL_HORAS,79,FALSE),0)</f>
        <v>0</v>
      </c>
      <c r="P100" s="233"/>
      <c r="Q100" s="233"/>
      <c r="R100" s="231">
        <f t="shared" si="39"/>
        <v>74.346590909090907</v>
      </c>
      <c r="S100" s="231">
        <f t="shared" si="40"/>
        <v>81.78125</v>
      </c>
      <c r="T100" s="231">
        <f t="shared" si="41"/>
        <v>71.114130434782609</v>
      </c>
      <c r="U100" s="231">
        <f t="shared" si="42"/>
        <v>0</v>
      </c>
      <c r="V100" s="231">
        <f t="shared" si="43"/>
        <v>0</v>
      </c>
      <c r="W100" s="231">
        <f t="shared" si="44"/>
        <v>0</v>
      </c>
      <c r="X100" s="231">
        <f t="shared" si="45"/>
        <v>0</v>
      </c>
      <c r="Y100" s="231">
        <f t="shared" si="46"/>
        <v>0</v>
      </c>
      <c r="Z100" s="231">
        <f t="shared" si="47"/>
        <v>0</v>
      </c>
      <c r="AA100" s="231"/>
      <c r="AB100" s="231"/>
      <c r="AC100" s="231"/>
      <c r="AD100" s="230">
        <f t="shared" si="55"/>
        <v>5650.340909090909</v>
      </c>
      <c r="AE100" s="230">
        <f t="shared" si="48"/>
        <v>5397.5625</v>
      </c>
      <c r="AF100" s="230">
        <f t="shared" si="49"/>
        <v>0</v>
      </c>
      <c r="AG100" s="230">
        <f t="shared" si="50"/>
        <v>0</v>
      </c>
      <c r="AH100" s="230">
        <f t="shared" si="51"/>
        <v>0</v>
      </c>
      <c r="AI100" s="230">
        <f t="shared" si="52"/>
        <v>0</v>
      </c>
      <c r="AJ100" s="230">
        <f t="shared" si="53"/>
        <v>0</v>
      </c>
      <c r="AK100" s="230">
        <f t="shared" si="54"/>
        <v>0</v>
      </c>
      <c r="AL100" s="230">
        <f t="shared" si="54"/>
        <v>0</v>
      </c>
      <c r="AM100" s="230">
        <f t="shared" si="54"/>
        <v>0</v>
      </c>
      <c r="AN100" s="230">
        <f t="shared" si="54"/>
        <v>0</v>
      </c>
      <c r="AO100" s="230">
        <f t="shared" si="29"/>
        <v>0</v>
      </c>
    </row>
    <row r="101" spans="1:41" ht="15.75" customHeight="1" x14ac:dyDescent="0.25">
      <c r="A101" s="251" t="s">
        <v>755</v>
      </c>
      <c r="B101" s="251" t="s">
        <v>39</v>
      </c>
      <c r="C101" s="251" t="s">
        <v>89</v>
      </c>
      <c r="D101" s="251" t="s">
        <v>90</v>
      </c>
      <c r="E101" s="251" t="s">
        <v>113</v>
      </c>
      <c r="F101" s="233">
        <f t="shared" si="30"/>
        <v>88</v>
      </c>
      <c r="G101" s="233">
        <f t="shared" si="31"/>
        <v>0</v>
      </c>
      <c r="H101" s="233">
        <f t="shared" si="32"/>
        <v>0</v>
      </c>
      <c r="I101" s="233">
        <f t="shared" si="33"/>
        <v>0</v>
      </c>
      <c r="J101" s="233">
        <f t="shared" si="34"/>
        <v>0</v>
      </c>
      <c r="K101" s="233">
        <f t="shared" si="35"/>
        <v>0</v>
      </c>
      <c r="L101" s="233">
        <f t="shared" si="36"/>
        <v>0</v>
      </c>
      <c r="M101" s="233">
        <f t="shared" si="37"/>
        <v>0</v>
      </c>
      <c r="N101" s="233">
        <f t="shared" si="38"/>
        <v>0</v>
      </c>
      <c r="O101" s="233">
        <f>IFERROR(VLOOKUP(A101,TOTAL_HORAS,79,FALSE),0)</f>
        <v>0</v>
      </c>
      <c r="P101" s="233"/>
      <c r="Q101" s="233"/>
      <c r="R101" s="231">
        <f t="shared" si="39"/>
        <v>42.613636363636367</v>
      </c>
      <c r="S101" s="231">
        <f t="shared" si="40"/>
        <v>46.875</v>
      </c>
      <c r="T101" s="231">
        <f t="shared" si="41"/>
        <v>32.5</v>
      </c>
      <c r="U101" s="231">
        <f t="shared" si="42"/>
        <v>41.527777777777779</v>
      </c>
      <c r="V101" s="231">
        <f t="shared" si="43"/>
        <v>33.977272727272727</v>
      </c>
      <c r="W101" s="231">
        <f t="shared" si="44"/>
        <v>35.595238095238095</v>
      </c>
      <c r="X101" s="231">
        <f t="shared" si="45"/>
        <v>37.375</v>
      </c>
      <c r="Y101" s="231">
        <f t="shared" si="46"/>
        <v>33.977272727272727</v>
      </c>
      <c r="Z101" s="231">
        <f t="shared" si="47"/>
        <v>0</v>
      </c>
      <c r="AA101" s="231"/>
      <c r="AB101" s="231"/>
      <c r="AC101" s="231"/>
      <c r="AD101" s="230">
        <f t="shared" si="55"/>
        <v>3750.0000000000005</v>
      </c>
      <c r="AE101" s="230">
        <f t="shared" si="48"/>
        <v>0</v>
      </c>
      <c r="AF101" s="230">
        <f t="shared" si="49"/>
        <v>0</v>
      </c>
      <c r="AG101" s="230">
        <f t="shared" si="50"/>
        <v>0</v>
      </c>
      <c r="AH101" s="230">
        <f t="shared" si="51"/>
        <v>0</v>
      </c>
      <c r="AI101" s="230">
        <f t="shared" si="52"/>
        <v>0</v>
      </c>
      <c r="AJ101" s="230">
        <f t="shared" si="53"/>
        <v>0</v>
      </c>
      <c r="AK101" s="230">
        <f t="shared" si="54"/>
        <v>0</v>
      </c>
      <c r="AL101" s="230">
        <f t="shared" si="54"/>
        <v>0</v>
      </c>
      <c r="AM101" s="230">
        <f t="shared" si="54"/>
        <v>0</v>
      </c>
      <c r="AN101" s="230">
        <f t="shared" si="54"/>
        <v>0</v>
      </c>
      <c r="AO101" s="230">
        <f t="shared" si="29"/>
        <v>0</v>
      </c>
    </row>
    <row r="102" spans="1:41" ht="15.75" customHeight="1" x14ac:dyDescent="0.25">
      <c r="A102" s="251" t="s">
        <v>756</v>
      </c>
      <c r="B102" s="251" t="s">
        <v>39</v>
      </c>
      <c r="C102" s="251" t="s">
        <v>45</v>
      </c>
      <c r="D102" s="251" t="s">
        <v>415</v>
      </c>
      <c r="E102" s="251" t="s">
        <v>416</v>
      </c>
      <c r="F102" s="233">
        <f t="shared" si="30"/>
        <v>0</v>
      </c>
      <c r="G102" s="233">
        <f t="shared" si="31"/>
        <v>0</v>
      </c>
      <c r="H102" s="233">
        <f t="shared" si="32"/>
        <v>0</v>
      </c>
      <c r="I102" s="233">
        <f t="shared" si="33"/>
        <v>0</v>
      </c>
      <c r="J102" s="233">
        <f t="shared" si="34"/>
        <v>0</v>
      </c>
      <c r="K102" s="233">
        <f t="shared" si="35"/>
        <v>0</v>
      </c>
      <c r="L102" s="233">
        <f t="shared" si="36"/>
        <v>40</v>
      </c>
      <c r="M102" s="233">
        <f t="shared" si="37"/>
        <v>136</v>
      </c>
      <c r="N102" s="233">
        <f t="shared" si="38"/>
        <v>0</v>
      </c>
      <c r="O102" s="233">
        <f>IFERROR(VLOOKUP(A102,TOTAL_HORAS,79,FALSE),0)</f>
        <v>0</v>
      </c>
      <c r="P102" s="233"/>
      <c r="Q102" s="233"/>
      <c r="R102" s="231">
        <f t="shared" si="39"/>
        <v>42.613636363636367</v>
      </c>
      <c r="S102" s="231">
        <f t="shared" si="40"/>
        <v>46.875</v>
      </c>
      <c r="T102" s="231">
        <f t="shared" si="41"/>
        <v>32.5</v>
      </c>
      <c r="U102" s="231">
        <f t="shared" si="42"/>
        <v>41.527777777777779</v>
      </c>
      <c r="V102" s="231">
        <f t="shared" si="43"/>
        <v>33.977272727272727</v>
      </c>
      <c r="W102" s="231">
        <f t="shared" si="44"/>
        <v>35.595238095238095</v>
      </c>
      <c r="X102" s="231">
        <f t="shared" si="45"/>
        <v>37.375</v>
      </c>
      <c r="Y102" s="231">
        <f t="shared" si="46"/>
        <v>33.977272727272727</v>
      </c>
      <c r="Z102" s="231">
        <f t="shared" si="47"/>
        <v>0</v>
      </c>
      <c r="AA102" s="231"/>
      <c r="AB102" s="231"/>
      <c r="AC102" s="231"/>
      <c r="AD102" s="230">
        <f t="shared" si="55"/>
        <v>0</v>
      </c>
      <c r="AE102" s="230">
        <f t="shared" si="48"/>
        <v>0</v>
      </c>
      <c r="AF102" s="230">
        <f t="shared" si="49"/>
        <v>0</v>
      </c>
      <c r="AG102" s="230">
        <f t="shared" si="50"/>
        <v>0</v>
      </c>
      <c r="AH102" s="230">
        <f t="shared" si="51"/>
        <v>0</v>
      </c>
      <c r="AI102" s="230">
        <f t="shared" si="52"/>
        <v>0</v>
      </c>
      <c r="AJ102" s="230">
        <f t="shared" si="53"/>
        <v>1495</v>
      </c>
      <c r="AK102" s="230">
        <f t="shared" si="54"/>
        <v>4620.909090909091</v>
      </c>
      <c r="AL102" s="230">
        <f t="shared" si="54"/>
        <v>0</v>
      </c>
      <c r="AM102" s="230">
        <f t="shared" si="54"/>
        <v>0</v>
      </c>
      <c r="AN102" s="230">
        <f t="shared" si="54"/>
        <v>0</v>
      </c>
      <c r="AO102" s="230">
        <f t="shared" si="29"/>
        <v>0</v>
      </c>
    </row>
    <row r="103" spans="1:41" ht="15.75" customHeight="1" x14ac:dyDescent="0.25">
      <c r="A103" s="251" t="s">
        <v>757</v>
      </c>
      <c r="B103" s="251" t="s">
        <v>39</v>
      </c>
      <c r="C103" s="251" t="s">
        <v>208</v>
      </c>
      <c r="D103" s="251" t="s">
        <v>208</v>
      </c>
      <c r="E103" s="251" t="s">
        <v>210</v>
      </c>
      <c r="F103" s="233">
        <f t="shared" si="30"/>
        <v>0</v>
      </c>
      <c r="G103" s="233">
        <f t="shared" si="31"/>
        <v>0</v>
      </c>
      <c r="H103" s="233">
        <f t="shared" si="32"/>
        <v>0</v>
      </c>
      <c r="I103" s="233">
        <f t="shared" si="33"/>
        <v>0</v>
      </c>
      <c r="J103" s="233">
        <f t="shared" si="34"/>
        <v>0</v>
      </c>
      <c r="K103" s="233">
        <f t="shared" si="35"/>
        <v>0</v>
      </c>
      <c r="L103" s="233">
        <f t="shared" si="36"/>
        <v>32</v>
      </c>
      <c r="M103" s="233">
        <f t="shared" si="37"/>
        <v>0</v>
      </c>
      <c r="N103" s="233">
        <f t="shared" si="38"/>
        <v>0</v>
      </c>
      <c r="O103" s="233">
        <f>IFERROR(VLOOKUP(A103,TOTAL_HORAS,79,FALSE),0)</f>
        <v>0</v>
      </c>
      <c r="P103" s="233"/>
      <c r="Q103" s="233"/>
      <c r="R103" s="231">
        <f t="shared" si="39"/>
        <v>42.613636363636367</v>
      </c>
      <c r="S103" s="231">
        <f t="shared" si="40"/>
        <v>46.875</v>
      </c>
      <c r="T103" s="231">
        <f t="shared" si="41"/>
        <v>32.5</v>
      </c>
      <c r="U103" s="231">
        <f t="shared" si="42"/>
        <v>41.527777777777779</v>
      </c>
      <c r="V103" s="231">
        <f t="shared" si="43"/>
        <v>33.977272727272727</v>
      </c>
      <c r="W103" s="231">
        <f t="shared" si="44"/>
        <v>35.595238095238095</v>
      </c>
      <c r="X103" s="231">
        <f t="shared" si="45"/>
        <v>37.375</v>
      </c>
      <c r="Y103" s="231">
        <f t="shared" si="46"/>
        <v>33.977272727272727</v>
      </c>
      <c r="Z103" s="231">
        <f t="shared" si="47"/>
        <v>0</v>
      </c>
      <c r="AA103" s="231"/>
      <c r="AB103" s="231"/>
      <c r="AC103" s="231"/>
      <c r="AD103" s="230">
        <f t="shared" si="55"/>
        <v>0</v>
      </c>
      <c r="AE103" s="230">
        <f t="shared" si="48"/>
        <v>0</v>
      </c>
      <c r="AF103" s="230">
        <f t="shared" si="49"/>
        <v>0</v>
      </c>
      <c r="AG103" s="230">
        <f t="shared" si="50"/>
        <v>0</v>
      </c>
      <c r="AH103" s="230">
        <f t="shared" si="51"/>
        <v>0</v>
      </c>
      <c r="AI103" s="230">
        <f t="shared" si="52"/>
        <v>0</v>
      </c>
      <c r="AJ103" s="230">
        <f t="shared" si="53"/>
        <v>1196</v>
      </c>
      <c r="AK103" s="230">
        <f t="shared" si="54"/>
        <v>0</v>
      </c>
      <c r="AL103" s="230">
        <f t="shared" si="54"/>
        <v>0</v>
      </c>
      <c r="AM103" s="230">
        <f t="shared" si="54"/>
        <v>0</v>
      </c>
      <c r="AN103" s="230">
        <f t="shared" si="54"/>
        <v>0</v>
      </c>
      <c r="AO103" s="230">
        <f t="shared" si="29"/>
        <v>0</v>
      </c>
    </row>
    <row r="104" spans="1:41" ht="15.75" customHeight="1" x14ac:dyDescent="0.25">
      <c r="A104" s="251" t="s">
        <v>758</v>
      </c>
      <c r="B104" s="251" t="s">
        <v>39</v>
      </c>
      <c r="C104" s="251" t="s">
        <v>209</v>
      </c>
      <c r="D104" s="251" t="s">
        <v>209</v>
      </c>
      <c r="E104" s="251" t="s">
        <v>243</v>
      </c>
      <c r="F104" s="233">
        <f t="shared" si="30"/>
        <v>0</v>
      </c>
      <c r="G104" s="233">
        <f t="shared" si="31"/>
        <v>0</v>
      </c>
      <c r="H104" s="233">
        <f t="shared" si="32"/>
        <v>0</v>
      </c>
      <c r="I104" s="233">
        <f t="shared" si="33"/>
        <v>24</v>
      </c>
      <c r="J104" s="233">
        <f t="shared" si="34"/>
        <v>0</v>
      </c>
      <c r="K104" s="233">
        <f t="shared" si="35"/>
        <v>0</v>
      </c>
      <c r="L104" s="233">
        <f t="shared" si="36"/>
        <v>0</v>
      </c>
      <c r="M104" s="233">
        <f t="shared" si="37"/>
        <v>0</v>
      </c>
      <c r="N104" s="233">
        <f t="shared" si="38"/>
        <v>0</v>
      </c>
      <c r="O104" s="233">
        <f>IFERROR(VLOOKUP(A104,TOTAL_HORAS,79,FALSE),0)</f>
        <v>0</v>
      </c>
      <c r="P104" s="233"/>
      <c r="Q104" s="233"/>
      <c r="R104" s="231">
        <f t="shared" si="39"/>
        <v>42.613636363636367</v>
      </c>
      <c r="S104" s="231">
        <f t="shared" si="40"/>
        <v>46.875</v>
      </c>
      <c r="T104" s="231">
        <f t="shared" si="41"/>
        <v>32.5</v>
      </c>
      <c r="U104" s="231">
        <f t="shared" si="42"/>
        <v>41.527777777777779</v>
      </c>
      <c r="V104" s="231">
        <f t="shared" si="43"/>
        <v>33.977272727272727</v>
      </c>
      <c r="W104" s="231">
        <f t="shared" si="44"/>
        <v>35.595238095238095</v>
      </c>
      <c r="X104" s="231">
        <f t="shared" si="45"/>
        <v>37.375</v>
      </c>
      <c r="Y104" s="231">
        <f t="shared" si="46"/>
        <v>33.977272727272727</v>
      </c>
      <c r="Z104" s="231">
        <f t="shared" si="47"/>
        <v>0</v>
      </c>
      <c r="AA104" s="231"/>
      <c r="AB104" s="231"/>
      <c r="AC104" s="231"/>
      <c r="AD104" s="230">
        <f t="shared" si="55"/>
        <v>0</v>
      </c>
      <c r="AE104" s="230">
        <f t="shared" si="48"/>
        <v>0</v>
      </c>
      <c r="AF104" s="230">
        <f t="shared" si="49"/>
        <v>0</v>
      </c>
      <c r="AG104" s="230">
        <f t="shared" si="50"/>
        <v>996.66666666666674</v>
      </c>
      <c r="AH104" s="230">
        <f t="shared" si="51"/>
        <v>0</v>
      </c>
      <c r="AI104" s="230">
        <f t="shared" si="52"/>
        <v>0</v>
      </c>
      <c r="AJ104" s="230">
        <f t="shared" si="53"/>
        <v>0</v>
      </c>
      <c r="AK104" s="230">
        <f t="shared" si="54"/>
        <v>0</v>
      </c>
      <c r="AL104" s="230">
        <f t="shared" si="54"/>
        <v>0</v>
      </c>
      <c r="AM104" s="230">
        <f t="shared" si="54"/>
        <v>0</v>
      </c>
      <c r="AN104" s="230">
        <f t="shared" si="54"/>
        <v>0</v>
      </c>
      <c r="AO104" s="230">
        <f t="shared" si="29"/>
        <v>0</v>
      </c>
    </row>
    <row r="105" spans="1:41" ht="15.75" customHeight="1" x14ac:dyDescent="0.25">
      <c r="A105" s="251" t="s">
        <v>759</v>
      </c>
      <c r="B105" s="251" t="s">
        <v>39</v>
      </c>
      <c r="C105" s="251" t="s">
        <v>75</v>
      </c>
      <c r="D105" s="251" t="s">
        <v>75</v>
      </c>
      <c r="E105" s="251" t="s">
        <v>131</v>
      </c>
      <c r="F105" s="233">
        <f t="shared" si="30"/>
        <v>8</v>
      </c>
      <c r="G105" s="233">
        <f t="shared" si="31"/>
        <v>160</v>
      </c>
      <c r="H105" s="233">
        <f t="shared" si="32"/>
        <v>8</v>
      </c>
      <c r="I105" s="233">
        <f t="shared" si="33"/>
        <v>0</v>
      </c>
      <c r="J105" s="233">
        <f t="shared" si="34"/>
        <v>8</v>
      </c>
      <c r="K105" s="233">
        <f t="shared" si="35"/>
        <v>16</v>
      </c>
      <c r="L105" s="233">
        <f t="shared" si="36"/>
        <v>8</v>
      </c>
      <c r="M105" s="233">
        <f t="shared" si="37"/>
        <v>0</v>
      </c>
      <c r="N105" s="233">
        <f t="shared" si="38"/>
        <v>0</v>
      </c>
      <c r="O105" s="233">
        <f>IFERROR(VLOOKUP(A105,TOTAL_HORAS,79,FALSE),0)</f>
        <v>0</v>
      </c>
      <c r="P105" s="233"/>
      <c r="Q105" s="233"/>
      <c r="R105" s="231">
        <f t="shared" si="39"/>
        <v>42.613636363636367</v>
      </c>
      <c r="S105" s="231">
        <f t="shared" si="40"/>
        <v>46.875</v>
      </c>
      <c r="T105" s="231">
        <f t="shared" si="41"/>
        <v>32.5</v>
      </c>
      <c r="U105" s="231">
        <f t="shared" si="42"/>
        <v>41.527777777777779</v>
      </c>
      <c r="V105" s="231">
        <f t="shared" si="43"/>
        <v>33.977272727272727</v>
      </c>
      <c r="W105" s="231">
        <f t="shared" si="44"/>
        <v>35.595238095238095</v>
      </c>
      <c r="X105" s="231">
        <f t="shared" si="45"/>
        <v>37.375</v>
      </c>
      <c r="Y105" s="231">
        <f t="shared" si="46"/>
        <v>33.977272727272727</v>
      </c>
      <c r="Z105" s="231">
        <f t="shared" si="47"/>
        <v>0</v>
      </c>
      <c r="AA105" s="231"/>
      <c r="AB105" s="231"/>
      <c r="AC105" s="231"/>
      <c r="AD105" s="230">
        <f t="shared" si="55"/>
        <v>340.90909090909093</v>
      </c>
      <c r="AE105" s="230">
        <f t="shared" si="48"/>
        <v>7500</v>
      </c>
      <c r="AF105" s="230">
        <f t="shared" si="49"/>
        <v>260</v>
      </c>
      <c r="AG105" s="230">
        <f t="shared" si="50"/>
        <v>0</v>
      </c>
      <c r="AH105" s="230">
        <f t="shared" si="51"/>
        <v>271.81818181818181</v>
      </c>
      <c r="AI105" s="230">
        <f t="shared" si="52"/>
        <v>569.52380952380952</v>
      </c>
      <c r="AJ105" s="230">
        <f t="shared" si="53"/>
        <v>299</v>
      </c>
      <c r="AK105" s="230">
        <f t="shared" si="54"/>
        <v>0</v>
      </c>
      <c r="AL105" s="230">
        <f t="shared" si="54"/>
        <v>0</v>
      </c>
      <c r="AM105" s="230">
        <f t="shared" si="54"/>
        <v>0</v>
      </c>
      <c r="AN105" s="230">
        <f t="shared" si="54"/>
        <v>0</v>
      </c>
      <c r="AO105" s="230">
        <f t="shared" si="29"/>
        <v>0</v>
      </c>
    </row>
    <row r="106" spans="1:41" ht="15.75" customHeight="1" x14ac:dyDescent="0.25">
      <c r="A106" s="251" t="s">
        <v>946</v>
      </c>
      <c r="B106" s="251" t="s">
        <v>944</v>
      </c>
      <c r="C106" s="251" t="s">
        <v>76</v>
      </c>
      <c r="D106" s="251" t="s">
        <v>77</v>
      </c>
      <c r="E106" s="251" t="s">
        <v>115</v>
      </c>
      <c r="F106" s="233">
        <f t="shared" si="30"/>
        <v>0</v>
      </c>
      <c r="G106" s="233">
        <f t="shared" si="31"/>
        <v>0</v>
      </c>
      <c r="H106" s="233">
        <f t="shared" si="32"/>
        <v>0</v>
      </c>
      <c r="I106" s="233">
        <f t="shared" si="33"/>
        <v>0</v>
      </c>
      <c r="J106" s="233">
        <f t="shared" si="34"/>
        <v>0</v>
      </c>
      <c r="K106" s="233">
        <f t="shared" si="35"/>
        <v>0</v>
      </c>
      <c r="L106" s="233">
        <f t="shared" si="36"/>
        <v>0</v>
      </c>
      <c r="M106" s="233">
        <f t="shared" si="37"/>
        <v>0</v>
      </c>
      <c r="N106" s="233">
        <f t="shared" si="38"/>
        <v>48</v>
      </c>
      <c r="O106" s="233">
        <f>IFERROR(VLOOKUP(A106,TOTAL_HORAS,79,FALSE),0)</f>
        <v>0</v>
      </c>
      <c r="P106" s="233"/>
      <c r="Q106" s="233"/>
      <c r="R106" s="231">
        <f t="shared" si="39"/>
        <v>0</v>
      </c>
      <c r="S106" s="231">
        <f t="shared" si="40"/>
        <v>0</v>
      </c>
      <c r="T106" s="231">
        <f t="shared" si="41"/>
        <v>0</v>
      </c>
      <c r="U106" s="231">
        <f t="shared" si="42"/>
        <v>0</v>
      </c>
      <c r="V106" s="231">
        <f t="shared" si="43"/>
        <v>0</v>
      </c>
      <c r="W106" s="231">
        <f t="shared" si="44"/>
        <v>0</v>
      </c>
      <c r="X106" s="231">
        <f t="shared" si="45"/>
        <v>0</v>
      </c>
      <c r="Y106" s="231">
        <f t="shared" si="46"/>
        <v>0</v>
      </c>
      <c r="Z106" s="231">
        <f t="shared" si="47"/>
        <v>22.61904761904762</v>
      </c>
      <c r="AA106" s="231"/>
      <c r="AB106" s="231"/>
      <c r="AC106" s="231"/>
      <c r="AD106" s="230">
        <f t="shared" si="55"/>
        <v>0</v>
      </c>
      <c r="AE106" s="230">
        <f t="shared" si="48"/>
        <v>0</v>
      </c>
      <c r="AF106" s="230">
        <f t="shared" si="49"/>
        <v>0</v>
      </c>
      <c r="AG106" s="230">
        <f t="shared" si="50"/>
        <v>0</v>
      </c>
      <c r="AH106" s="230">
        <f t="shared" si="51"/>
        <v>0</v>
      </c>
      <c r="AI106" s="230">
        <f t="shared" si="52"/>
        <v>0</v>
      </c>
      <c r="AJ106" s="230">
        <f t="shared" si="53"/>
        <v>0</v>
      </c>
      <c r="AK106" s="230">
        <f t="shared" si="54"/>
        <v>0</v>
      </c>
      <c r="AL106" s="230">
        <f t="shared" si="54"/>
        <v>1085.7142857142858</v>
      </c>
      <c r="AM106" s="230">
        <f t="shared" si="54"/>
        <v>0</v>
      </c>
      <c r="AN106" s="230">
        <f t="shared" si="54"/>
        <v>0</v>
      </c>
      <c r="AO106" s="230">
        <f t="shared" si="29"/>
        <v>0</v>
      </c>
    </row>
    <row r="107" spans="1:41" ht="15.75" customHeight="1" x14ac:dyDescent="0.25">
      <c r="A107" s="251" t="s">
        <v>760</v>
      </c>
      <c r="B107" s="251" t="s">
        <v>38</v>
      </c>
      <c r="C107" s="251" t="s">
        <v>76</v>
      </c>
      <c r="D107" s="251" t="s">
        <v>77</v>
      </c>
      <c r="E107" s="251" t="s">
        <v>115</v>
      </c>
      <c r="F107" s="233">
        <f t="shared" si="30"/>
        <v>0</v>
      </c>
      <c r="G107" s="233">
        <f t="shared" si="31"/>
        <v>160</v>
      </c>
      <c r="H107" s="233">
        <f t="shared" si="32"/>
        <v>184</v>
      </c>
      <c r="I107" s="233">
        <f t="shared" si="33"/>
        <v>112</v>
      </c>
      <c r="J107" s="233">
        <f t="shared" si="34"/>
        <v>96</v>
      </c>
      <c r="K107" s="233">
        <f t="shared" si="35"/>
        <v>0</v>
      </c>
      <c r="L107" s="233">
        <f t="shared" si="36"/>
        <v>0</v>
      </c>
      <c r="M107" s="233">
        <f t="shared" si="37"/>
        <v>0</v>
      </c>
      <c r="N107" s="233">
        <f t="shared" si="38"/>
        <v>0</v>
      </c>
      <c r="O107" s="233">
        <f>IFERROR(VLOOKUP(A107,TOTAL_HORAS,79,FALSE),0)</f>
        <v>0</v>
      </c>
      <c r="P107" s="233"/>
      <c r="Q107" s="233"/>
      <c r="R107" s="231">
        <f t="shared" si="39"/>
        <v>26.196022727272727</v>
      </c>
      <c r="S107" s="231">
        <f t="shared" si="40"/>
        <v>30.315625000000001</v>
      </c>
      <c r="T107" s="231">
        <f t="shared" si="41"/>
        <v>26.361413043478262</v>
      </c>
      <c r="U107" s="231">
        <f t="shared" si="42"/>
        <v>33.684027777777779</v>
      </c>
      <c r="V107" s="231">
        <f t="shared" si="43"/>
        <v>27.55965909090909</v>
      </c>
      <c r="W107" s="231">
        <f t="shared" si="44"/>
        <v>28.87202380952381</v>
      </c>
      <c r="X107" s="231">
        <f t="shared" si="45"/>
        <v>0</v>
      </c>
      <c r="Y107" s="231">
        <f t="shared" si="46"/>
        <v>0</v>
      </c>
      <c r="Z107" s="231">
        <f t="shared" si="47"/>
        <v>0</v>
      </c>
      <c r="AA107" s="231"/>
      <c r="AB107" s="231"/>
      <c r="AC107" s="231"/>
      <c r="AD107" s="230">
        <f t="shared" si="55"/>
        <v>0</v>
      </c>
      <c r="AE107" s="230">
        <f t="shared" si="48"/>
        <v>4850.5</v>
      </c>
      <c r="AF107" s="230">
        <f t="shared" si="49"/>
        <v>4850.5</v>
      </c>
      <c r="AG107" s="230">
        <f t="shared" si="50"/>
        <v>3772.6111111111113</v>
      </c>
      <c r="AH107" s="230">
        <f t="shared" si="51"/>
        <v>2645.7272727272725</v>
      </c>
      <c r="AI107" s="230">
        <f t="shared" si="52"/>
        <v>0</v>
      </c>
      <c r="AJ107" s="230">
        <f t="shared" si="53"/>
        <v>0</v>
      </c>
      <c r="AK107" s="230">
        <f t="shared" si="54"/>
        <v>0</v>
      </c>
      <c r="AL107" s="230">
        <f t="shared" si="54"/>
        <v>0</v>
      </c>
      <c r="AM107" s="230">
        <f t="shared" si="54"/>
        <v>0</v>
      </c>
      <c r="AN107" s="230">
        <f t="shared" si="54"/>
        <v>0</v>
      </c>
      <c r="AO107" s="230">
        <f t="shared" si="29"/>
        <v>0</v>
      </c>
    </row>
    <row r="108" spans="1:41" ht="15.75" customHeight="1" x14ac:dyDescent="0.25">
      <c r="A108" s="251" t="s">
        <v>761</v>
      </c>
      <c r="B108" s="251" t="s">
        <v>38</v>
      </c>
      <c r="C108" s="251" t="s">
        <v>44</v>
      </c>
      <c r="D108" s="251" t="s">
        <v>42</v>
      </c>
      <c r="E108" s="251" t="s">
        <v>304</v>
      </c>
      <c r="F108" s="233">
        <f t="shared" si="30"/>
        <v>0</v>
      </c>
      <c r="G108" s="233">
        <f t="shared" si="31"/>
        <v>0</v>
      </c>
      <c r="H108" s="233">
        <f t="shared" si="32"/>
        <v>0</v>
      </c>
      <c r="I108" s="233">
        <f t="shared" si="33"/>
        <v>0</v>
      </c>
      <c r="J108" s="233">
        <f t="shared" si="34"/>
        <v>64</v>
      </c>
      <c r="K108" s="233">
        <f t="shared" si="35"/>
        <v>16</v>
      </c>
      <c r="L108" s="233">
        <f t="shared" si="36"/>
        <v>0</v>
      </c>
      <c r="M108" s="233">
        <f t="shared" si="37"/>
        <v>0</v>
      </c>
      <c r="N108" s="233">
        <f t="shared" si="38"/>
        <v>0</v>
      </c>
      <c r="O108" s="233">
        <f>IFERROR(VLOOKUP(A108,TOTAL_HORAS,79,FALSE),0)</f>
        <v>0</v>
      </c>
      <c r="P108" s="233"/>
      <c r="Q108" s="233"/>
      <c r="R108" s="231">
        <f t="shared" si="39"/>
        <v>26.196022727272727</v>
      </c>
      <c r="S108" s="231">
        <f t="shared" si="40"/>
        <v>30.315625000000001</v>
      </c>
      <c r="T108" s="231">
        <f t="shared" si="41"/>
        <v>26.361413043478262</v>
      </c>
      <c r="U108" s="231">
        <f t="shared" si="42"/>
        <v>33.684027777777779</v>
      </c>
      <c r="V108" s="231">
        <f t="shared" si="43"/>
        <v>27.55965909090909</v>
      </c>
      <c r="W108" s="231">
        <f t="shared" si="44"/>
        <v>28.87202380952381</v>
      </c>
      <c r="X108" s="231">
        <f t="shared" si="45"/>
        <v>0</v>
      </c>
      <c r="Y108" s="231">
        <f t="shared" si="46"/>
        <v>0</v>
      </c>
      <c r="Z108" s="231">
        <f t="shared" si="47"/>
        <v>0</v>
      </c>
      <c r="AA108" s="231"/>
      <c r="AB108" s="231"/>
      <c r="AC108" s="231"/>
      <c r="AD108" s="230">
        <f t="shared" si="55"/>
        <v>0</v>
      </c>
      <c r="AE108" s="230">
        <f t="shared" si="48"/>
        <v>0</v>
      </c>
      <c r="AF108" s="230">
        <f t="shared" si="49"/>
        <v>0</v>
      </c>
      <c r="AG108" s="230">
        <f t="shared" si="50"/>
        <v>0</v>
      </c>
      <c r="AH108" s="230">
        <f t="shared" si="51"/>
        <v>1763.8181818181818</v>
      </c>
      <c r="AI108" s="230">
        <f t="shared" si="52"/>
        <v>461.95238095238096</v>
      </c>
      <c r="AJ108" s="230">
        <f t="shared" si="53"/>
        <v>0</v>
      </c>
      <c r="AK108" s="230">
        <f t="shared" si="54"/>
        <v>0</v>
      </c>
      <c r="AL108" s="230">
        <f t="shared" si="54"/>
        <v>0</v>
      </c>
      <c r="AM108" s="230">
        <f t="shared" si="54"/>
        <v>0</v>
      </c>
      <c r="AN108" s="230">
        <f t="shared" si="54"/>
        <v>0</v>
      </c>
      <c r="AO108" s="230">
        <f t="shared" si="29"/>
        <v>0</v>
      </c>
    </row>
    <row r="109" spans="1:41" ht="15.75" customHeight="1" x14ac:dyDescent="0.25">
      <c r="A109" s="251" t="s">
        <v>762</v>
      </c>
      <c r="B109" s="251" t="s">
        <v>38</v>
      </c>
      <c r="C109" s="251" t="s">
        <v>75</v>
      </c>
      <c r="D109" s="251" t="s">
        <v>75</v>
      </c>
      <c r="E109" s="251" t="s">
        <v>131</v>
      </c>
      <c r="F109" s="233">
        <f t="shared" si="30"/>
        <v>0</v>
      </c>
      <c r="G109" s="233">
        <f t="shared" si="31"/>
        <v>0</v>
      </c>
      <c r="H109" s="233">
        <f t="shared" si="32"/>
        <v>0</v>
      </c>
      <c r="I109" s="233">
        <f t="shared" si="33"/>
        <v>32</v>
      </c>
      <c r="J109" s="233">
        <f t="shared" si="34"/>
        <v>16</v>
      </c>
      <c r="K109" s="233">
        <f t="shared" si="35"/>
        <v>0</v>
      </c>
      <c r="L109" s="233">
        <f t="shared" si="36"/>
        <v>0</v>
      </c>
      <c r="M109" s="233">
        <f t="shared" si="37"/>
        <v>0</v>
      </c>
      <c r="N109" s="233">
        <f t="shared" si="38"/>
        <v>0</v>
      </c>
      <c r="O109" s="233">
        <f>IFERROR(VLOOKUP(A109,TOTAL_HORAS,79,FALSE),0)</f>
        <v>0</v>
      </c>
      <c r="P109" s="233"/>
      <c r="Q109" s="233"/>
      <c r="R109" s="231">
        <f t="shared" si="39"/>
        <v>26.196022727272727</v>
      </c>
      <c r="S109" s="231">
        <f t="shared" si="40"/>
        <v>30.315625000000001</v>
      </c>
      <c r="T109" s="231">
        <f t="shared" si="41"/>
        <v>26.361413043478262</v>
      </c>
      <c r="U109" s="231">
        <f t="shared" si="42"/>
        <v>33.684027777777779</v>
      </c>
      <c r="V109" s="231">
        <f t="shared" si="43"/>
        <v>27.55965909090909</v>
      </c>
      <c r="W109" s="231">
        <f t="shared" si="44"/>
        <v>28.87202380952381</v>
      </c>
      <c r="X109" s="231">
        <f t="shared" si="45"/>
        <v>0</v>
      </c>
      <c r="Y109" s="231">
        <f t="shared" si="46"/>
        <v>0</v>
      </c>
      <c r="Z109" s="231">
        <f t="shared" si="47"/>
        <v>0</v>
      </c>
      <c r="AA109" s="231"/>
      <c r="AB109" s="231"/>
      <c r="AC109" s="231"/>
      <c r="AD109" s="230">
        <f t="shared" si="55"/>
        <v>0</v>
      </c>
      <c r="AE109" s="230">
        <f t="shared" si="48"/>
        <v>0</v>
      </c>
      <c r="AF109" s="230">
        <f t="shared" si="49"/>
        <v>0</v>
      </c>
      <c r="AG109" s="230">
        <f t="shared" si="50"/>
        <v>1077.8888888888889</v>
      </c>
      <c r="AH109" s="230">
        <f t="shared" si="51"/>
        <v>440.95454545454544</v>
      </c>
      <c r="AI109" s="230">
        <f t="shared" si="52"/>
        <v>0</v>
      </c>
      <c r="AJ109" s="230">
        <f t="shared" si="53"/>
        <v>0</v>
      </c>
      <c r="AK109" s="230">
        <f t="shared" si="54"/>
        <v>0</v>
      </c>
      <c r="AL109" s="230">
        <f t="shared" si="54"/>
        <v>0</v>
      </c>
      <c r="AM109" s="230">
        <f t="shared" si="54"/>
        <v>0</v>
      </c>
      <c r="AN109" s="230">
        <f t="shared" si="54"/>
        <v>0</v>
      </c>
      <c r="AO109" s="230">
        <f t="shared" si="29"/>
        <v>0</v>
      </c>
    </row>
    <row r="110" spans="1:41" ht="15.75" customHeight="1" x14ac:dyDescent="0.25">
      <c r="A110" s="251" t="s">
        <v>900</v>
      </c>
      <c r="B110" s="251" t="s">
        <v>25</v>
      </c>
      <c r="C110" s="251" t="s">
        <v>209</v>
      </c>
      <c r="D110" s="251" t="s">
        <v>209</v>
      </c>
      <c r="E110" s="251" t="s">
        <v>243</v>
      </c>
      <c r="F110" s="233">
        <f t="shared" si="30"/>
        <v>0</v>
      </c>
      <c r="G110" s="233">
        <f t="shared" si="31"/>
        <v>0</v>
      </c>
      <c r="H110" s="233">
        <f t="shared" si="32"/>
        <v>0</v>
      </c>
      <c r="I110" s="233">
        <f t="shared" si="33"/>
        <v>0</v>
      </c>
      <c r="J110" s="233">
        <f t="shared" si="34"/>
        <v>0</v>
      </c>
      <c r="K110" s="233">
        <f t="shared" si="35"/>
        <v>0</v>
      </c>
      <c r="L110" s="233">
        <f t="shared" si="36"/>
        <v>0</v>
      </c>
      <c r="M110" s="233">
        <f t="shared" si="37"/>
        <v>40</v>
      </c>
      <c r="N110" s="233">
        <f t="shared" si="38"/>
        <v>0</v>
      </c>
      <c r="O110" s="233">
        <f>IFERROR(VLOOKUP(A110,TOTAL_HORAS,79,FALSE),0)</f>
        <v>0</v>
      </c>
      <c r="P110" s="233"/>
      <c r="Q110" s="233"/>
      <c r="R110" s="231">
        <f t="shared" si="39"/>
        <v>22.15909090909091</v>
      </c>
      <c r="S110" s="231">
        <f t="shared" si="40"/>
        <v>24.375</v>
      </c>
      <c r="T110" s="231">
        <f t="shared" si="41"/>
        <v>21.195652173913043</v>
      </c>
      <c r="U110" s="231">
        <f t="shared" si="42"/>
        <v>27.083333333333332</v>
      </c>
      <c r="V110" s="231">
        <f t="shared" si="43"/>
        <v>22.15909090909091</v>
      </c>
      <c r="W110" s="231">
        <f t="shared" si="44"/>
        <v>23.214285714285715</v>
      </c>
      <c r="X110" s="231">
        <f t="shared" si="45"/>
        <v>24.375</v>
      </c>
      <c r="Y110" s="231">
        <f t="shared" si="46"/>
        <v>22.15909090909091</v>
      </c>
      <c r="Z110" s="231">
        <f t="shared" si="47"/>
        <v>23.214285714285715</v>
      </c>
      <c r="AA110" s="231"/>
      <c r="AB110" s="231"/>
      <c r="AC110" s="231"/>
      <c r="AD110" s="230">
        <f t="shared" si="55"/>
        <v>0</v>
      </c>
      <c r="AE110" s="230">
        <f t="shared" si="48"/>
        <v>0</v>
      </c>
      <c r="AF110" s="230">
        <f t="shared" si="49"/>
        <v>0</v>
      </c>
      <c r="AG110" s="230">
        <f t="shared" si="50"/>
        <v>0</v>
      </c>
      <c r="AH110" s="230">
        <f t="shared" si="51"/>
        <v>0</v>
      </c>
      <c r="AI110" s="230">
        <f t="shared" si="52"/>
        <v>0</v>
      </c>
      <c r="AJ110" s="230">
        <f t="shared" si="53"/>
        <v>0</v>
      </c>
      <c r="AK110" s="230">
        <f t="shared" si="54"/>
        <v>886.36363636363637</v>
      </c>
      <c r="AL110" s="230">
        <f t="shared" si="54"/>
        <v>0</v>
      </c>
      <c r="AM110" s="230">
        <f t="shared" si="54"/>
        <v>0</v>
      </c>
      <c r="AN110" s="230">
        <f t="shared" si="54"/>
        <v>0</v>
      </c>
      <c r="AO110" s="230">
        <f t="shared" si="29"/>
        <v>0</v>
      </c>
    </row>
    <row r="111" spans="1:41" ht="15.75" customHeight="1" x14ac:dyDescent="0.25">
      <c r="A111" s="251" t="s">
        <v>901</v>
      </c>
      <c r="B111" s="251" t="s">
        <v>25</v>
      </c>
      <c r="C111" s="251" t="s">
        <v>208</v>
      </c>
      <c r="D111" s="251" t="s">
        <v>208</v>
      </c>
      <c r="E111" s="251" t="s">
        <v>210</v>
      </c>
      <c r="F111" s="233">
        <f t="shared" si="30"/>
        <v>8</v>
      </c>
      <c r="G111" s="233">
        <f t="shared" si="31"/>
        <v>0</v>
      </c>
      <c r="H111" s="233">
        <f t="shared" si="32"/>
        <v>0</v>
      </c>
      <c r="I111" s="233">
        <f t="shared" si="33"/>
        <v>0</v>
      </c>
      <c r="J111" s="233">
        <f t="shared" si="34"/>
        <v>0</v>
      </c>
      <c r="K111" s="233">
        <f t="shared" si="35"/>
        <v>0</v>
      </c>
      <c r="L111" s="233">
        <f t="shared" si="36"/>
        <v>0</v>
      </c>
      <c r="M111" s="233">
        <f t="shared" si="37"/>
        <v>0</v>
      </c>
      <c r="N111" s="233">
        <f t="shared" si="38"/>
        <v>0</v>
      </c>
      <c r="O111" s="233">
        <f>IFERROR(VLOOKUP(A111,TOTAL_HORAS,79,FALSE),0)</f>
        <v>0</v>
      </c>
      <c r="P111" s="233"/>
      <c r="Q111" s="233"/>
      <c r="R111" s="231">
        <f t="shared" si="39"/>
        <v>22.15909090909091</v>
      </c>
      <c r="S111" s="231">
        <f t="shared" si="40"/>
        <v>24.375</v>
      </c>
      <c r="T111" s="231">
        <f t="shared" si="41"/>
        <v>21.195652173913043</v>
      </c>
      <c r="U111" s="231">
        <f t="shared" si="42"/>
        <v>27.083333333333332</v>
      </c>
      <c r="V111" s="231">
        <f t="shared" si="43"/>
        <v>22.15909090909091</v>
      </c>
      <c r="W111" s="231">
        <f t="shared" si="44"/>
        <v>23.214285714285715</v>
      </c>
      <c r="X111" s="231">
        <f t="shared" si="45"/>
        <v>24.375</v>
      </c>
      <c r="Y111" s="231">
        <f t="shared" si="46"/>
        <v>22.15909090909091</v>
      </c>
      <c r="Z111" s="231">
        <f t="shared" si="47"/>
        <v>23.214285714285715</v>
      </c>
      <c r="AA111" s="231"/>
      <c r="AB111" s="231"/>
      <c r="AC111" s="231"/>
      <c r="AD111" s="230">
        <f t="shared" si="55"/>
        <v>177.27272727272728</v>
      </c>
      <c r="AE111" s="230">
        <f t="shared" si="48"/>
        <v>0</v>
      </c>
      <c r="AF111" s="230">
        <f t="shared" si="49"/>
        <v>0</v>
      </c>
      <c r="AG111" s="230">
        <f t="shared" si="50"/>
        <v>0</v>
      </c>
      <c r="AH111" s="230">
        <f t="shared" si="51"/>
        <v>0</v>
      </c>
      <c r="AI111" s="230">
        <f t="shared" si="52"/>
        <v>0</v>
      </c>
      <c r="AJ111" s="230">
        <f t="shared" si="53"/>
        <v>0</v>
      </c>
      <c r="AK111" s="230">
        <f t="shared" si="54"/>
        <v>0</v>
      </c>
      <c r="AL111" s="230">
        <f t="shared" si="54"/>
        <v>0</v>
      </c>
      <c r="AM111" s="230">
        <f t="shared" si="54"/>
        <v>0</v>
      </c>
      <c r="AN111" s="230">
        <f t="shared" si="54"/>
        <v>0</v>
      </c>
      <c r="AO111" s="230">
        <f t="shared" si="29"/>
        <v>0</v>
      </c>
    </row>
    <row r="112" spans="1:41" ht="15.75" customHeight="1" x14ac:dyDescent="0.25">
      <c r="A112" s="251" t="s">
        <v>763</v>
      </c>
      <c r="B112" s="251" t="s">
        <v>424</v>
      </c>
      <c r="C112" s="251" t="s">
        <v>208</v>
      </c>
      <c r="D112" s="251" t="s">
        <v>208</v>
      </c>
      <c r="E112" s="251" t="s">
        <v>210</v>
      </c>
      <c r="F112" s="233">
        <f t="shared" si="30"/>
        <v>8</v>
      </c>
      <c r="G112" s="233">
        <f t="shared" si="31"/>
        <v>0</v>
      </c>
      <c r="H112" s="233">
        <f t="shared" si="32"/>
        <v>0</v>
      </c>
      <c r="I112" s="233">
        <f t="shared" si="33"/>
        <v>0</v>
      </c>
      <c r="J112" s="233">
        <f t="shared" si="34"/>
        <v>0</v>
      </c>
      <c r="K112" s="233">
        <f t="shared" si="35"/>
        <v>0</v>
      </c>
      <c r="L112" s="233">
        <f t="shared" si="36"/>
        <v>0</v>
      </c>
      <c r="M112" s="233">
        <f t="shared" si="37"/>
        <v>0</v>
      </c>
      <c r="N112" s="233">
        <f t="shared" si="38"/>
        <v>0</v>
      </c>
      <c r="O112" s="233">
        <f>IFERROR(VLOOKUP(A112,TOTAL_HORAS,79,FALSE),0)</f>
        <v>0</v>
      </c>
      <c r="P112" s="233"/>
      <c r="Q112" s="233"/>
      <c r="R112" s="231">
        <f t="shared" si="39"/>
        <v>34.090909090909093</v>
      </c>
      <c r="S112" s="231">
        <f t="shared" si="40"/>
        <v>37.5</v>
      </c>
      <c r="T112" s="231">
        <f t="shared" si="41"/>
        <v>32.608695652173914</v>
      </c>
      <c r="U112" s="231">
        <f t="shared" si="42"/>
        <v>41.666666666666664</v>
      </c>
      <c r="V112" s="231">
        <f t="shared" si="43"/>
        <v>0</v>
      </c>
      <c r="W112" s="231">
        <f t="shared" si="44"/>
        <v>0</v>
      </c>
      <c r="X112" s="231">
        <f t="shared" si="45"/>
        <v>0</v>
      </c>
      <c r="Y112" s="231">
        <f t="shared" si="46"/>
        <v>0</v>
      </c>
      <c r="Z112" s="231">
        <f t="shared" si="47"/>
        <v>0</v>
      </c>
      <c r="AA112" s="231"/>
      <c r="AB112" s="231"/>
      <c r="AC112" s="231"/>
      <c r="AD112" s="230">
        <f t="shared" si="55"/>
        <v>272.72727272727275</v>
      </c>
      <c r="AE112" s="230">
        <f t="shared" si="48"/>
        <v>0</v>
      </c>
      <c r="AF112" s="230">
        <f t="shared" si="49"/>
        <v>0</v>
      </c>
      <c r="AG112" s="230">
        <f t="shared" si="50"/>
        <v>0</v>
      </c>
      <c r="AH112" s="230">
        <f t="shared" si="51"/>
        <v>0</v>
      </c>
      <c r="AI112" s="230">
        <f t="shared" si="52"/>
        <v>0</v>
      </c>
      <c r="AJ112" s="230">
        <f t="shared" si="53"/>
        <v>0</v>
      </c>
      <c r="AK112" s="230">
        <f t="shared" si="54"/>
        <v>0</v>
      </c>
      <c r="AL112" s="230">
        <f t="shared" si="54"/>
        <v>0</v>
      </c>
      <c r="AM112" s="230">
        <f t="shared" si="54"/>
        <v>0</v>
      </c>
      <c r="AN112" s="230">
        <f t="shared" si="54"/>
        <v>0</v>
      </c>
      <c r="AO112" s="230">
        <f t="shared" si="29"/>
        <v>0</v>
      </c>
    </row>
    <row r="113" spans="1:41" ht="15.75" customHeight="1" x14ac:dyDescent="0.25">
      <c r="A113" s="251" t="s">
        <v>764</v>
      </c>
      <c r="B113" s="251" t="s">
        <v>417</v>
      </c>
      <c r="C113" s="251" t="s">
        <v>209</v>
      </c>
      <c r="D113" s="251" t="s">
        <v>209</v>
      </c>
      <c r="E113" s="251" t="s">
        <v>243</v>
      </c>
      <c r="F113" s="233">
        <f t="shared" si="30"/>
        <v>0</v>
      </c>
      <c r="G113" s="233">
        <f t="shared" si="31"/>
        <v>48</v>
      </c>
      <c r="H113" s="233">
        <f t="shared" si="32"/>
        <v>0</v>
      </c>
      <c r="I113" s="233">
        <f t="shared" si="33"/>
        <v>0</v>
      </c>
      <c r="J113" s="233">
        <f t="shared" si="34"/>
        <v>0</v>
      </c>
      <c r="K113" s="233">
        <f t="shared" si="35"/>
        <v>0</v>
      </c>
      <c r="L113" s="233">
        <f t="shared" si="36"/>
        <v>0</v>
      </c>
      <c r="M113" s="233">
        <f t="shared" si="37"/>
        <v>0</v>
      </c>
      <c r="N113" s="233">
        <f t="shared" si="38"/>
        <v>0</v>
      </c>
      <c r="O113" s="233">
        <f>IFERROR(VLOOKUP(A113,TOTAL_HORAS,79,FALSE),0)</f>
        <v>0</v>
      </c>
      <c r="P113" s="233"/>
      <c r="Q113" s="233"/>
      <c r="R113" s="231">
        <f t="shared" si="39"/>
        <v>44.31818181818182</v>
      </c>
      <c r="S113" s="231">
        <f t="shared" si="40"/>
        <v>48.75</v>
      </c>
      <c r="T113" s="231">
        <f t="shared" si="41"/>
        <v>42.391304347826086</v>
      </c>
      <c r="U113" s="231">
        <f t="shared" si="42"/>
        <v>54.166666666666664</v>
      </c>
      <c r="V113" s="231">
        <f t="shared" si="43"/>
        <v>0</v>
      </c>
      <c r="W113" s="231">
        <f t="shared" si="44"/>
        <v>0</v>
      </c>
      <c r="X113" s="231">
        <f t="shared" si="45"/>
        <v>0</v>
      </c>
      <c r="Y113" s="231">
        <f t="shared" si="46"/>
        <v>0</v>
      </c>
      <c r="Z113" s="231">
        <f t="shared" si="47"/>
        <v>0</v>
      </c>
      <c r="AA113" s="231"/>
      <c r="AB113" s="231"/>
      <c r="AC113" s="231"/>
      <c r="AD113" s="230">
        <f t="shared" si="55"/>
        <v>0</v>
      </c>
      <c r="AE113" s="230">
        <f t="shared" si="48"/>
        <v>2340</v>
      </c>
      <c r="AF113" s="230">
        <f t="shared" si="49"/>
        <v>0</v>
      </c>
      <c r="AG113" s="230">
        <f t="shared" si="50"/>
        <v>0</v>
      </c>
      <c r="AH113" s="230">
        <f t="shared" si="51"/>
        <v>0</v>
      </c>
      <c r="AI113" s="230">
        <f t="shared" si="52"/>
        <v>0</v>
      </c>
      <c r="AJ113" s="230">
        <f t="shared" si="53"/>
        <v>0</v>
      </c>
      <c r="AK113" s="230">
        <f t="shared" si="54"/>
        <v>0</v>
      </c>
      <c r="AL113" s="230">
        <f t="shared" si="54"/>
        <v>0</v>
      </c>
      <c r="AM113" s="230">
        <f t="shared" si="54"/>
        <v>0</v>
      </c>
      <c r="AN113" s="230">
        <f t="shared" si="54"/>
        <v>0</v>
      </c>
      <c r="AO113" s="230">
        <f t="shared" si="29"/>
        <v>0</v>
      </c>
    </row>
    <row r="114" spans="1:41" ht="15.75" customHeight="1" x14ac:dyDescent="0.25">
      <c r="A114" s="251" t="s">
        <v>765</v>
      </c>
      <c r="B114" s="251" t="s">
        <v>12</v>
      </c>
      <c r="C114" s="251" t="s">
        <v>103</v>
      </c>
      <c r="D114" s="251" t="s">
        <v>562</v>
      </c>
      <c r="E114" s="251" t="s">
        <v>563</v>
      </c>
      <c r="F114" s="233">
        <f t="shared" si="30"/>
        <v>0</v>
      </c>
      <c r="G114" s="233">
        <f t="shared" si="31"/>
        <v>0</v>
      </c>
      <c r="H114" s="233">
        <f t="shared" si="32"/>
        <v>0</v>
      </c>
      <c r="I114" s="233">
        <f t="shared" si="33"/>
        <v>0</v>
      </c>
      <c r="J114" s="233">
        <f t="shared" si="34"/>
        <v>0</v>
      </c>
      <c r="K114" s="233">
        <f t="shared" si="35"/>
        <v>0</v>
      </c>
      <c r="L114" s="233">
        <f t="shared" si="36"/>
        <v>8</v>
      </c>
      <c r="M114" s="233">
        <f t="shared" si="37"/>
        <v>40</v>
      </c>
      <c r="N114" s="233">
        <f t="shared" si="38"/>
        <v>123.5</v>
      </c>
      <c r="O114" s="233">
        <f>IFERROR(VLOOKUP(A114,TOTAL_HORAS,79,FALSE),0)</f>
        <v>7</v>
      </c>
      <c r="P114" s="233"/>
      <c r="Q114" s="233"/>
      <c r="R114" s="231">
        <f t="shared" si="39"/>
        <v>39.076704545454547</v>
      </c>
      <c r="S114" s="231">
        <f t="shared" si="40"/>
        <v>42.984375</v>
      </c>
      <c r="T114" s="231">
        <f t="shared" si="41"/>
        <v>37.377717391304351</v>
      </c>
      <c r="U114" s="231">
        <f t="shared" si="42"/>
        <v>47.760416666666664</v>
      </c>
      <c r="V114" s="231">
        <f t="shared" si="43"/>
        <v>39.076704545454547</v>
      </c>
      <c r="W114" s="231">
        <f t="shared" si="44"/>
        <v>40.9375</v>
      </c>
      <c r="X114" s="231">
        <f t="shared" si="45"/>
        <v>42.984375</v>
      </c>
      <c r="Y114" s="231">
        <f t="shared" si="46"/>
        <v>46.875</v>
      </c>
      <c r="Z114" s="231">
        <f t="shared" si="47"/>
        <v>49.866071428571431</v>
      </c>
      <c r="AA114" s="231"/>
      <c r="AB114" s="231"/>
      <c r="AC114" s="231"/>
      <c r="AD114" s="230">
        <f t="shared" si="55"/>
        <v>0</v>
      </c>
      <c r="AE114" s="230">
        <f t="shared" si="48"/>
        <v>0</v>
      </c>
      <c r="AF114" s="230">
        <f t="shared" si="49"/>
        <v>0</v>
      </c>
      <c r="AG114" s="230">
        <f t="shared" si="50"/>
        <v>0</v>
      </c>
      <c r="AH114" s="230">
        <f t="shared" si="51"/>
        <v>0</v>
      </c>
      <c r="AI114" s="230">
        <f t="shared" si="52"/>
        <v>0</v>
      </c>
      <c r="AJ114" s="230">
        <f t="shared" si="53"/>
        <v>343.875</v>
      </c>
      <c r="AK114" s="230">
        <f t="shared" si="54"/>
        <v>1875</v>
      </c>
      <c r="AL114" s="230">
        <f t="shared" si="54"/>
        <v>6158.4598214285716</v>
      </c>
      <c r="AM114" s="230">
        <f t="shared" si="54"/>
        <v>0</v>
      </c>
      <c r="AN114" s="230">
        <f t="shared" si="54"/>
        <v>0</v>
      </c>
      <c r="AO114" s="230">
        <f t="shared" si="29"/>
        <v>0</v>
      </c>
    </row>
    <row r="115" spans="1:41" ht="15.75" customHeight="1" x14ac:dyDescent="0.25">
      <c r="A115" s="251" t="s">
        <v>914</v>
      </c>
      <c r="B115" s="251" t="s">
        <v>12</v>
      </c>
      <c r="C115" s="251" t="s">
        <v>103</v>
      </c>
      <c r="D115" s="251" t="s">
        <v>913</v>
      </c>
      <c r="E115" s="251" t="s">
        <v>916</v>
      </c>
      <c r="F115" s="233">
        <f t="shared" si="30"/>
        <v>0</v>
      </c>
      <c r="G115" s="233">
        <f t="shared" si="31"/>
        <v>0</v>
      </c>
      <c r="H115" s="233">
        <f t="shared" si="32"/>
        <v>0</v>
      </c>
      <c r="I115" s="233">
        <f t="shared" si="33"/>
        <v>0</v>
      </c>
      <c r="J115" s="233">
        <f t="shared" si="34"/>
        <v>0</v>
      </c>
      <c r="K115" s="233">
        <f t="shared" si="35"/>
        <v>0</v>
      </c>
      <c r="L115" s="233">
        <f t="shared" si="36"/>
        <v>0</v>
      </c>
      <c r="M115" s="233">
        <f t="shared" si="37"/>
        <v>0</v>
      </c>
      <c r="N115" s="233">
        <f t="shared" si="38"/>
        <v>44.5</v>
      </c>
      <c r="O115" s="233">
        <f>IFERROR(VLOOKUP(A115,TOTAL_HORAS,79,FALSE),0)</f>
        <v>33</v>
      </c>
      <c r="P115" s="233"/>
      <c r="Q115" s="233"/>
      <c r="R115" s="231">
        <f t="shared" si="39"/>
        <v>39.076704545454547</v>
      </c>
      <c r="S115" s="231">
        <f t="shared" si="40"/>
        <v>42.984375</v>
      </c>
      <c r="T115" s="231">
        <f t="shared" si="41"/>
        <v>37.377717391304351</v>
      </c>
      <c r="U115" s="231">
        <f t="shared" si="42"/>
        <v>47.760416666666664</v>
      </c>
      <c r="V115" s="231">
        <f t="shared" si="43"/>
        <v>39.076704545454547</v>
      </c>
      <c r="W115" s="231">
        <f t="shared" si="44"/>
        <v>40.9375</v>
      </c>
      <c r="X115" s="231">
        <f t="shared" si="45"/>
        <v>42.984375</v>
      </c>
      <c r="Y115" s="231">
        <f t="shared" si="46"/>
        <v>46.875</v>
      </c>
      <c r="Z115" s="231">
        <f t="shared" si="47"/>
        <v>49.866071428571431</v>
      </c>
      <c r="AA115" s="231"/>
      <c r="AB115" s="231"/>
      <c r="AC115" s="231"/>
      <c r="AD115" s="230">
        <f t="shared" si="55"/>
        <v>0</v>
      </c>
      <c r="AE115" s="230">
        <f t="shared" si="48"/>
        <v>0</v>
      </c>
      <c r="AF115" s="230">
        <f t="shared" si="49"/>
        <v>0</v>
      </c>
      <c r="AG115" s="230">
        <f t="shared" si="50"/>
        <v>0</v>
      </c>
      <c r="AH115" s="230">
        <f t="shared" si="51"/>
        <v>0</v>
      </c>
      <c r="AI115" s="230">
        <f t="shared" si="52"/>
        <v>0</v>
      </c>
      <c r="AJ115" s="230">
        <f t="shared" si="53"/>
        <v>0</v>
      </c>
      <c r="AK115" s="230">
        <f t="shared" si="54"/>
        <v>0</v>
      </c>
      <c r="AL115" s="230">
        <f t="shared" si="54"/>
        <v>2219.0401785714284</v>
      </c>
      <c r="AM115" s="230">
        <f t="shared" si="54"/>
        <v>0</v>
      </c>
      <c r="AN115" s="230">
        <f t="shared" si="54"/>
        <v>0</v>
      </c>
      <c r="AO115" s="230">
        <f t="shared" si="29"/>
        <v>0</v>
      </c>
    </row>
    <row r="116" spans="1:41" ht="15.75" customHeight="1" x14ac:dyDescent="0.25">
      <c r="A116" s="251" t="s">
        <v>766</v>
      </c>
      <c r="B116" s="251" t="s">
        <v>28</v>
      </c>
      <c r="C116" s="251" t="s">
        <v>91</v>
      </c>
      <c r="D116" s="251" t="s">
        <v>92</v>
      </c>
      <c r="E116" s="251" t="s">
        <v>117</v>
      </c>
      <c r="F116" s="233">
        <f t="shared" si="30"/>
        <v>9</v>
      </c>
      <c r="G116" s="233">
        <f t="shared" si="31"/>
        <v>0</v>
      </c>
      <c r="H116" s="233">
        <f t="shared" si="32"/>
        <v>8</v>
      </c>
      <c r="I116" s="233">
        <f t="shared" si="33"/>
        <v>0</v>
      </c>
      <c r="J116" s="233">
        <f t="shared" si="34"/>
        <v>0</v>
      </c>
      <c r="K116" s="233">
        <f t="shared" si="35"/>
        <v>0</v>
      </c>
      <c r="L116" s="233">
        <f t="shared" si="36"/>
        <v>0</v>
      </c>
      <c r="M116" s="233">
        <f t="shared" si="37"/>
        <v>0</v>
      </c>
      <c r="N116" s="233">
        <f t="shared" si="38"/>
        <v>0</v>
      </c>
      <c r="O116" s="233">
        <f>IFERROR(VLOOKUP(A116,TOTAL_HORAS,79,FALSE),0)</f>
        <v>0</v>
      </c>
      <c r="P116" s="233"/>
      <c r="Q116" s="233"/>
      <c r="R116" s="231">
        <f t="shared" si="39"/>
        <v>56.81818181818182</v>
      </c>
      <c r="S116" s="231">
        <f t="shared" si="40"/>
        <v>62.5</v>
      </c>
      <c r="T116" s="231">
        <f t="shared" si="41"/>
        <v>54.347826086956523</v>
      </c>
      <c r="U116" s="231">
        <f t="shared" si="42"/>
        <v>69.444444444444443</v>
      </c>
      <c r="V116" s="231">
        <f t="shared" si="43"/>
        <v>56.81818181818182</v>
      </c>
      <c r="W116" s="231">
        <f t="shared" si="44"/>
        <v>59.523809523809526</v>
      </c>
      <c r="X116" s="231">
        <f t="shared" si="45"/>
        <v>62.5</v>
      </c>
      <c r="Y116" s="231">
        <f t="shared" si="46"/>
        <v>56.81818181818182</v>
      </c>
      <c r="Z116" s="231">
        <f t="shared" si="47"/>
        <v>0</v>
      </c>
      <c r="AA116" s="231"/>
      <c r="AB116" s="231"/>
      <c r="AC116" s="231"/>
      <c r="AD116" s="230">
        <f t="shared" si="55"/>
        <v>511.36363636363637</v>
      </c>
      <c r="AE116" s="230">
        <f t="shared" si="48"/>
        <v>0</v>
      </c>
      <c r="AF116" s="230">
        <f t="shared" si="49"/>
        <v>434.78260869565219</v>
      </c>
      <c r="AG116" s="230">
        <f t="shared" si="50"/>
        <v>0</v>
      </c>
      <c r="AH116" s="230">
        <f t="shared" si="51"/>
        <v>0</v>
      </c>
      <c r="AI116" s="230">
        <f t="shared" si="52"/>
        <v>0</v>
      </c>
      <c r="AJ116" s="230">
        <f t="shared" si="53"/>
        <v>0</v>
      </c>
      <c r="AK116" s="230">
        <f t="shared" si="54"/>
        <v>0</v>
      </c>
      <c r="AL116" s="230">
        <f t="shared" si="54"/>
        <v>0</v>
      </c>
      <c r="AM116" s="230">
        <f t="shared" si="54"/>
        <v>0</v>
      </c>
      <c r="AN116" s="230">
        <f t="shared" si="54"/>
        <v>0</v>
      </c>
      <c r="AO116" s="230">
        <f t="shared" si="29"/>
        <v>0</v>
      </c>
    </row>
    <row r="117" spans="1:41" ht="15.75" customHeight="1" x14ac:dyDescent="0.25">
      <c r="A117" s="251" t="s">
        <v>767</v>
      </c>
      <c r="B117" s="251" t="s">
        <v>28</v>
      </c>
      <c r="C117" s="251" t="s">
        <v>78</v>
      </c>
      <c r="D117" s="251" t="s">
        <v>79</v>
      </c>
      <c r="E117" s="251" t="s">
        <v>164</v>
      </c>
      <c r="F117" s="233">
        <f t="shared" si="30"/>
        <v>0</v>
      </c>
      <c r="G117" s="233">
        <f t="shared" si="31"/>
        <v>0</v>
      </c>
      <c r="H117" s="233">
        <f t="shared" si="32"/>
        <v>52</v>
      </c>
      <c r="I117" s="233">
        <f t="shared" si="33"/>
        <v>0</v>
      </c>
      <c r="J117" s="233">
        <f t="shared" si="34"/>
        <v>0</v>
      </c>
      <c r="K117" s="233">
        <f t="shared" si="35"/>
        <v>0</v>
      </c>
      <c r="L117" s="233">
        <f t="shared" si="36"/>
        <v>0</v>
      </c>
      <c r="M117" s="233">
        <f t="shared" si="37"/>
        <v>0</v>
      </c>
      <c r="N117" s="233">
        <f t="shared" si="38"/>
        <v>0</v>
      </c>
      <c r="O117" s="233">
        <f>IFERROR(VLOOKUP(A117,TOTAL_HORAS,79,FALSE),0)</f>
        <v>0</v>
      </c>
      <c r="P117" s="233"/>
      <c r="Q117" s="233"/>
      <c r="R117" s="231">
        <f t="shared" si="39"/>
        <v>56.81818181818182</v>
      </c>
      <c r="S117" s="231">
        <f t="shared" si="40"/>
        <v>62.5</v>
      </c>
      <c r="T117" s="231">
        <f t="shared" si="41"/>
        <v>54.347826086956523</v>
      </c>
      <c r="U117" s="231">
        <f t="shared" si="42"/>
        <v>69.444444444444443</v>
      </c>
      <c r="V117" s="231">
        <f t="shared" si="43"/>
        <v>56.81818181818182</v>
      </c>
      <c r="W117" s="231">
        <f t="shared" si="44"/>
        <v>59.523809523809526</v>
      </c>
      <c r="X117" s="231">
        <f t="shared" si="45"/>
        <v>62.5</v>
      </c>
      <c r="Y117" s="231">
        <f t="shared" si="46"/>
        <v>56.81818181818182</v>
      </c>
      <c r="Z117" s="231">
        <f t="shared" si="47"/>
        <v>0</v>
      </c>
      <c r="AA117" s="231"/>
      <c r="AB117" s="231"/>
      <c r="AC117" s="231"/>
      <c r="AD117" s="230">
        <f t="shared" si="55"/>
        <v>0</v>
      </c>
      <c r="AE117" s="230">
        <f t="shared" si="48"/>
        <v>0</v>
      </c>
      <c r="AF117" s="230">
        <f t="shared" si="49"/>
        <v>2826.086956521739</v>
      </c>
      <c r="AG117" s="230">
        <f t="shared" si="50"/>
        <v>0</v>
      </c>
      <c r="AH117" s="230">
        <f t="shared" si="51"/>
        <v>0</v>
      </c>
      <c r="AI117" s="230">
        <f t="shared" si="52"/>
        <v>0</v>
      </c>
      <c r="AJ117" s="230">
        <f t="shared" si="53"/>
        <v>0</v>
      </c>
      <c r="AK117" s="230">
        <f t="shared" si="54"/>
        <v>0</v>
      </c>
      <c r="AL117" s="230">
        <f t="shared" si="54"/>
        <v>0</v>
      </c>
      <c r="AM117" s="230">
        <f t="shared" si="54"/>
        <v>0</v>
      </c>
      <c r="AN117" s="230">
        <f t="shared" si="54"/>
        <v>0</v>
      </c>
      <c r="AO117" s="230">
        <f t="shared" si="29"/>
        <v>0</v>
      </c>
    </row>
    <row r="118" spans="1:41" ht="15.75" customHeight="1" x14ac:dyDescent="0.25">
      <c r="A118" s="251" t="s">
        <v>768</v>
      </c>
      <c r="B118" s="251" t="s">
        <v>28</v>
      </c>
      <c r="C118" s="251" t="s">
        <v>93</v>
      </c>
      <c r="D118" s="251" t="s">
        <v>94</v>
      </c>
      <c r="E118" s="251" t="s">
        <v>116</v>
      </c>
      <c r="F118" s="233">
        <f t="shared" si="30"/>
        <v>35</v>
      </c>
      <c r="G118" s="233">
        <f t="shared" si="31"/>
        <v>0</v>
      </c>
      <c r="H118" s="233">
        <f t="shared" si="32"/>
        <v>0</v>
      </c>
      <c r="I118" s="233">
        <f t="shared" si="33"/>
        <v>0</v>
      </c>
      <c r="J118" s="233">
        <f t="shared" si="34"/>
        <v>0</v>
      </c>
      <c r="K118" s="233">
        <f t="shared" si="35"/>
        <v>0</v>
      </c>
      <c r="L118" s="233">
        <f t="shared" si="36"/>
        <v>0</v>
      </c>
      <c r="M118" s="233">
        <f t="shared" si="37"/>
        <v>0</v>
      </c>
      <c r="N118" s="233">
        <f t="shared" si="38"/>
        <v>0</v>
      </c>
      <c r="O118" s="233">
        <f>IFERROR(VLOOKUP(A118,TOTAL_HORAS,79,FALSE),0)</f>
        <v>0</v>
      </c>
      <c r="P118" s="233"/>
      <c r="Q118" s="233"/>
      <c r="R118" s="231">
        <f t="shared" si="39"/>
        <v>56.81818181818182</v>
      </c>
      <c r="S118" s="231">
        <f t="shared" si="40"/>
        <v>62.5</v>
      </c>
      <c r="T118" s="231">
        <f t="shared" si="41"/>
        <v>54.347826086956523</v>
      </c>
      <c r="U118" s="231">
        <f t="shared" si="42"/>
        <v>69.444444444444443</v>
      </c>
      <c r="V118" s="231">
        <f t="shared" si="43"/>
        <v>56.81818181818182</v>
      </c>
      <c r="W118" s="231">
        <f t="shared" si="44"/>
        <v>59.523809523809526</v>
      </c>
      <c r="X118" s="231">
        <f t="shared" si="45"/>
        <v>62.5</v>
      </c>
      <c r="Y118" s="231">
        <f t="shared" si="46"/>
        <v>56.81818181818182</v>
      </c>
      <c r="Z118" s="231">
        <f t="shared" si="47"/>
        <v>0</v>
      </c>
      <c r="AA118" s="231"/>
      <c r="AB118" s="231"/>
      <c r="AC118" s="231"/>
      <c r="AD118" s="230">
        <f t="shared" si="55"/>
        <v>1988.6363636363637</v>
      </c>
      <c r="AE118" s="230">
        <f t="shared" si="48"/>
        <v>0</v>
      </c>
      <c r="AF118" s="230">
        <f t="shared" si="49"/>
        <v>0</v>
      </c>
      <c r="AG118" s="230">
        <f t="shared" si="50"/>
        <v>0</v>
      </c>
      <c r="AH118" s="230">
        <f t="shared" si="51"/>
        <v>0</v>
      </c>
      <c r="AI118" s="230">
        <f t="shared" si="52"/>
        <v>0</v>
      </c>
      <c r="AJ118" s="230">
        <f t="shared" si="53"/>
        <v>0</v>
      </c>
      <c r="AK118" s="230">
        <f t="shared" si="54"/>
        <v>0</v>
      </c>
      <c r="AL118" s="230">
        <f t="shared" si="54"/>
        <v>0</v>
      </c>
      <c r="AM118" s="230">
        <f t="shared" si="54"/>
        <v>0</v>
      </c>
      <c r="AN118" s="230">
        <f t="shared" si="54"/>
        <v>0</v>
      </c>
      <c r="AO118" s="230">
        <f t="shared" si="29"/>
        <v>0</v>
      </c>
    </row>
    <row r="119" spans="1:41" ht="15.75" customHeight="1" x14ac:dyDescent="0.25">
      <c r="A119" s="251" t="s">
        <v>769</v>
      </c>
      <c r="B119" s="251" t="s">
        <v>28</v>
      </c>
      <c r="C119" s="251" t="s">
        <v>89</v>
      </c>
      <c r="D119" s="251" t="s">
        <v>90</v>
      </c>
      <c r="E119" s="251" t="s">
        <v>113</v>
      </c>
      <c r="F119" s="233">
        <f t="shared" si="30"/>
        <v>35</v>
      </c>
      <c r="G119" s="233">
        <f t="shared" si="31"/>
        <v>0</v>
      </c>
      <c r="H119" s="233">
        <f t="shared" si="32"/>
        <v>0</v>
      </c>
      <c r="I119" s="233">
        <f t="shared" si="33"/>
        <v>0</v>
      </c>
      <c r="J119" s="233">
        <f t="shared" si="34"/>
        <v>0</v>
      </c>
      <c r="K119" s="233">
        <f t="shared" si="35"/>
        <v>0</v>
      </c>
      <c r="L119" s="233">
        <f t="shared" si="36"/>
        <v>0</v>
      </c>
      <c r="M119" s="233">
        <f t="shared" si="37"/>
        <v>0</v>
      </c>
      <c r="N119" s="233">
        <f t="shared" si="38"/>
        <v>0</v>
      </c>
      <c r="O119" s="233">
        <f>IFERROR(VLOOKUP(A119,TOTAL_HORAS,79,FALSE),0)</f>
        <v>0</v>
      </c>
      <c r="P119" s="233"/>
      <c r="Q119" s="233"/>
      <c r="R119" s="231">
        <f t="shared" si="39"/>
        <v>56.81818181818182</v>
      </c>
      <c r="S119" s="231">
        <f t="shared" si="40"/>
        <v>62.5</v>
      </c>
      <c r="T119" s="231">
        <f t="shared" si="41"/>
        <v>54.347826086956523</v>
      </c>
      <c r="U119" s="231">
        <f t="shared" si="42"/>
        <v>69.444444444444443</v>
      </c>
      <c r="V119" s="231">
        <f t="shared" si="43"/>
        <v>56.81818181818182</v>
      </c>
      <c r="W119" s="231">
        <f t="shared" si="44"/>
        <v>59.523809523809526</v>
      </c>
      <c r="X119" s="231">
        <f t="shared" si="45"/>
        <v>62.5</v>
      </c>
      <c r="Y119" s="231">
        <f t="shared" si="46"/>
        <v>56.81818181818182</v>
      </c>
      <c r="Z119" s="231">
        <f t="shared" si="47"/>
        <v>0</v>
      </c>
      <c r="AA119" s="231"/>
      <c r="AB119" s="231"/>
      <c r="AC119" s="231"/>
      <c r="AD119" s="230">
        <f t="shared" si="55"/>
        <v>1988.6363636363637</v>
      </c>
      <c r="AE119" s="230">
        <f t="shared" si="48"/>
        <v>0</v>
      </c>
      <c r="AF119" s="230">
        <f t="shared" si="49"/>
        <v>0</v>
      </c>
      <c r="AG119" s="230">
        <f t="shared" si="50"/>
        <v>0</v>
      </c>
      <c r="AH119" s="230">
        <f t="shared" si="51"/>
        <v>0</v>
      </c>
      <c r="AI119" s="230">
        <f t="shared" si="52"/>
        <v>0</v>
      </c>
      <c r="AJ119" s="230">
        <f t="shared" si="53"/>
        <v>0</v>
      </c>
      <c r="AK119" s="230">
        <f t="shared" si="54"/>
        <v>0</v>
      </c>
      <c r="AL119" s="230">
        <f t="shared" si="54"/>
        <v>0</v>
      </c>
      <c r="AM119" s="230">
        <f t="shared" si="54"/>
        <v>0</v>
      </c>
      <c r="AN119" s="230">
        <f t="shared" si="54"/>
        <v>0</v>
      </c>
      <c r="AO119" s="230">
        <f t="shared" si="29"/>
        <v>0</v>
      </c>
    </row>
    <row r="120" spans="1:41" ht="15.75" customHeight="1" x14ac:dyDescent="0.25">
      <c r="A120" s="251" t="s">
        <v>770</v>
      </c>
      <c r="B120" s="251" t="s">
        <v>28</v>
      </c>
      <c r="C120" s="251" t="s">
        <v>89</v>
      </c>
      <c r="D120" s="251" t="s">
        <v>95</v>
      </c>
      <c r="E120" s="251" t="s">
        <v>165</v>
      </c>
      <c r="F120" s="233">
        <f t="shared" si="30"/>
        <v>9</v>
      </c>
      <c r="G120" s="233">
        <f t="shared" si="31"/>
        <v>70</v>
      </c>
      <c r="H120" s="233">
        <f t="shared" si="32"/>
        <v>0</v>
      </c>
      <c r="I120" s="233">
        <f t="shared" si="33"/>
        <v>0</v>
      </c>
      <c r="J120" s="233">
        <f t="shared" si="34"/>
        <v>0</v>
      </c>
      <c r="K120" s="233">
        <f t="shared" si="35"/>
        <v>0</v>
      </c>
      <c r="L120" s="233">
        <f t="shared" si="36"/>
        <v>0</v>
      </c>
      <c r="M120" s="233">
        <f t="shared" si="37"/>
        <v>0</v>
      </c>
      <c r="N120" s="233">
        <f t="shared" si="38"/>
        <v>0</v>
      </c>
      <c r="O120" s="233">
        <f>IFERROR(VLOOKUP(A120,TOTAL_HORAS,79,FALSE),0)</f>
        <v>0</v>
      </c>
      <c r="P120" s="233"/>
      <c r="Q120" s="233"/>
      <c r="R120" s="231">
        <f t="shared" si="39"/>
        <v>56.81818181818182</v>
      </c>
      <c r="S120" s="231">
        <f t="shared" si="40"/>
        <v>62.5</v>
      </c>
      <c r="T120" s="231">
        <f t="shared" si="41"/>
        <v>54.347826086956523</v>
      </c>
      <c r="U120" s="231">
        <f t="shared" si="42"/>
        <v>69.444444444444443</v>
      </c>
      <c r="V120" s="231">
        <f t="shared" si="43"/>
        <v>56.81818181818182</v>
      </c>
      <c r="W120" s="231">
        <f t="shared" si="44"/>
        <v>59.523809523809526</v>
      </c>
      <c r="X120" s="231">
        <f t="shared" si="45"/>
        <v>62.5</v>
      </c>
      <c r="Y120" s="231">
        <f t="shared" si="46"/>
        <v>56.81818181818182</v>
      </c>
      <c r="Z120" s="231">
        <f t="shared" si="47"/>
        <v>0</v>
      </c>
      <c r="AA120" s="231"/>
      <c r="AB120" s="231"/>
      <c r="AC120" s="231"/>
      <c r="AD120" s="230">
        <f t="shared" si="55"/>
        <v>511.36363636363637</v>
      </c>
      <c r="AE120" s="230">
        <f t="shared" si="48"/>
        <v>4375</v>
      </c>
      <c r="AF120" s="230">
        <f t="shared" si="49"/>
        <v>0</v>
      </c>
      <c r="AG120" s="230">
        <f t="shared" si="50"/>
        <v>0</v>
      </c>
      <c r="AH120" s="230">
        <f t="shared" si="51"/>
        <v>0</v>
      </c>
      <c r="AI120" s="230">
        <f t="shared" si="52"/>
        <v>0</v>
      </c>
      <c r="AJ120" s="230">
        <f t="shared" si="53"/>
        <v>0</v>
      </c>
      <c r="AK120" s="230">
        <f t="shared" si="54"/>
        <v>0</v>
      </c>
      <c r="AL120" s="230">
        <f t="shared" si="54"/>
        <v>0</v>
      </c>
      <c r="AM120" s="230">
        <f t="shared" si="54"/>
        <v>0</v>
      </c>
      <c r="AN120" s="230">
        <f t="shared" si="54"/>
        <v>0</v>
      </c>
      <c r="AO120" s="230">
        <f t="shared" si="29"/>
        <v>0</v>
      </c>
    </row>
    <row r="121" spans="1:41" ht="15.75" customHeight="1" x14ac:dyDescent="0.25">
      <c r="A121" s="251" t="s">
        <v>771</v>
      </c>
      <c r="B121" s="251" t="s">
        <v>28</v>
      </c>
      <c r="C121" s="251" t="s">
        <v>78</v>
      </c>
      <c r="D121" s="251" t="s">
        <v>221</v>
      </c>
      <c r="E121" s="251" t="s">
        <v>222</v>
      </c>
      <c r="F121" s="233">
        <f t="shared" si="30"/>
        <v>0</v>
      </c>
      <c r="G121" s="233">
        <f t="shared" si="31"/>
        <v>0</v>
      </c>
      <c r="H121" s="233">
        <f t="shared" si="32"/>
        <v>0</v>
      </c>
      <c r="I121" s="233">
        <f t="shared" si="33"/>
        <v>0</v>
      </c>
      <c r="J121" s="233">
        <f t="shared" si="34"/>
        <v>0</v>
      </c>
      <c r="K121" s="233">
        <f t="shared" si="35"/>
        <v>24</v>
      </c>
      <c r="L121" s="233">
        <f t="shared" si="36"/>
        <v>0</v>
      </c>
      <c r="M121" s="233">
        <f t="shared" si="37"/>
        <v>0</v>
      </c>
      <c r="N121" s="233">
        <f t="shared" si="38"/>
        <v>0</v>
      </c>
      <c r="O121" s="233">
        <f>IFERROR(VLOOKUP(A121,TOTAL_HORAS,79,FALSE),0)</f>
        <v>0</v>
      </c>
      <c r="P121" s="233"/>
      <c r="Q121" s="233"/>
      <c r="R121" s="231">
        <f t="shared" si="39"/>
        <v>56.81818181818182</v>
      </c>
      <c r="S121" s="231">
        <f t="shared" si="40"/>
        <v>62.5</v>
      </c>
      <c r="T121" s="231">
        <f t="shared" si="41"/>
        <v>54.347826086956523</v>
      </c>
      <c r="U121" s="231">
        <f t="shared" si="42"/>
        <v>69.444444444444443</v>
      </c>
      <c r="V121" s="231">
        <f t="shared" si="43"/>
        <v>56.81818181818182</v>
      </c>
      <c r="W121" s="231">
        <f t="shared" si="44"/>
        <v>59.523809523809526</v>
      </c>
      <c r="X121" s="231">
        <f t="shared" si="45"/>
        <v>62.5</v>
      </c>
      <c r="Y121" s="231">
        <f t="shared" si="46"/>
        <v>56.81818181818182</v>
      </c>
      <c r="Z121" s="231">
        <f t="shared" si="47"/>
        <v>0</v>
      </c>
      <c r="AA121" s="231"/>
      <c r="AB121" s="231"/>
      <c r="AC121" s="231"/>
      <c r="AD121" s="230">
        <f t="shared" si="55"/>
        <v>0</v>
      </c>
      <c r="AE121" s="230">
        <f t="shared" si="48"/>
        <v>0</v>
      </c>
      <c r="AF121" s="230">
        <f t="shared" si="49"/>
        <v>0</v>
      </c>
      <c r="AG121" s="230">
        <f t="shared" si="50"/>
        <v>0</v>
      </c>
      <c r="AH121" s="230">
        <f t="shared" si="51"/>
        <v>0</v>
      </c>
      <c r="AI121" s="230">
        <f t="shared" si="52"/>
        <v>1428.5714285714287</v>
      </c>
      <c r="AJ121" s="230">
        <f t="shared" si="53"/>
        <v>0</v>
      </c>
      <c r="AK121" s="230">
        <f t="shared" si="54"/>
        <v>0</v>
      </c>
      <c r="AL121" s="230">
        <f t="shared" si="54"/>
        <v>0</v>
      </c>
      <c r="AM121" s="230">
        <f t="shared" si="54"/>
        <v>0</v>
      </c>
      <c r="AN121" s="230">
        <f t="shared" si="54"/>
        <v>0</v>
      </c>
      <c r="AO121" s="230">
        <f t="shared" si="29"/>
        <v>0</v>
      </c>
    </row>
    <row r="122" spans="1:41" ht="15.75" customHeight="1" x14ac:dyDescent="0.25">
      <c r="A122" s="251" t="s">
        <v>772</v>
      </c>
      <c r="B122" s="251" t="s">
        <v>428</v>
      </c>
      <c r="C122" s="251" t="s">
        <v>50</v>
      </c>
      <c r="D122" s="251" t="s">
        <v>639</v>
      </c>
      <c r="E122" s="251" t="s">
        <v>409</v>
      </c>
      <c r="F122" s="233">
        <f t="shared" si="30"/>
        <v>0</v>
      </c>
      <c r="G122" s="233">
        <f t="shared" si="31"/>
        <v>0</v>
      </c>
      <c r="H122" s="233">
        <f t="shared" si="32"/>
        <v>0</v>
      </c>
      <c r="I122" s="233">
        <f t="shared" si="33"/>
        <v>0</v>
      </c>
      <c r="J122" s="233">
        <f t="shared" si="34"/>
        <v>0</v>
      </c>
      <c r="K122" s="233">
        <f t="shared" si="35"/>
        <v>0</v>
      </c>
      <c r="L122" s="233">
        <f t="shared" si="36"/>
        <v>72</v>
      </c>
      <c r="M122" s="233">
        <f t="shared" si="37"/>
        <v>0</v>
      </c>
      <c r="N122" s="233">
        <f t="shared" si="38"/>
        <v>0</v>
      </c>
      <c r="O122" s="233">
        <f>IFERROR(VLOOKUP(A122,TOTAL_HORAS,79,FALSE),0)</f>
        <v>0</v>
      </c>
      <c r="P122" s="233"/>
      <c r="Q122" s="233"/>
      <c r="R122" s="231">
        <f t="shared" si="39"/>
        <v>0</v>
      </c>
      <c r="S122" s="231">
        <f t="shared" si="40"/>
        <v>0</v>
      </c>
      <c r="T122" s="231">
        <f t="shared" si="41"/>
        <v>0</v>
      </c>
      <c r="U122" s="231">
        <f t="shared" si="42"/>
        <v>0</v>
      </c>
      <c r="V122" s="231">
        <f t="shared" si="43"/>
        <v>33.238636363636367</v>
      </c>
      <c r="W122" s="231">
        <f t="shared" si="44"/>
        <v>34.821428571428569</v>
      </c>
      <c r="X122" s="231">
        <f t="shared" si="45"/>
        <v>36.5625</v>
      </c>
      <c r="Y122" s="231">
        <f t="shared" si="46"/>
        <v>31.25</v>
      </c>
      <c r="Z122" s="231">
        <f t="shared" si="47"/>
        <v>0</v>
      </c>
      <c r="AA122" s="231"/>
      <c r="AB122" s="231"/>
      <c r="AC122" s="231"/>
      <c r="AD122" s="230">
        <f t="shared" si="55"/>
        <v>0</v>
      </c>
      <c r="AE122" s="230">
        <f t="shared" si="48"/>
        <v>0</v>
      </c>
      <c r="AF122" s="230">
        <f t="shared" si="49"/>
        <v>0</v>
      </c>
      <c r="AG122" s="230">
        <f t="shared" si="50"/>
        <v>0</v>
      </c>
      <c r="AH122" s="230">
        <f t="shared" si="51"/>
        <v>0</v>
      </c>
      <c r="AI122" s="230">
        <f t="shared" si="52"/>
        <v>0</v>
      </c>
      <c r="AJ122" s="230">
        <f t="shared" si="53"/>
        <v>2632.5</v>
      </c>
      <c r="AK122" s="230">
        <f t="shared" si="54"/>
        <v>0</v>
      </c>
      <c r="AL122" s="230">
        <f t="shared" si="54"/>
        <v>0</v>
      </c>
      <c r="AM122" s="230">
        <f t="shared" si="54"/>
        <v>0</v>
      </c>
      <c r="AN122" s="230">
        <f t="shared" si="54"/>
        <v>0</v>
      </c>
      <c r="AO122" s="230">
        <f t="shared" si="29"/>
        <v>0</v>
      </c>
    </row>
    <row r="123" spans="1:41" ht="16.5" customHeight="1" x14ac:dyDescent="0.25">
      <c r="A123" s="251" t="s">
        <v>773</v>
      </c>
      <c r="B123" s="251" t="s">
        <v>230</v>
      </c>
      <c r="C123" s="251" t="s">
        <v>227</v>
      </c>
      <c r="D123" s="251" t="s">
        <v>228</v>
      </c>
      <c r="E123" s="251" t="s">
        <v>229</v>
      </c>
      <c r="F123" s="233">
        <f t="shared" si="30"/>
        <v>0</v>
      </c>
      <c r="G123" s="233">
        <f t="shared" si="31"/>
        <v>0</v>
      </c>
      <c r="H123" s="233">
        <f t="shared" si="32"/>
        <v>0</v>
      </c>
      <c r="I123" s="233">
        <f t="shared" si="33"/>
        <v>0</v>
      </c>
      <c r="J123" s="233">
        <f t="shared" si="34"/>
        <v>0</v>
      </c>
      <c r="K123" s="233">
        <f t="shared" si="35"/>
        <v>152</v>
      </c>
      <c r="L123" s="233">
        <f t="shared" si="36"/>
        <v>152</v>
      </c>
      <c r="M123" s="233">
        <f t="shared" si="37"/>
        <v>0</v>
      </c>
      <c r="N123" s="233">
        <f t="shared" si="38"/>
        <v>0</v>
      </c>
      <c r="O123" s="233">
        <f>IFERROR(VLOOKUP(A123,TOTAL_HORAS,79,FALSE),0)</f>
        <v>0</v>
      </c>
      <c r="P123" s="233"/>
      <c r="Q123" s="233"/>
      <c r="R123" s="231">
        <f t="shared" si="39"/>
        <v>0</v>
      </c>
      <c r="S123" s="231">
        <f t="shared" si="40"/>
        <v>0</v>
      </c>
      <c r="T123" s="231">
        <f t="shared" si="41"/>
        <v>0</v>
      </c>
      <c r="U123" s="231">
        <f t="shared" si="42"/>
        <v>0</v>
      </c>
      <c r="V123" s="231">
        <f t="shared" si="43"/>
        <v>0</v>
      </c>
      <c r="W123" s="231">
        <f t="shared" si="44"/>
        <v>0</v>
      </c>
      <c r="X123" s="231">
        <f t="shared" si="45"/>
        <v>0</v>
      </c>
      <c r="Y123" s="231">
        <f t="shared" si="46"/>
        <v>0</v>
      </c>
      <c r="Z123" s="231">
        <f t="shared" si="47"/>
        <v>0</v>
      </c>
      <c r="AA123" s="231"/>
      <c r="AB123" s="231"/>
      <c r="AC123" s="231"/>
      <c r="AD123" s="230">
        <f t="shared" si="55"/>
        <v>0</v>
      </c>
      <c r="AE123" s="230">
        <f t="shared" si="48"/>
        <v>0</v>
      </c>
      <c r="AF123" s="230">
        <f t="shared" si="49"/>
        <v>0</v>
      </c>
      <c r="AG123" s="230">
        <f t="shared" si="50"/>
        <v>0</v>
      </c>
      <c r="AH123" s="230">
        <f t="shared" si="51"/>
        <v>0</v>
      </c>
      <c r="AI123" s="230">
        <f t="shared" si="52"/>
        <v>0</v>
      </c>
      <c r="AJ123" s="230">
        <f t="shared" si="53"/>
        <v>0</v>
      </c>
      <c r="AK123" s="230">
        <f t="shared" si="54"/>
        <v>0</v>
      </c>
      <c r="AL123" s="230">
        <f t="shared" si="54"/>
        <v>0</v>
      </c>
      <c r="AM123" s="230">
        <f t="shared" si="54"/>
        <v>0</v>
      </c>
      <c r="AN123" s="230">
        <f t="shared" si="54"/>
        <v>0</v>
      </c>
      <c r="AO123" s="230">
        <f t="shared" si="29"/>
        <v>0</v>
      </c>
    </row>
    <row r="124" spans="1:41" ht="15.75" customHeight="1" x14ac:dyDescent="0.25">
      <c r="A124" s="251" t="s">
        <v>774</v>
      </c>
      <c r="B124" s="251" t="s">
        <v>28</v>
      </c>
      <c r="C124" s="251" t="s">
        <v>46</v>
      </c>
      <c r="D124" s="251" t="s">
        <v>46</v>
      </c>
      <c r="E124" s="251" t="s">
        <v>132</v>
      </c>
      <c r="F124" s="233">
        <f t="shared" si="30"/>
        <v>0</v>
      </c>
      <c r="G124" s="233">
        <f t="shared" si="31"/>
        <v>0</v>
      </c>
      <c r="H124" s="233">
        <f t="shared" si="32"/>
        <v>0</v>
      </c>
      <c r="I124" s="233">
        <f t="shared" si="33"/>
        <v>0</v>
      </c>
      <c r="J124" s="233">
        <f t="shared" si="34"/>
        <v>144</v>
      </c>
      <c r="K124" s="233">
        <f t="shared" si="35"/>
        <v>104</v>
      </c>
      <c r="L124" s="233">
        <f t="shared" si="36"/>
        <v>92</v>
      </c>
      <c r="M124" s="233">
        <f t="shared" si="37"/>
        <v>64</v>
      </c>
      <c r="N124" s="233">
        <f t="shared" si="38"/>
        <v>0</v>
      </c>
      <c r="O124" s="233">
        <f>IFERROR(VLOOKUP(A124,TOTAL_HORAS,79,FALSE),0)</f>
        <v>0</v>
      </c>
      <c r="P124" s="233"/>
      <c r="Q124" s="233"/>
      <c r="R124" s="231">
        <f t="shared" si="39"/>
        <v>56.81818181818182</v>
      </c>
      <c r="S124" s="231">
        <f t="shared" si="40"/>
        <v>62.5</v>
      </c>
      <c r="T124" s="231">
        <f t="shared" si="41"/>
        <v>54.347826086956523</v>
      </c>
      <c r="U124" s="231">
        <f t="shared" si="42"/>
        <v>69.444444444444443</v>
      </c>
      <c r="V124" s="231">
        <f t="shared" si="43"/>
        <v>56.81818181818182</v>
      </c>
      <c r="W124" s="231">
        <f t="shared" si="44"/>
        <v>59.523809523809526</v>
      </c>
      <c r="X124" s="231">
        <f t="shared" si="45"/>
        <v>62.5</v>
      </c>
      <c r="Y124" s="231">
        <f t="shared" si="46"/>
        <v>56.81818181818182</v>
      </c>
      <c r="Z124" s="231">
        <f t="shared" si="47"/>
        <v>0</v>
      </c>
      <c r="AA124" s="231"/>
      <c r="AB124" s="231"/>
      <c r="AC124" s="231"/>
      <c r="AD124" s="230">
        <f t="shared" si="55"/>
        <v>0</v>
      </c>
      <c r="AE124" s="230">
        <f t="shared" si="48"/>
        <v>0</v>
      </c>
      <c r="AF124" s="230">
        <f t="shared" si="49"/>
        <v>0</v>
      </c>
      <c r="AG124" s="230">
        <f t="shared" si="50"/>
        <v>0</v>
      </c>
      <c r="AH124" s="230">
        <f t="shared" si="51"/>
        <v>8181.818181818182</v>
      </c>
      <c r="AI124" s="230">
        <f t="shared" si="52"/>
        <v>6190.4761904761908</v>
      </c>
      <c r="AJ124" s="230">
        <f t="shared" si="53"/>
        <v>5750</v>
      </c>
      <c r="AK124" s="230">
        <f t="shared" si="54"/>
        <v>3636.3636363636365</v>
      </c>
      <c r="AL124" s="230">
        <f t="shared" si="54"/>
        <v>0</v>
      </c>
      <c r="AM124" s="230">
        <f t="shared" si="54"/>
        <v>0</v>
      </c>
      <c r="AN124" s="230">
        <f t="shared" si="54"/>
        <v>0</v>
      </c>
      <c r="AO124" s="230">
        <f t="shared" si="29"/>
        <v>0</v>
      </c>
    </row>
    <row r="125" spans="1:41" ht="15.75" customHeight="1" x14ac:dyDescent="0.25">
      <c r="A125" s="251" t="s">
        <v>775</v>
      </c>
      <c r="B125" s="251" t="s">
        <v>28</v>
      </c>
      <c r="C125" s="251" t="s">
        <v>208</v>
      </c>
      <c r="D125" s="251" t="s">
        <v>208</v>
      </c>
      <c r="E125" s="251" t="s">
        <v>210</v>
      </c>
      <c r="F125" s="233">
        <f t="shared" si="30"/>
        <v>0</v>
      </c>
      <c r="G125" s="233">
        <f t="shared" si="31"/>
        <v>0</v>
      </c>
      <c r="H125" s="233">
        <f t="shared" si="32"/>
        <v>0</v>
      </c>
      <c r="I125" s="233">
        <f t="shared" si="33"/>
        <v>0</v>
      </c>
      <c r="J125" s="233">
        <f t="shared" si="34"/>
        <v>0</v>
      </c>
      <c r="K125" s="233">
        <f t="shared" si="35"/>
        <v>40</v>
      </c>
      <c r="L125" s="233">
        <f t="shared" si="36"/>
        <v>0</v>
      </c>
      <c r="M125" s="233">
        <f t="shared" si="37"/>
        <v>0</v>
      </c>
      <c r="N125" s="233">
        <f t="shared" si="38"/>
        <v>0</v>
      </c>
      <c r="O125" s="233">
        <f>IFERROR(VLOOKUP(A125,TOTAL_HORAS,79,FALSE),0)</f>
        <v>0</v>
      </c>
      <c r="P125" s="233"/>
      <c r="Q125" s="233"/>
      <c r="R125" s="231">
        <f t="shared" si="39"/>
        <v>56.81818181818182</v>
      </c>
      <c r="S125" s="231">
        <f t="shared" si="40"/>
        <v>62.5</v>
      </c>
      <c r="T125" s="231">
        <f t="shared" si="41"/>
        <v>54.347826086956523</v>
      </c>
      <c r="U125" s="231">
        <f t="shared" si="42"/>
        <v>69.444444444444443</v>
      </c>
      <c r="V125" s="231">
        <f t="shared" si="43"/>
        <v>56.81818181818182</v>
      </c>
      <c r="W125" s="231">
        <f t="shared" si="44"/>
        <v>59.523809523809526</v>
      </c>
      <c r="X125" s="231">
        <f t="shared" si="45"/>
        <v>62.5</v>
      </c>
      <c r="Y125" s="231">
        <f t="shared" si="46"/>
        <v>56.81818181818182</v>
      </c>
      <c r="Z125" s="231">
        <f t="shared" si="47"/>
        <v>0</v>
      </c>
      <c r="AA125" s="231"/>
      <c r="AB125" s="231"/>
      <c r="AC125" s="231"/>
      <c r="AD125" s="230">
        <f t="shared" si="55"/>
        <v>0</v>
      </c>
      <c r="AE125" s="230">
        <f t="shared" si="48"/>
        <v>0</v>
      </c>
      <c r="AF125" s="230">
        <f t="shared" si="49"/>
        <v>0</v>
      </c>
      <c r="AG125" s="230">
        <f t="shared" si="50"/>
        <v>0</v>
      </c>
      <c r="AH125" s="230">
        <f t="shared" si="51"/>
        <v>0</v>
      </c>
      <c r="AI125" s="230">
        <f t="shared" si="52"/>
        <v>2380.9523809523812</v>
      </c>
      <c r="AJ125" s="230">
        <f t="shared" si="53"/>
        <v>0</v>
      </c>
      <c r="AK125" s="230">
        <f t="shared" si="54"/>
        <v>0</v>
      </c>
      <c r="AL125" s="230">
        <f t="shared" si="54"/>
        <v>0</v>
      </c>
      <c r="AM125" s="230">
        <f t="shared" si="54"/>
        <v>0</v>
      </c>
      <c r="AN125" s="230">
        <f t="shared" si="54"/>
        <v>0</v>
      </c>
      <c r="AO125" s="230">
        <f t="shared" ref="AO125:AO187" si="56">Q125*AC125</f>
        <v>0</v>
      </c>
    </row>
    <row r="126" spans="1:41" ht="15.75" customHeight="1" x14ac:dyDescent="0.25">
      <c r="A126" s="251" t="s">
        <v>776</v>
      </c>
      <c r="B126" s="251" t="s">
        <v>28</v>
      </c>
      <c r="C126" s="251" t="s">
        <v>209</v>
      </c>
      <c r="D126" s="251" t="s">
        <v>209</v>
      </c>
      <c r="E126" s="251" t="s">
        <v>243</v>
      </c>
      <c r="F126" s="233">
        <f t="shared" si="30"/>
        <v>88</v>
      </c>
      <c r="G126" s="233">
        <f t="shared" si="31"/>
        <v>90</v>
      </c>
      <c r="H126" s="233">
        <f t="shared" si="32"/>
        <v>0</v>
      </c>
      <c r="I126" s="233">
        <f t="shared" si="33"/>
        <v>0</v>
      </c>
      <c r="J126" s="233">
        <f t="shared" si="34"/>
        <v>0</v>
      </c>
      <c r="K126" s="233">
        <f t="shared" si="35"/>
        <v>0</v>
      </c>
      <c r="L126" s="233">
        <f t="shared" si="36"/>
        <v>0</v>
      </c>
      <c r="M126" s="233">
        <f t="shared" si="37"/>
        <v>64</v>
      </c>
      <c r="N126" s="233">
        <f t="shared" si="38"/>
        <v>168</v>
      </c>
      <c r="O126" s="233">
        <f>IFERROR(VLOOKUP(A126,TOTAL_HORAS,79,FALSE),0)</f>
        <v>0</v>
      </c>
      <c r="P126" s="233"/>
      <c r="Q126" s="233"/>
      <c r="R126" s="231">
        <f t="shared" si="39"/>
        <v>56.81818181818182</v>
      </c>
      <c r="S126" s="231">
        <f t="shared" si="40"/>
        <v>62.5</v>
      </c>
      <c r="T126" s="231">
        <f t="shared" si="41"/>
        <v>54.347826086956523</v>
      </c>
      <c r="U126" s="231">
        <f t="shared" si="42"/>
        <v>69.444444444444443</v>
      </c>
      <c r="V126" s="231">
        <f t="shared" si="43"/>
        <v>56.81818181818182</v>
      </c>
      <c r="W126" s="231">
        <f t="shared" si="44"/>
        <v>59.523809523809526</v>
      </c>
      <c r="X126" s="231">
        <f t="shared" si="45"/>
        <v>62.5</v>
      </c>
      <c r="Y126" s="231">
        <f t="shared" si="46"/>
        <v>56.81818181818182</v>
      </c>
      <c r="Z126" s="231">
        <f t="shared" si="47"/>
        <v>0</v>
      </c>
      <c r="AA126" s="231"/>
      <c r="AB126" s="231"/>
      <c r="AC126" s="231"/>
      <c r="AD126" s="230">
        <f t="shared" si="55"/>
        <v>5000</v>
      </c>
      <c r="AE126" s="230">
        <f t="shared" si="48"/>
        <v>5625</v>
      </c>
      <c r="AF126" s="230">
        <f t="shared" si="49"/>
        <v>0</v>
      </c>
      <c r="AG126" s="230">
        <f t="shared" si="50"/>
        <v>0</v>
      </c>
      <c r="AH126" s="230">
        <f t="shared" si="51"/>
        <v>0</v>
      </c>
      <c r="AI126" s="230">
        <f t="shared" si="52"/>
        <v>0</v>
      </c>
      <c r="AJ126" s="230">
        <f t="shared" si="53"/>
        <v>0</v>
      </c>
      <c r="AK126" s="230">
        <f t="shared" si="54"/>
        <v>3636.3636363636365</v>
      </c>
      <c r="AL126" s="230">
        <f t="shared" si="54"/>
        <v>0</v>
      </c>
      <c r="AM126" s="230">
        <f t="shared" si="54"/>
        <v>0</v>
      </c>
      <c r="AN126" s="230">
        <f t="shared" si="54"/>
        <v>0</v>
      </c>
      <c r="AO126" s="230">
        <f t="shared" si="56"/>
        <v>0</v>
      </c>
    </row>
    <row r="127" spans="1:41" ht="15.75" customHeight="1" x14ac:dyDescent="0.25">
      <c r="A127" s="251" t="s">
        <v>777</v>
      </c>
      <c r="B127" s="251" t="s">
        <v>28</v>
      </c>
      <c r="C127" s="251" t="s">
        <v>75</v>
      </c>
      <c r="D127" s="251" t="s">
        <v>75</v>
      </c>
      <c r="E127" s="251" t="s">
        <v>131</v>
      </c>
      <c r="F127" s="233">
        <f t="shared" si="30"/>
        <v>0</v>
      </c>
      <c r="G127" s="233">
        <f t="shared" si="31"/>
        <v>0</v>
      </c>
      <c r="H127" s="233">
        <f t="shared" si="32"/>
        <v>124</v>
      </c>
      <c r="I127" s="233">
        <f t="shared" si="33"/>
        <v>144</v>
      </c>
      <c r="J127" s="233">
        <f t="shared" si="34"/>
        <v>32</v>
      </c>
      <c r="K127" s="233">
        <f t="shared" si="35"/>
        <v>0</v>
      </c>
      <c r="L127" s="233">
        <f t="shared" si="36"/>
        <v>0</v>
      </c>
      <c r="M127" s="233">
        <f t="shared" si="37"/>
        <v>0</v>
      </c>
      <c r="N127" s="233">
        <f t="shared" si="38"/>
        <v>0</v>
      </c>
      <c r="O127" s="233">
        <f>IFERROR(VLOOKUP(A127,TOTAL_HORAS,79,FALSE),0)</f>
        <v>0</v>
      </c>
      <c r="P127" s="233"/>
      <c r="Q127" s="233"/>
      <c r="R127" s="231">
        <f t="shared" si="39"/>
        <v>56.81818181818182</v>
      </c>
      <c r="S127" s="231">
        <f t="shared" si="40"/>
        <v>62.5</v>
      </c>
      <c r="T127" s="231">
        <f t="shared" si="41"/>
        <v>54.347826086956523</v>
      </c>
      <c r="U127" s="231">
        <f t="shared" si="42"/>
        <v>69.444444444444443</v>
      </c>
      <c r="V127" s="231">
        <f t="shared" si="43"/>
        <v>56.81818181818182</v>
      </c>
      <c r="W127" s="231">
        <f t="shared" si="44"/>
        <v>59.523809523809526</v>
      </c>
      <c r="X127" s="231">
        <f t="shared" si="45"/>
        <v>62.5</v>
      </c>
      <c r="Y127" s="231">
        <f t="shared" si="46"/>
        <v>56.81818181818182</v>
      </c>
      <c r="Z127" s="231">
        <f t="shared" si="47"/>
        <v>0</v>
      </c>
      <c r="AA127" s="231"/>
      <c r="AB127" s="231"/>
      <c r="AC127" s="231"/>
      <c r="AD127" s="230">
        <f t="shared" si="55"/>
        <v>0</v>
      </c>
      <c r="AE127" s="230">
        <f t="shared" si="48"/>
        <v>0</v>
      </c>
      <c r="AF127" s="230">
        <f t="shared" si="49"/>
        <v>6739.130434782609</v>
      </c>
      <c r="AG127" s="230">
        <f t="shared" si="50"/>
        <v>10000</v>
      </c>
      <c r="AH127" s="230">
        <f t="shared" si="51"/>
        <v>1818.1818181818182</v>
      </c>
      <c r="AI127" s="230">
        <f t="shared" si="52"/>
        <v>0</v>
      </c>
      <c r="AJ127" s="230">
        <f t="shared" si="53"/>
        <v>0</v>
      </c>
      <c r="AK127" s="230">
        <f t="shared" si="54"/>
        <v>0</v>
      </c>
      <c r="AL127" s="230">
        <f t="shared" si="54"/>
        <v>0</v>
      </c>
      <c r="AM127" s="230">
        <f t="shared" si="54"/>
        <v>0</v>
      </c>
      <c r="AN127" s="230">
        <f t="shared" si="54"/>
        <v>0</v>
      </c>
      <c r="AO127" s="230">
        <f t="shared" si="56"/>
        <v>0</v>
      </c>
    </row>
    <row r="128" spans="1:41" ht="15.75" customHeight="1" x14ac:dyDescent="0.25">
      <c r="A128" s="251" t="s">
        <v>778</v>
      </c>
      <c r="B128" s="251" t="s">
        <v>35</v>
      </c>
      <c r="C128" s="251" t="s">
        <v>91</v>
      </c>
      <c r="D128" s="251" t="s">
        <v>92</v>
      </c>
      <c r="E128" s="251" t="s">
        <v>117</v>
      </c>
      <c r="F128" s="233">
        <f t="shared" si="30"/>
        <v>0</v>
      </c>
      <c r="G128" s="233">
        <f t="shared" si="31"/>
        <v>0</v>
      </c>
      <c r="H128" s="233">
        <f t="shared" si="32"/>
        <v>8</v>
      </c>
      <c r="I128" s="233">
        <f t="shared" si="33"/>
        <v>72</v>
      </c>
      <c r="J128" s="233">
        <f t="shared" si="34"/>
        <v>0</v>
      </c>
      <c r="K128" s="233">
        <f t="shared" si="35"/>
        <v>24</v>
      </c>
      <c r="L128" s="233">
        <f t="shared" si="36"/>
        <v>0</v>
      </c>
      <c r="M128" s="233">
        <f t="shared" si="37"/>
        <v>0</v>
      </c>
      <c r="N128" s="233">
        <f t="shared" si="38"/>
        <v>0</v>
      </c>
      <c r="O128" s="233">
        <f>IFERROR(VLOOKUP(A128,TOTAL_HORAS,79,FALSE),0)</f>
        <v>0</v>
      </c>
      <c r="P128" s="233"/>
      <c r="Q128" s="233"/>
      <c r="R128" s="231">
        <f t="shared" si="39"/>
        <v>19.886363636363637</v>
      </c>
      <c r="S128" s="231">
        <f t="shared" si="40"/>
        <v>21.875</v>
      </c>
      <c r="T128" s="231">
        <f t="shared" si="41"/>
        <v>19.021739130434781</v>
      </c>
      <c r="U128" s="231">
        <f t="shared" si="42"/>
        <v>24.305555555555557</v>
      </c>
      <c r="V128" s="231">
        <f t="shared" si="43"/>
        <v>21.59090909090909</v>
      </c>
      <c r="W128" s="231">
        <f t="shared" si="44"/>
        <v>22.61904761904762</v>
      </c>
      <c r="X128" s="231">
        <f t="shared" si="45"/>
        <v>23.75</v>
      </c>
      <c r="Y128" s="231">
        <f t="shared" si="46"/>
        <v>21.59090909090909</v>
      </c>
      <c r="Z128" s="231">
        <f t="shared" si="47"/>
        <v>22.61904761904762</v>
      </c>
      <c r="AA128" s="231"/>
      <c r="AB128" s="231"/>
      <c r="AC128" s="231"/>
      <c r="AD128" s="230">
        <f t="shared" si="55"/>
        <v>0</v>
      </c>
      <c r="AE128" s="230">
        <f t="shared" si="48"/>
        <v>0</v>
      </c>
      <c r="AF128" s="230">
        <f t="shared" si="49"/>
        <v>152.17391304347825</v>
      </c>
      <c r="AG128" s="230">
        <f t="shared" si="50"/>
        <v>1750</v>
      </c>
      <c r="AH128" s="230">
        <f t="shared" si="51"/>
        <v>0</v>
      </c>
      <c r="AI128" s="230">
        <f t="shared" si="52"/>
        <v>542.85714285714289</v>
      </c>
      <c r="AJ128" s="230">
        <f t="shared" si="53"/>
        <v>0</v>
      </c>
      <c r="AK128" s="230">
        <f t="shared" si="54"/>
        <v>0</v>
      </c>
      <c r="AL128" s="230">
        <f t="shared" si="54"/>
        <v>0</v>
      </c>
      <c r="AM128" s="230">
        <f t="shared" si="54"/>
        <v>0</v>
      </c>
      <c r="AN128" s="230">
        <f t="shared" si="54"/>
        <v>0</v>
      </c>
      <c r="AO128" s="230">
        <f t="shared" si="56"/>
        <v>0</v>
      </c>
    </row>
    <row r="129" spans="1:41" ht="15.75" customHeight="1" x14ac:dyDescent="0.25">
      <c r="A129" s="251" t="s">
        <v>779</v>
      </c>
      <c r="B129" s="251" t="s">
        <v>418</v>
      </c>
      <c r="C129" s="251" t="s">
        <v>78</v>
      </c>
      <c r="D129" s="251" t="s">
        <v>79</v>
      </c>
      <c r="E129" s="251" t="s">
        <v>164</v>
      </c>
      <c r="F129" s="233">
        <f t="shared" ref="F129:F191" si="57">IFERROR(VLOOKUP(A129,TOTAL_HORAS,70,FALSE),0)</f>
        <v>0</v>
      </c>
      <c r="G129" s="233">
        <f t="shared" ref="G129:G191" si="58">IFERROR(VLOOKUP(A129,TOTAL_HORAS,71,FALSE),0)</f>
        <v>80</v>
      </c>
      <c r="H129" s="233">
        <f t="shared" ref="H129:H191" si="59">IFERROR(VLOOKUP(A129,TOTAL_HORAS,72,FALSE),0)</f>
        <v>0</v>
      </c>
      <c r="I129" s="233">
        <f t="shared" ref="I129:I191" si="60">IFERROR(VLOOKUP(A129,TOTAL_HORAS,73,FALSE),0)</f>
        <v>0</v>
      </c>
      <c r="J129" s="233">
        <f t="shared" ref="J129:J191" si="61">IFERROR(VLOOKUP(A129,TOTAL_HORAS,74,FALSE),0)</f>
        <v>0</v>
      </c>
      <c r="K129" s="233">
        <f t="shared" ref="K129:K191" si="62">IFERROR(VLOOKUP(A129,TOTAL_HORAS,75,FALSE),0)</f>
        <v>0</v>
      </c>
      <c r="L129" s="233">
        <f t="shared" ref="L129:L191" si="63">IFERROR(VLOOKUP(A129,TOTAL_HORAS,76,FALSE),0)</f>
        <v>0</v>
      </c>
      <c r="M129" s="233">
        <f t="shared" ref="M129:M191" si="64">IFERROR(VLOOKUP(A129,TOTAL_HORAS,77,FALSE),0)</f>
        <v>0</v>
      </c>
      <c r="N129" s="233">
        <f t="shared" si="38"/>
        <v>0</v>
      </c>
      <c r="O129" s="233">
        <f>IFERROR(VLOOKUP(A129,TOTAL_HORAS,79,FALSE),0)</f>
        <v>0</v>
      </c>
      <c r="P129" s="233"/>
      <c r="Q129" s="233"/>
      <c r="R129" s="231">
        <f t="shared" ref="R129:R191" si="65">IFERROR(VLOOKUP(B129,MATRIZ_ENERO,2,FALSE),0)</f>
        <v>22.15909090909091</v>
      </c>
      <c r="S129" s="231">
        <f t="shared" ref="S129:S191" si="66">IFERROR(VLOOKUP(B129,MATRIZ_FEB,2,FALSE),0)</f>
        <v>24.375</v>
      </c>
      <c r="T129" s="231">
        <f t="shared" ref="T129:T191" si="67">IFERROR(VLOOKUP(B129,MATRIZ_MARZO,2,FALSE),0)</f>
        <v>21.195652173913043</v>
      </c>
      <c r="U129" s="231">
        <f t="shared" ref="U129:U191" si="68">IFERROR(VLOOKUP(B129,MATRIZ_ABRIL,2,FALSE),0)</f>
        <v>27.083333333333332</v>
      </c>
      <c r="V129" s="231">
        <f t="shared" ref="V129:V191" si="69">IFERROR(VLOOKUP(B129,MATRIZ_MAY,2,FALSE),0)</f>
        <v>0</v>
      </c>
      <c r="W129" s="231">
        <f t="shared" ref="W129:W177" si="70">IFERROR(VLOOKUP(B129,MATRIZ_JUN,2,FALSE),0)</f>
        <v>0</v>
      </c>
      <c r="X129" s="231">
        <f t="shared" ref="X129:X191" si="71">IFERROR(VLOOKUP(B129,MATRIZ_JUL,2,FALSE),0)</f>
        <v>0</v>
      </c>
      <c r="Y129" s="231">
        <f t="shared" ref="Y129:Y191" si="72">IFERROR(VLOOKUP(B129,MATRIZ_AGOSTO,2,FALSE),0)</f>
        <v>0</v>
      </c>
      <c r="Z129" s="231">
        <f t="shared" si="47"/>
        <v>0</v>
      </c>
      <c r="AA129" s="231"/>
      <c r="AB129" s="231"/>
      <c r="AC129" s="231"/>
      <c r="AD129" s="230">
        <f t="shared" si="55"/>
        <v>0</v>
      </c>
      <c r="AE129" s="230">
        <f t="shared" si="48"/>
        <v>1950</v>
      </c>
      <c r="AF129" s="230">
        <f t="shared" si="49"/>
        <v>0</v>
      </c>
      <c r="AG129" s="230">
        <f t="shared" si="50"/>
        <v>0</v>
      </c>
      <c r="AH129" s="230">
        <f t="shared" si="51"/>
        <v>0</v>
      </c>
      <c r="AI129" s="230">
        <f t="shared" si="52"/>
        <v>0</v>
      </c>
      <c r="AJ129" s="230">
        <f t="shared" si="53"/>
        <v>0</v>
      </c>
      <c r="AK129" s="230">
        <f t="shared" si="54"/>
        <v>0</v>
      </c>
      <c r="AL129" s="230">
        <f t="shared" si="54"/>
        <v>0</v>
      </c>
      <c r="AM129" s="230">
        <f t="shared" si="54"/>
        <v>0</v>
      </c>
      <c r="AN129" s="230">
        <f t="shared" ref="AN129:AO191" si="73">P129*AB129</f>
        <v>0</v>
      </c>
      <c r="AO129" s="230">
        <f t="shared" si="56"/>
        <v>0</v>
      </c>
    </row>
    <row r="130" spans="1:41" ht="15.75" customHeight="1" x14ac:dyDescent="0.25">
      <c r="A130" s="251" t="s">
        <v>780</v>
      </c>
      <c r="B130" s="251" t="s">
        <v>35</v>
      </c>
      <c r="C130" s="251" t="s">
        <v>78</v>
      </c>
      <c r="D130" s="251" t="s">
        <v>79</v>
      </c>
      <c r="E130" s="251" t="s">
        <v>164</v>
      </c>
      <c r="F130" s="233">
        <f t="shared" si="57"/>
        <v>0</v>
      </c>
      <c r="G130" s="233">
        <f t="shared" si="58"/>
        <v>156</v>
      </c>
      <c r="H130" s="233">
        <f t="shared" si="59"/>
        <v>176</v>
      </c>
      <c r="I130" s="233">
        <f t="shared" si="60"/>
        <v>32</v>
      </c>
      <c r="J130" s="233">
        <f t="shared" si="61"/>
        <v>8</v>
      </c>
      <c r="K130" s="233">
        <f t="shared" si="62"/>
        <v>0</v>
      </c>
      <c r="L130" s="233">
        <f t="shared" si="63"/>
        <v>0</v>
      </c>
      <c r="M130" s="233">
        <f t="shared" si="64"/>
        <v>0</v>
      </c>
      <c r="N130" s="233">
        <f t="shared" ref="N130:N192" si="74">IFERROR(VLOOKUP(A130,TOTAL_HORAS,78,FALSE),0)</f>
        <v>0</v>
      </c>
      <c r="O130" s="233">
        <f>IFERROR(VLOOKUP(A130,TOTAL_HORAS,79,FALSE),0)</f>
        <v>0</v>
      </c>
      <c r="P130" s="233"/>
      <c r="Q130" s="233"/>
      <c r="R130" s="231">
        <f t="shared" si="65"/>
        <v>19.886363636363637</v>
      </c>
      <c r="S130" s="231">
        <f t="shared" si="66"/>
        <v>21.875</v>
      </c>
      <c r="T130" s="231">
        <f t="shared" si="67"/>
        <v>19.021739130434781</v>
      </c>
      <c r="U130" s="231">
        <f t="shared" si="68"/>
        <v>24.305555555555557</v>
      </c>
      <c r="V130" s="231">
        <f t="shared" si="69"/>
        <v>21.59090909090909</v>
      </c>
      <c r="W130" s="231">
        <f t="shared" si="70"/>
        <v>22.61904761904762</v>
      </c>
      <c r="X130" s="231">
        <f t="shared" si="71"/>
        <v>23.75</v>
      </c>
      <c r="Y130" s="231">
        <f t="shared" si="72"/>
        <v>21.59090909090909</v>
      </c>
      <c r="Z130" s="231">
        <f t="shared" si="47"/>
        <v>22.61904761904762</v>
      </c>
      <c r="AA130" s="231"/>
      <c r="AB130" s="231"/>
      <c r="AC130" s="231"/>
      <c r="AD130" s="230">
        <f t="shared" si="55"/>
        <v>0</v>
      </c>
      <c r="AE130" s="230">
        <f t="shared" ref="AE130:AE192" si="75">G130*S130</f>
        <v>3412.5</v>
      </c>
      <c r="AF130" s="230">
        <f t="shared" ref="AF130:AF192" si="76">H130*T130</f>
        <v>3347.8260869565215</v>
      </c>
      <c r="AG130" s="230">
        <f t="shared" ref="AG130:AG192" si="77">I130*U130</f>
        <v>777.77777777777783</v>
      </c>
      <c r="AH130" s="230">
        <f t="shared" ref="AH130:AH192" si="78">J130*V130</f>
        <v>172.72727272727272</v>
      </c>
      <c r="AI130" s="230">
        <f t="shared" ref="AI130:AI176" si="79">K130*W130</f>
        <v>0</v>
      </c>
      <c r="AJ130" s="230">
        <f t="shared" ref="AJ130:AJ192" si="80">L130*X130</f>
        <v>0</v>
      </c>
      <c r="AK130" s="230">
        <f t="shared" ref="AK130:AO192" si="81">M130*Y130</f>
        <v>0</v>
      </c>
      <c r="AL130" s="230">
        <f t="shared" si="81"/>
        <v>0</v>
      </c>
      <c r="AM130" s="230">
        <f t="shared" si="81"/>
        <v>0</v>
      </c>
      <c r="AN130" s="230">
        <f t="shared" si="73"/>
        <v>0</v>
      </c>
      <c r="AO130" s="230">
        <f t="shared" si="56"/>
        <v>0</v>
      </c>
    </row>
    <row r="131" spans="1:41" ht="15.75" customHeight="1" x14ac:dyDescent="0.25">
      <c r="A131" s="251" t="s">
        <v>781</v>
      </c>
      <c r="B131" s="251" t="s">
        <v>418</v>
      </c>
      <c r="C131" s="251" t="s">
        <v>93</v>
      </c>
      <c r="D131" s="251" t="s">
        <v>94</v>
      </c>
      <c r="E131" s="251" t="s">
        <v>116</v>
      </c>
      <c r="F131" s="233">
        <f t="shared" si="57"/>
        <v>88</v>
      </c>
      <c r="G131" s="233">
        <f t="shared" si="58"/>
        <v>0</v>
      </c>
      <c r="H131" s="233">
        <f t="shared" si="59"/>
        <v>0</v>
      </c>
      <c r="I131" s="233">
        <f t="shared" si="60"/>
        <v>0</v>
      </c>
      <c r="J131" s="233">
        <f t="shared" si="61"/>
        <v>0</v>
      </c>
      <c r="K131" s="233">
        <f t="shared" si="62"/>
        <v>0</v>
      </c>
      <c r="L131" s="233">
        <f t="shared" si="63"/>
        <v>0</v>
      </c>
      <c r="M131" s="233">
        <f t="shared" si="64"/>
        <v>0</v>
      </c>
      <c r="N131" s="233">
        <f t="shared" si="74"/>
        <v>0</v>
      </c>
      <c r="O131" s="233">
        <f>IFERROR(VLOOKUP(A131,TOTAL_HORAS,79,FALSE),0)</f>
        <v>0</v>
      </c>
      <c r="P131" s="233"/>
      <c r="Q131" s="233"/>
      <c r="R131" s="231">
        <f t="shared" si="65"/>
        <v>22.15909090909091</v>
      </c>
      <c r="S131" s="231">
        <f t="shared" si="66"/>
        <v>24.375</v>
      </c>
      <c r="T131" s="231">
        <f t="shared" si="67"/>
        <v>21.195652173913043</v>
      </c>
      <c r="U131" s="231">
        <f t="shared" si="68"/>
        <v>27.083333333333332</v>
      </c>
      <c r="V131" s="231">
        <f t="shared" si="69"/>
        <v>0</v>
      </c>
      <c r="W131" s="231">
        <f t="shared" si="70"/>
        <v>0</v>
      </c>
      <c r="X131" s="231">
        <f t="shared" si="71"/>
        <v>0</v>
      </c>
      <c r="Y131" s="231">
        <f t="shared" si="72"/>
        <v>0</v>
      </c>
      <c r="Z131" s="231">
        <f t="shared" ref="Z131:Z194" si="82">IFERROR(VLOOKUP(B131,MATRIZ_SEPTIEM,2,FALSE),0)</f>
        <v>0</v>
      </c>
      <c r="AA131" s="231"/>
      <c r="AB131" s="231"/>
      <c r="AC131" s="231"/>
      <c r="AD131" s="230">
        <f t="shared" si="55"/>
        <v>1950</v>
      </c>
      <c r="AE131" s="230">
        <f t="shared" si="75"/>
        <v>0</v>
      </c>
      <c r="AF131" s="230">
        <f t="shared" si="76"/>
        <v>0</v>
      </c>
      <c r="AG131" s="230">
        <f t="shared" si="77"/>
        <v>0</v>
      </c>
      <c r="AH131" s="230">
        <f t="shared" si="78"/>
        <v>0</v>
      </c>
      <c r="AI131" s="230">
        <f t="shared" si="79"/>
        <v>0</v>
      </c>
      <c r="AJ131" s="230">
        <f t="shared" si="80"/>
        <v>0</v>
      </c>
      <c r="AK131" s="230">
        <f t="shared" si="81"/>
        <v>0</v>
      </c>
      <c r="AL131" s="230">
        <f t="shared" si="81"/>
        <v>0</v>
      </c>
      <c r="AM131" s="230">
        <f t="shared" si="81"/>
        <v>0</v>
      </c>
      <c r="AN131" s="230">
        <f t="shared" si="73"/>
        <v>0</v>
      </c>
      <c r="AO131" s="230">
        <f t="shared" si="56"/>
        <v>0</v>
      </c>
    </row>
    <row r="132" spans="1:41" ht="15.75" customHeight="1" x14ac:dyDescent="0.25">
      <c r="A132" s="251" t="s">
        <v>782</v>
      </c>
      <c r="B132" s="251" t="s">
        <v>35</v>
      </c>
      <c r="C132" s="251" t="s">
        <v>93</v>
      </c>
      <c r="D132" s="251" t="s">
        <v>94</v>
      </c>
      <c r="E132" s="251" t="s">
        <v>116</v>
      </c>
      <c r="F132" s="233">
        <f t="shared" si="57"/>
        <v>176</v>
      </c>
      <c r="G132" s="233">
        <f t="shared" si="58"/>
        <v>4</v>
      </c>
      <c r="H132" s="233">
        <f t="shared" si="59"/>
        <v>0</v>
      </c>
      <c r="I132" s="233">
        <f t="shared" si="60"/>
        <v>0</v>
      </c>
      <c r="J132" s="233">
        <f t="shared" si="61"/>
        <v>0</v>
      </c>
      <c r="K132" s="233">
        <f t="shared" si="62"/>
        <v>0</v>
      </c>
      <c r="L132" s="233">
        <f t="shared" si="63"/>
        <v>2</v>
      </c>
      <c r="M132" s="233">
        <f t="shared" si="64"/>
        <v>0</v>
      </c>
      <c r="N132" s="233">
        <f t="shared" si="74"/>
        <v>0</v>
      </c>
      <c r="O132" s="233">
        <f>IFERROR(VLOOKUP(A132,TOTAL_HORAS,79,FALSE),0)</f>
        <v>0</v>
      </c>
      <c r="P132" s="233"/>
      <c r="Q132" s="233"/>
      <c r="R132" s="231">
        <f t="shared" si="65"/>
        <v>19.886363636363637</v>
      </c>
      <c r="S132" s="231">
        <f t="shared" si="66"/>
        <v>21.875</v>
      </c>
      <c r="T132" s="231">
        <f t="shared" si="67"/>
        <v>19.021739130434781</v>
      </c>
      <c r="U132" s="231">
        <f t="shared" si="68"/>
        <v>24.305555555555557</v>
      </c>
      <c r="V132" s="231">
        <f t="shared" si="69"/>
        <v>21.59090909090909</v>
      </c>
      <c r="W132" s="231">
        <f t="shared" si="70"/>
        <v>22.61904761904762</v>
      </c>
      <c r="X132" s="231">
        <f t="shared" si="71"/>
        <v>23.75</v>
      </c>
      <c r="Y132" s="231">
        <f t="shared" si="72"/>
        <v>21.59090909090909</v>
      </c>
      <c r="Z132" s="231">
        <f t="shared" si="82"/>
        <v>22.61904761904762</v>
      </c>
      <c r="AA132" s="231"/>
      <c r="AB132" s="231"/>
      <c r="AC132" s="231"/>
      <c r="AD132" s="230">
        <f t="shared" si="55"/>
        <v>3500</v>
      </c>
      <c r="AE132" s="230">
        <f t="shared" si="75"/>
        <v>87.5</v>
      </c>
      <c r="AF132" s="230">
        <f t="shared" si="76"/>
        <v>0</v>
      </c>
      <c r="AG132" s="230">
        <f t="shared" si="77"/>
        <v>0</v>
      </c>
      <c r="AH132" s="230">
        <f t="shared" si="78"/>
        <v>0</v>
      </c>
      <c r="AI132" s="230">
        <f t="shared" si="79"/>
        <v>0</v>
      </c>
      <c r="AJ132" s="230">
        <f t="shared" si="80"/>
        <v>47.5</v>
      </c>
      <c r="AK132" s="230">
        <f t="shared" si="81"/>
        <v>0</v>
      </c>
      <c r="AL132" s="230">
        <f t="shared" si="81"/>
        <v>0</v>
      </c>
      <c r="AM132" s="230">
        <f t="shared" si="81"/>
        <v>0</v>
      </c>
      <c r="AN132" s="230">
        <f t="shared" si="73"/>
        <v>0</v>
      </c>
      <c r="AO132" s="230">
        <f t="shared" si="56"/>
        <v>0</v>
      </c>
    </row>
    <row r="133" spans="1:41" ht="15" customHeight="1" x14ac:dyDescent="0.25">
      <c r="A133" s="251" t="s">
        <v>783</v>
      </c>
      <c r="B133" s="251" t="s">
        <v>28</v>
      </c>
      <c r="C133" s="251" t="s">
        <v>50</v>
      </c>
      <c r="D133" s="251" t="s">
        <v>196</v>
      </c>
      <c r="E133" s="251" t="s">
        <v>127</v>
      </c>
      <c r="F133" s="233">
        <f t="shared" si="57"/>
        <v>0</v>
      </c>
      <c r="G133" s="233">
        <f t="shared" si="58"/>
        <v>0</v>
      </c>
      <c r="H133" s="233">
        <f t="shared" si="59"/>
        <v>0</v>
      </c>
      <c r="I133" s="233">
        <f t="shared" si="60"/>
        <v>0</v>
      </c>
      <c r="J133" s="233">
        <f t="shared" si="61"/>
        <v>0</v>
      </c>
      <c r="K133" s="233">
        <f t="shared" si="62"/>
        <v>0</v>
      </c>
      <c r="L133" s="233">
        <f t="shared" si="63"/>
        <v>68</v>
      </c>
      <c r="M133" s="233">
        <f t="shared" si="64"/>
        <v>0</v>
      </c>
      <c r="N133" s="233">
        <f t="shared" si="74"/>
        <v>0</v>
      </c>
      <c r="O133" s="233">
        <f>IFERROR(VLOOKUP(A133,TOTAL_HORAS,79,FALSE),0)</f>
        <v>0</v>
      </c>
      <c r="P133" s="233"/>
      <c r="Q133" s="233"/>
      <c r="R133" s="231">
        <f t="shared" si="65"/>
        <v>56.81818181818182</v>
      </c>
      <c r="S133" s="231">
        <f t="shared" si="66"/>
        <v>62.5</v>
      </c>
      <c r="T133" s="231">
        <f t="shared" si="67"/>
        <v>54.347826086956523</v>
      </c>
      <c r="U133" s="231">
        <f t="shared" si="68"/>
        <v>69.444444444444443</v>
      </c>
      <c r="V133" s="231">
        <f t="shared" si="69"/>
        <v>56.81818181818182</v>
      </c>
      <c r="W133" s="231">
        <f t="shared" si="70"/>
        <v>59.523809523809526</v>
      </c>
      <c r="X133" s="231">
        <f t="shared" si="71"/>
        <v>62.5</v>
      </c>
      <c r="Y133" s="231">
        <f t="shared" si="72"/>
        <v>56.81818181818182</v>
      </c>
      <c r="Z133" s="231">
        <f t="shared" si="82"/>
        <v>0</v>
      </c>
      <c r="AA133" s="231"/>
      <c r="AB133" s="231"/>
      <c r="AC133" s="231"/>
      <c r="AD133" s="230">
        <f t="shared" si="55"/>
        <v>0</v>
      </c>
      <c r="AE133" s="230">
        <f t="shared" si="75"/>
        <v>0</v>
      </c>
      <c r="AF133" s="230">
        <f t="shared" si="76"/>
        <v>0</v>
      </c>
      <c r="AG133" s="230">
        <f t="shared" si="77"/>
        <v>0</v>
      </c>
      <c r="AH133" s="230">
        <f t="shared" si="78"/>
        <v>0</v>
      </c>
      <c r="AI133" s="230">
        <f t="shared" si="79"/>
        <v>0</v>
      </c>
      <c r="AJ133" s="230">
        <f t="shared" si="80"/>
        <v>4250</v>
      </c>
      <c r="AK133" s="230">
        <f t="shared" si="81"/>
        <v>0</v>
      </c>
      <c r="AL133" s="230">
        <f t="shared" si="81"/>
        <v>0</v>
      </c>
      <c r="AM133" s="230">
        <f t="shared" si="81"/>
        <v>0</v>
      </c>
      <c r="AN133" s="230">
        <f t="shared" si="73"/>
        <v>0</v>
      </c>
      <c r="AO133" s="230">
        <f t="shared" si="56"/>
        <v>0</v>
      </c>
    </row>
    <row r="134" spans="1:41" ht="15.75" customHeight="1" x14ac:dyDescent="0.25">
      <c r="A134" s="251" t="s">
        <v>784</v>
      </c>
      <c r="B134" s="251" t="s">
        <v>28</v>
      </c>
      <c r="C134" s="251" t="s">
        <v>50</v>
      </c>
      <c r="D134" s="251" t="s">
        <v>639</v>
      </c>
      <c r="E134" s="251" t="s">
        <v>640</v>
      </c>
      <c r="F134" s="233">
        <f t="shared" si="57"/>
        <v>0</v>
      </c>
      <c r="G134" s="233">
        <f t="shared" si="58"/>
        <v>0</v>
      </c>
      <c r="H134" s="233">
        <f t="shared" si="59"/>
        <v>0</v>
      </c>
      <c r="I134" s="233">
        <f t="shared" si="60"/>
        <v>0</v>
      </c>
      <c r="J134" s="233">
        <f t="shared" si="61"/>
        <v>0</v>
      </c>
      <c r="K134" s="233">
        <f t="shared" si="62"/>
        <v>0</v>
      </c>
      <c r="L134" s="233">
        <f t="shared" si="63"/>
        <v>0</v>
      </c>
      <c r="M134" s="233">
        <f t="shared" si="64"/>
        <v>48</v>
      </c>
      <c r="N134" s="233">
        <f t="shared" si="74"/>
        <v>0</v>
      </c>
      <c r="O134" s="233">
        <f>IFERROR(VLOOKUP(A134,TOTAL_HORAS,79,FALSE),0)</f>
        <v>0</v>
      </c>
      <c r="P134" s="233"/>
      <c r="Q134" s="233"/>
      <c r="R134" s="231">
        <f t="shared" si="65"/>
        <v>56.81818181818182</v>
      </c>
      <c r="S134" s="231">
        <f t="shared" si="66"/>
        <v>62.5</v>
      </c>
      <c r="T134" s="231">
        <f t="shared" si="67"/>
        <v>54.347826086956523</v>
      </c>
      <c r="U134" s="231">
        <f t="shared" si="68"/>
        <v>69.444444444444443</v>
      </c>
      <c r="V134" s="231">
        <f t="shared" si="69"/>
        <v>56.81818181818182</v>
      </c>
      <c r="W134" s="231">
        <f t="shared" si="70"/>
        <v>59.523809523809526</v>
      </c>
      <c r="X134" s="231">
        <f t="shared" si="71"/>
        <v>62.5</v>
      </c>
      <c r="Y134" s="231">
        <f t="shared" si="72"/>
        <v>56.81818181818182</v>
      </c>
      <c r="Z134" s="231">
        <f t="shared" si="82"/>
        <v>0</v>
      </c>
      <c r="AA134" s="231"/>
      <c r="AB134" s="231"/>
      <c r="AC134" s="231"/>
      <c r="AD134" s="230">
        <f t="shared" si="55"/>
        <v>0</v>
      </c>
      <c r="AE134" s="230">
        <f t="shared" si="75"/>
        <v>0</v>
      </c>
      <c r="AF134" s="230">
        <f t="shared" si="76"/>
        <v>0</v>
      </c>
      <c r="AG134" s="230">
        <f t="shared" si="77"/>
        <v>0</v>
      </c>
      <c r="AH134" s="230">
        <f t="shared" si="78"/>
        <v>0</v>
      </c>
      <c r="AI134" s="230">
        <f t="shared" si="79"/>
        <v>0</v>
      </c>
      <c r="AJ134" s="230">
        <f t="shared" si="80"/>
        <v>0</v>
      </c>
      <c r="AK134" s="230">
        <f t="shared" si="81"/>
        <v>2727.2727272727275</v>
      </c>
      <c r="AL134" s="230">
        <f t="shared" si="81"/>
        <v>0</v>
      </c>
      <c r="AM134" s="230">
        <f t="shared" si="81"/>
        <v>0</v>
      </c>
      <c r="AN134" s="230">
        <f t="shared" si="73"/>
        <v>0</v>
      </c>
      <c r="AO134" s="230">
        <f t="shared" si="56"/>
        <v>0</v>
      </c>
    </row>
    <row r="135" spans="1:41" ht="15.75" customHeight="1" x14ac:dyDescent="0.25">
      <c r="A135" s="251" t="s">
        <v>785</v>
      </c>
      <c r="B135" s="251" t="s">
        <v>35</v>
      </c>
      <c r="C135" s="251" t="s">
        <v>50</v>
      </c>
      <c r="D135" s="251" t="s">
        <v>196</v>
      </c>
      <c r="E135" s="251" t="s">
        <v>127</v>
      </c>
      <c r="F135" s="233">
        <f t="shared" si="57"/>
        <v>0</v>
      </c>
      <c r="G135" s="233">
        <f t="shared" si="58"/>
        <v>0</v>
      </c>
      <c r="H135" s="233">
        <f t="shared" si="59"/>
        <v>0</v>
      </c>
      <c r="I135" s="233">
        <f t="shared" si="60"/>
        <v>40</v>
      </c>
      <c r="J135" s="233">
        <f t="shared" si="61"/>
        <v>168</v>
      </c>
      <c r="K135" s="233">
        <f t="shared" si="62"/>
        <v>96</v>
      </c>
      <c r="L135" s="233">
        <f t="shared" si="63"/>
        <v>128</v>
      </c>
      <c r="M135" s="233">
        <f t="shared" si="64"/>
        <v>0</v>
      </c>
      <c r="N135" s="233">
        <f t="shared" si="74"/>
        <v>0</v>
      </c>
      <c r="O135" s="233">
        <f>IFERROR(VLOOKUP(A135,TOTAL_HORAS,79,FALSE),0)</f>
        <v>0</v>
      </c>
      <c r="P135" s="233"/>
      <c r="Q135" s="233"/>
      <c r="R135" s="231">
        <f t="shared" si="65"/>
        <v>19.886363636363637</v>
      </c>
      <c r="S135" s="231">
        <f t="shared" si="66"/>
        <v>21.875</v>
      </c>
      <c r="T135" s="231">
        <f t="shared" si="67"/>
        <v>19.021739130434781</v>
      </c>
      <c r="U135" s="231">
        <f t="shared" si="68"/>
        <v>24.305555555555557</v>
      </c>
      <c r="V135" s="231">
        <f t="shared" si="69"/>
        <v>21.59090909090909</v>
      </c>
      <c r="W135" s="231">
        <f t="shared" si="70"/>
        <v>22.61904761904762</v>
      </c>
      <c r="X135" s="231">
        <f t="shared" si="71"/>
        <v>23.75</v>
      </c>
      <c r="Y135" s="231">
        <f t="shared" si="72"/>
        <v>21.59090909090909</v>
      </c>
      <c r="Z135" s="231">
        <f t="shared" si="82"/>
        <v>22.61904761904762</v>
      </c>
      <c r="AA135" s="231"/>
      <c r="AB135" s="231"/>
      <c r="AC135" s="231"/>
      <c r="AD135" s="230">
        <f t="shared" si="55"/>
        <v>0</v>
      </c>
      <c r="AE135" s="230">
        <f t="shared" si="75"/>
        <v>0</v>
      </c>
      <c r="AF135" s="230">
        <f t="shared" si="76"/>
        <v>0</v>
      </c>
      <c r="AG135" s="230">
        <f t="shared" si="77"/>
        <v>972.22222222222229</v>
      </c>
      <c r="AH135" s="230">
        <f t="shared" si="78"/>
        <v>3627.272727272727</v>
      </c>
      <c r="AI135" s="230">
        <f t="shared" si="79"/>
        <v>2171.4285714285716</v>
      </c>
      <c r="AJ135" s="230">
        <f t="shared" si="80"/>
        <v>3040</v>
      </c>
      <c r="AK135" s="230">
        <f t="shared" si="81"/>
        <v>0</v>
      </c>
      <c r="AL135" s="230">
        <f t="shared" si="81"/>
        <v>0</v>
      </c>
      <c r="AM135" s="230">
        <f t="shared" si="81"/>
        <v>0</v>
      </c>
      <c r="AN135" s="230">
        <f t="shared" si="73"/>
        <v>0</v>
      </c>
      <c r="AO135" s="230">
        <f t="shared" si="56"/>
        <v>0</v>
      </c>
    </row>
    <row r="136" spans="1:41" ht="15.75" customHeight="1" x14ac:dyDescent="0.25">
      <c r="A136" s="251" t="s">
        <v>786</v>
      </c>
      <c r="B136" s="251" t="s">
        <v>35</v>
      </c>
      <c r="C136" s="251" t="s">
        <v>208</v>
      </c>
      <c r="D136" s="251" t="s">
        <v>208</v>
      </c>
      <c r="E136" s="251" t="s">
        <v>210</v>
      </c>
      <c r="F136" s="233">
        <f t="shared" si="57"/>
        <v>0</v>
      </c>
      <c r="G136" s="233">
        <f t="shared" si="58"/>
        <v>0</v>
      </c>
      <c r="H136" s="233">
        <f t="shared" si="59"/>
        <v>0</v>
      </c>
      <c r="I136" s="233">
        <f t="shared" si="60"/>
        <v>0</v>
      </c>
      <c r="J136" s="233">
        <f t="shared" si="61"/>
        <v>0</v>
      </c>
      <c r="K136" s="233">
        <f t="shared" si="62"/>
        <v>16</v>
      </c>
      <c r="L136" s="233">
        <f t="shared" si="63"/>
        <v>0</v>
      </c>
      <c r="M136" s="233">
        <f t="shared" si="64"/>
        <v>0</v>
      </c>
      <c r="N136" s="233">
        <f t="shared" si="74"/>
        <v>0</v>
      </c>
      <c r="O136" s="233">
        <f>IFERROR(VLOOKUP(A136,TOTAL_HORAS,79,FALSE),0)</f>
        <v>0</v>
      </c>
      <c r="P136" s="233"/>
      <c r="Q136" s="233"/>
      <c r="R136" s="231">
        <f t="shared" si="65"/>
        <v>19.886363636363637</v>
      </c>
      <c r="S136" s="231">
        <f t="shared" si="66"/>
        <v>21.875</v>
      </c>
      <c r="T136" s="231">
        <f t="shared" si="67"/>
        <v>19.021739130434781</v>
      </c>
      <c r="U136" s="231">
        <f t="shared" si="68"/>
        <v>24.305555555555557</v>
      </c>
      <c r="V136" s="231">
        <f t="shared" si="69"/>
        <v>21.59090909090909</v>
      </c>
      <c r="W136" s="231">
        <f t="shared" si="70"/>
        <v>22.61904761904762</v>
      </c>
      <c r="X136" s="231">
        <f t="shared" si="71"/>
        <v>23.75</v>
      </c>
      <c r="Y136" s="231">
        <f t="shared" si="72"/>
        <v>21.59090909090909</v>
      </c>
      <c r="Z136" s="231">
        <f t="shared" si="82"/>
        <v>22.61904761904762</v>
      </c>
      <c r="AA136" s="231"/>
      <c r="AB136" s="231"/>
      <c r="AC136" s="231"/>
      <c r="AD136" s="230">
        <f t="shared" si="55"/>
        <v>0</v>
      </c>
      <c r="AE136" s="230">
        <f t="shared" si="75"/>
        <v>0</v>
      </c>
      <c r="AF136" s="230">
        <f t="shared" si="76"/>
        <v>0</v>
      </c>
      <c r="AG136" s="230">
        <f t="shared" si="77"/>
        <v>0</v>
      </c>
      <c r="AH136" s="230">
        <f t="shared" si="78"/>
        <v>0</v>
      </c>
      <c r="AI136" s="230">
        <f t="shared" si="79"/>
        <v>361.90476190476193</v>
      </c>
      <c r="AJ136" s="230">
        <f t="shared" si="80"/>
        <v>0</v>
      </c>
      <c r="AK136" s="230">
        <f t="shared" si="81"/>
        <v>0</v>
      </c>
      <c r="AL136" s="230">
        <f t="shared" si="81"/>
        <v>0</v>
      </c>
      <c r="AM136" s="230">
        <f t="shared" si="81"/>
        <v>0</v>
      </c>
      <c r="AN136" s="230">
        <f t="shared" si="73"/>
        <v>0</v>
      </c>
      <c r="AO136" s="230">
        <f t="shared" si="56"/>
        <v>0</v>
      </c>
    </row>
    <row r="137" spans="1:41" ht="15.75" customHeight="1" x14ac:dyDescent="0.25">
      <c r="A137" s="251" t="s">
        <v>787</v>
      </c>
      <c r="B137" s="251" t="s">
        <v>35</v>
      </c>
      <c r="C137" s="251" t="s">
        <v>78</v>
      </c>
      <c r="D137" s="251" t="s">
        <v>221</v>
      </c>
      <c r="E137" s="251" t="s">
        <v>222</v>
      </c>
      <c r="F137" s="233">
        <f t="shared" si="57"/>
        <v>0</v>
      </c>
      <c r="G137" s="233">
        <f t="shared" si="58"/>
        <v>0</v>
      </c>
      <c r="H137" s="233">
        <f t="shared" si="59"/>
        <v>0</v>
      </c>
      <c r="I137" s="233">
        <f t="shared" si="60"/>
        <v>0</v>
      </c>
      <c r="J137" s="233">
        <f t="shared" si="61"/>
        <v>0</v>
      </c>
      <c r="K137" s="233">
        <f t="shared" si="62"/>
        <v>32</v>
      </c>
      <c r="L137" s="233">
        <f t="shared" si="63"/>
        <v>30</v>
      </c>
      <c r="M137" s="233">
        <f t="shared" si="64"/>
        <v>0</v>
      </c>
      <c r="N137" s="233">
        <f t="shared" si="74"/>
        <v>2</v>
      </c>
      <c r="O137" s="233">
        <f>IFERROR(VLOOKUP(A137,TOTAL_HORAS,79,FALSE),0)</f>
        <v>0</v>
      </c>
      <c r="P137" s="233"/>
      <c r="Q137" s="233"/>
      <c r="R137" s="231">
        <f t="shared" si="65"/>
        <v>19.886363636363637</v>
      </c>
      <c r="S137" s="231">
        <f t="shared" si="66"/>
        <v>21.875</v>
      </c>
      <c r="T137" s="231">
        <f t="shared" si="67"/>
        <v>19.021739130434781</v>
      </c>
      <c r="U137" s="231">
        <f t="shared" si="68"/>
        <v>24.305555555555557</v>
      </c>
      <c r="V137" s="231">
        <f t="shared" si="69"/>
        <v>21.59090909090909</v>
      </c>
      <c r="W137" s="231">
        <f t="shared" si="70"/>
        <v>22.61904761904762</v>
      </c>
      <c r="X137" s="231">
        <f t="shared" si="71"/>
        <v>23.75</v>
      </c>
      <c r="Y137" s="231">
        <f t="shared" si="72"/>
        <v>21.59090909090909</v>
      </c>
      <c r="Z137" s="231">
        <f t="shared" si="82"/>
        <v>22.61904761904762</v>
      </c>
      <c r="AA137" s="231"/>
      <c r="AB137" s="231"/>
      <c r="AC137" s="231"/>
      <c r="AD137" s="230">
        <f t="shared" si="55"/>
        <v>0</v>
      </c>
      <c r="AE137" s="230">
        <f t="shared" si="75"/>
        <v>0</v>
      </c>
      <c r="AF137" s="230">
        <f t="shared" si="76"/>
        <v>0</v>
      </c>
      <c r="AG137" s="230">
        <f t="shared" si="77"/>
        <v>0</v>
      </c>
      <c r="AH137" s="230">
        <f t="shared" si="78"/>
        <v>0</v>
      </c>
      <c r="AI137" s="230">
        <f t="shared" si="79"/>
        <v>723.80952380952385</v>
      </c>
      <c r="AJ137" s="230">
        <f t="shared" si="80"/>
        <v>712.5</v>
      </c>
      <c r="AK137" s="230">
        <f t="shared" si="81"/>
        <v>0</v>
      </c>
      <c r="AL137" s="230">
        <f t="shared" si="81"/>
        <v>45.238095238095241</v>
      </c>
      <c r="AM137" s="230">
        <f t="shared" si="81"/>
        <v>0</v>
      </c>
      <c r="AN137" s="230">
        <f t="shared" si="73"/>
        <v>0</v>
      </c>
      <c r="AO137" s="230">
        <f t="shared" si="56"/>
        <v>0</v>
      </c>
    </row>
    <row r="138" spans="1:41" ht="15.75" customHeight="1" x14ac:dyDescent="0.25">
      <c r="A138" s="251" t="s">
        <v>788</v>
      </c>
      <c r="B138" s="251" t="s">
        <v>36</v>
      </c>
      <c r="C138" s="251" t="s">
        <v>89</v>
      </c>
      <c r="D138" s="251" t="s">
        <v>90</v>
      </c>
      <c r="E138" s="251" t="s">
        <v>113</v>
      </c>
      <c r="F138" s="233">
        <f t="shared" si="57"/>
        <v>140</v>
      </c>
      <c r="G138" s="233">
        <f t="shared" si="58"/>
        <v>0</v>
      </c>
      <c r="H138" s="233">
        <f t="shared" si="59"/>
        <v>0</v>
      </c>
      <c r="I138" s="233">
        <f t="shared" si="60"/>
        <v>0</v>
      </c>
      <c r="J138" s="233">
        <f t="shared" si="61"/>
        <v>0</v>
      </c>
      <c r="K138" s="233">
        <f t="shared" si="62"/>
        <v>0</v>
      </c>
      <c r="L138" s="233">
        <f t="shared" si="63"/>
        <v>0</v>
      </c>
      <c r="M138" s="233">
        <f t="shared" si="64"/>
        <v>0</v>
      </c>
      <c r="N138" s="233">
        <f t="shared" si="74"/>
        <v>0</v>
      </c>
      <c r="O138" s="233">
        <f>IFERROR(VLOOKUP(A138,TOTAL_HORAS,79,FALSE),0)</f>
        <v>0</v>
      </c>
      <c r="P138" s="233"/>
      <c r="Q138" s="233"/>
      <c r="R138" s="231">
        <f t="shared" si="65"/>
        <v>35.795454545454547</v>
      </c>
      <c r="S138" s="231">
        <f t="shared" si="66"/>
        <v>39.375</v>
      </c>
      <c r="T138" s="231">
        <f t="shared" si="67"/>
        <v>34.239130434782609</v>
      </c>
      <c r="U138" s="231">
        <f t="shared" si="68"/>
        <v>43.75</v>
      </c>
      <c r="V138" s="231">
        <f t="shared" si="69"/>
        <v>35.795454545454547</v>
      </c>
      <c r="W138" s="231">
        <f t="shared" si="70"/>
        <v>37.5</v>
      </c>
      <c r="X138" s="231">
        <f t="shared" si="71"/>
        <v>39.375</v>
      </c>
      <c r="Y138" s="231">
        <f t="shared" si="72"/>
        <v>35.795454545454547</v>
      </c>
      <c r="Z138" s="231">
        <f t="shared" si="82"/>
        <v>37.5</v>
      </c>
      <c r="AA138" s="231"/>
      <c r="AB138" s="231"/>
      <c r="AC138" s="231"/>
      <c r="AD138" s="230">
        <f t="shared" si="55"/>
        <v>5011.3636363636369</v>
      </c>
      <c r="AE138" s="230">
        <f t="shared" si="75"/>
        <v>0</v>
      </c>
      <c r="AF138" s="230">
        <f t="shared" si="76"/>
        <v>0</v>
      </c>
      <c r="AG138" s="230">
        <f t="shared" si="77"/>
        <v>0</v>
      </c>
      <c r="AH138" s="230">
        <f t="shared" si="78"/>
        <v>0</v>
      </c>
      <c r="AI138" s="230">
        <f t="shared" si="79"/>
        <v>0</v>
      </c>
      <c r="AJ138" s="230">
        <f t="shared" si="80"/>
        <v>0</v>
      </c>
      <c r="AK138" s="230">
        <f t="shared" si="81"/>
        <v>0</v>
      </c>
      <c r="AL138" s="230">
        <f t="shared" si="81"/>
        <v>0</v>
      </c>
      <c r="AM138" s="230">
        <f t="shared" si="81"/>
        <v>0</v>
      </c>
      <c r="AN138" s="230">
        <f t="shared" si="73"/>
        <v>0</v>
      </c>
      <c r="AO138" s="230">
        <f t="shared" si="56"/>
        <v>0</v>
      </c>
    </row>
    <row r="139" spans="1:41" ht="15.75" customHeight="1" x14ac:dyDescent="0.25">
      <c r="A139" s="251" t="s">
        <v>789</v>
      </c>
      <c r="B139" s="251" t="s">
        <v>36</v>
      </c>
      <c r="C139" s="251" t="s">
        <v>89</v>
      </c>
      <c r="D139" s="251" t="s">
        <v>95</v>
      </c>
      <c r="E139" s="251" t="s">
        <v>165</v>
      </c>
      <c r="F139" s="233">
        <f t="shared" si="57"/>
        <v>36</v>
      </c>
      <c r="G139" s="233">
        <f t="shared" si="58"/>
        <v>160</v>
      </c>
      <c r="H139" s="233">
        <f t="shared" si="59"/>
        <v>0</v>
      </c>
      <c r="I139" s="233">
        <f t="shared" si="60"/>
        <v>0</v>
      </c>
      <c r="J139" s="233">
        <f t="shared" si="61"/>
        <v>0</v>
      </c>
      <c r="K139" s="233">
        <f t="shared" si="62"/>
        <v>0</v>
      </c>
      <c r="L139" s="233">
        <f t="shared" si="63"/>
        <v>0</v>
      </c>
      <c r="M139" s="233">
        <f t="shared" si="64"/>
        <v>0</v>
      </c>
      <c r="N139" s="233">
        <f t="shared" si="74"/>
        <v>0</v>
      </c>
      <c r="O139" s="233">
        <f>IFERROR(VLOOKUP(A139,TOTAL_HORAS,79,FALSE),0)</f>
        <v>0</v>
      </c>
      <c r="P139" s="233"/>
      <c r="Q139" s="233"/>
      <c r="R139" s="231">
        <f t="shared" si="65"/>
        <v>35.795454545454547</v>
      </c>
      <c r="S139" s="231">
        <f t="shared" si="66"/>
        <v>39.375</v>
      </c>
      <c r="T139" s="231">
        <f t="shared" si="67"/>
        <v>34.239130434782609</v>
      </c>
      <c r="U139" s="231">
        <f t="shared" si="68"/>
        <v>43.75</v>
      </c>
      <c r="V139" s="231">
        <f t="shared" si="69"/>
        <v>35.795454545454547</v>
      </c>
      <c r="W139" s="231">
        <f t="shared" si="70"/>
        <v>37.5</v>
      </c>
      <c r="X139" s="231">
        <f t="shared" si="71"/>
        <v>39.375</v>
      </c>
      <c r="Y139" s="231">
        <f t="shared" si="72"/>
        <v>35.795454545454547</v>
      </c>
      <c r="Z139" s="231">
        <f t="shared" si="82"/>
        <v>37.5</v>
      </c>
      <c r="AA139" s="231"/>
      <c r="AB139" s="231"/>
      <c r="AC139" s="231"/>
      <c r="AD139" s="230">
        <f t="shared" si="55"/>
        <v>1288.6363636363637</v>
      </c>
      <c r="AE139" s="230">
        <f t="shared" si="75"/>
        <v>6300</v>
      </c>
      <c r="AF139" s="230">
        <f t="shared" si="76"/>
        <v>0</v>
      </c>
      <c r="AG139" s="230">
        <f t="shared" si="77"/>
        <v>0</v>
      </c>
      <c r="AH139" s="230">
        <f t="shared" si="78"/>
        <v>0</v>
      </c>
      <c r="AI139" s="230">
        <f t="shared" si="79"/>
        <v>0</v>
      </c>
      <c r="AJ139" s="230">
        <f t="shared" si="80"/>
        <v>0</v>
      </c>
      <c r="AK139" s="230">
        <f t="shared" si="81"/>
        <v>0</v>
      </c>
      <c r="AL139" s="230">
        <f t="shared" si="81"/>
        <v>0</v>
      </c>
      <c r="AM139" s="230">
        <f t="shared" si="81"/>
        <v>0</v>
      </c>
      <c r="AN139" s="230">
        <f t="shared" si="73"/>
        <v>0</v>
      </c>
      <c r="AO139" s="230">
        <f t="shared" si="56"/>
        <v>0</v>
      </c>
    </row>
    <row r="140" spans="1:41" ht="15.75" customHeight="1" x14ac:dyDescent="0.25">
      <c r="A140" s="251" t="s">
        <v>790</v>
      </c>
      <c r="B140" s="251" t="s">
        <v>36</v>
      </c>
      <c r="C140" s="251" t="s">
        <v>96</v>
      </c>
      <c r="D140" s="251" t="s">
        <v>203</v>
      </c>
      <c r="E140" s="251" t="s">
        <v>156</v>
      </c>
      <c r="F140" s="233">
        <f t="shared" si="57"/>
        <v>0</v>
      </c>
      <c r="G140" s="233">
        <f t="shared" si="58"/>
        <v>0</v>
      </c>
      <c r="H140" s="233">
        <f t="shared" si="59"/>
        <v>168</v>
      </c>
      <c r="I140" s="233">
        <f t="shared" si="60"/>
        <v>124</v>
      </c>
      <c r="J140" s="233">
        <f t="shared" si="61"/>
        <v>132</v>
      </c>
      <c r="K140" s="233">
        <f t="shared" si="62"/>
        <v>104</v>
      </c>
      <c r="L140" s="233">
        <f t="shared" si="63"/>
        <v>0</v>
      </c>
      <c r="M140" s="233">
        <f t="shared" si="64"/>
        <v>0</v>
      </c>
      <c r="N140" s="233">
        <f t="shared" si="74"/>
        <v>0</v>
      </c>
      <c r="O140" s="233">
        <f>IFERROR(VLOOKUP(A140,TOTAL_HORAS,79,FALSE),0)</f>
        <v>0</v>
      </c>
      <c r="P140" s="233"/>
      <c r="Q140" s="233"/>
      <c r="R140" s="231">
        <f t="shared" si="65"/>
        <v>35.795454545454547</v>
      </c>
      <c r="S140" s="231">
        <f t="shared" si="66"/>
        <v>39.375</v>
      </c>
      <c r="T140" s="231">
        <f t="shared" si="67"/>
        <v>34.239130434782609</v>
      </c>
      <c r="U140" s="231">
        <f t="shared" si="68"/>
        <v>43.75</v>
      </c>
      <c r="V140" s="231">
        <f t="shared" si="69"/>
        <v>35.795454545454547</v>
      </c>
      <c r="W140" s="231">
        <f t="shared" si="70"/>
        <v>37.5</v>
      </c>
      <c r="X140" s="231">
        <f t="shared" si="71"/>
        <v>39.375</v>
      </c>
      <c r="Y140" s="231">
        <f t="shared" si="72"/>
        <v>35.795454545454547</v>
      </c>
      <c r="Z140" s="231">
        <f t="shared" si="82"/>
        <v>37.5</v>
      </c>
      <c r="AA140" s="231"/>
      <c r="AB140" s="231"/>
      <c r="AC140" s="231"/>
      <c r="AD140" s="230">
        <f t="shared" si="55"/>
        <v>0</v>
      </c>
      <c r="AE140" s="230">
        <f t="shared" si="75"/>
        <v>0</v>
      </c>
      <c r="AF140" s="230">
        <f t="shared" si="76"/>
        <v>5752.173913043478</v>
      </c>
      <c r="AG140" s="230">
        <f t="shared" si="77"/>
        <v>5425</v>
      </c>
      <c r="AH140" s="230">
        <f t="shared" si="78"/>
        <v>4725</v>
      </c>
      <c r="AI140" s="230">
        <f t="shared" si="79"/>
        <v>3900</v>
      </c>
      <c r="AJ140" s="230">
        <f t="shared" si="80"/>
        <v>0</v>
      </c>
      <c r="AK140" s="230">
        <f t="shared" si="81"/>
        <v>0</v>
      </c>
      <c r="AL140" s="230">
        <f t="shared" si="81"/>
        <v>0</v>
      </c>
      <c r="AM140" s="230">
        <f t="shared" si="81"/>
        <v>0</v>
      </c>
      <c r="AN140" s="230">
        <f t="shared" si="73"/>
        <v>0</v>
      </c>
      <c r="AO140" s="230">
        <f t="shared" si="56"/>
        <v>0</v>
      </c>
    </row>
    <row r="141" spans="1:41" ht="15.75" customHeight="1" x14ac:dyDescent="0.25">
      <c r="A141" s="251" t="s">
        <v>791</v>
      </c>
      <c r="B141" s="251" t="s">
        <v>36</v>
      </c>
      <c r="C141" s="251" t="s">
        <v>78</v>
      </c>
      <c r="D141" s="251" t="s">
        <v>98</v>
      </c>
      <c r="E141" s="251" t="s">
        <v>135</v>
      </c>
      <c r="F141" s="233">
        <f t="shared" si="57"/>
        <v>0</v>
      </c>
      <c r="G141" s="233">
        <f t="shared" si="58"/>
        <v>0</v>
      </c>
      <c r="H141" s="233">
        <f t="shared" si="59"/>
        <v>0</v>
      </c>
      <c r="I141" s="233">
        <f t="shared" si="60"/>
        <v>0</v>
      </c>
      <c r="J141" s="233">
        <f t="shared" si="61"/>
        <v>4</v>
      </c>
      <c r="K141" s="233">
        <f t="shared" si="62"/>
        <v>0</v>
      </c>
      <c r="L141" s="233">
        <f t="shared" si="63"/>
        <v>0</v>
      </c>
      <c r="M141" s="233">
        <f t="shared" si="64"/>
        <v>0</v>
      </c>
      <c r="N141" s="233">
        <f t="shared" si="74"/>
        <v>0</v>
      </c>
      <c r="O141" s="233">
        <f>IFERROR(VLOOKUP(A141,TOTAL_HORAS,79,FALSE),0)</f>
        <v>0</v>
      </c>
      <c r="P141" s="233"/>
      <c r="Q141" s="233"/>
      <c r="R141" s="231">
        <f t="shared" si="65"/>
        <v>35.795454545454547</v>
      </c>
      <c r="S141" s="231">
        <f t="shared" si="66"/>
        <v>39.375</v>
      </c>
      <c r="T141" s="231">
        <f t="shared" si="67"/>
        <v>34.239130434782609</v>
      </c>
      <c r="U141" s="231">
        <f t="shared" si="68"/>
        <v>43.75</v>
      </c>
      <c r="V141" s="231">
        <f t="shared" si="69"/>
        <v>35.795454545454547</v>
      </c>
      <c r="W141" s="231">
        <f t="shared" si="70"/>
        <v>37.5</v>
      </c>
      <c r="X141" s="231">
        <f t="shared" si="71"/>
        <v>39.375</v>
      </c>
      <c r="Y141" s="231">
        <f t="shared" si="72"/>
        <v>35.795454545454547</v>
      </c>
      <c r="Z141" s="231">
        <f t="shared" si="82"/>
        <v>37.5</v>
      </c>
      <c r="AA141" s="231"/>
      <c r="AB141" s="231"/>
      <c r="AC141" s="231"/>
      <c r="AD141" s="230">
        <f t="shared" si="55"/>
        <v>0</v>
      </c>
      <c r="AE141" s="230">
        <f t="shared" si="75"/>
        <v>0</v>
      </c>
      <c r="AF141" s="230">
        <f t="shared" si="76"/>
        <v>0</v>
      </c>
      <c r="AG141" s="230">
        <f t="shared" si="77"/>
        <v>0</v>
      </c>
      <c r="AH141" s="230">
        <f t="shared" si="78"/>
        <v>143.18181818181819</v>
      </c>
      <c r="AI141" s="230">
        <f t="shared" si="79"/>
        <v>0</v>
      </c>
      <c r="AJ141" s="230">
        <f t="shared" si="80"/>
        <v>0</v>
      </c>
      <c r="AK141" s="230">
        <f t="shared" si="81"/>
        <v>0</v>
      </c>
      <c r="AL141" s="230">
        <f t="shared" si="81"/>
        <v>0</v>
      </c>
      <c r="AM141" s="230">
        <f t="shared" si="81"/>
        <v>0</v>
      </c>
      <c r="AN141" s="230">
        <f t="shared" si="73"/>
        <v>0</v>
      </c>
      <c r="AO141" s="230">
        <f t="shared" si="56"/>
        <v>0</v>
      </c>
    </row>
    <row r="142" spans="1:41" ht="15.75" customHeight="1" x14ac:dyDescent="0.25">
      <c r="A142" s="251" t="s">
        <v>792</v>
      </c>
      <c r="B142" s="251" t="s">
        <v>36</v>
      </c>
      <c r="C142" s="251" t="s">
        <v>45</v>
      </c>
      <c r="D142" s="251" t="s">
        <v>51</v>
      </c>
      <c r="E142" s="251" t="s">
        <v>122</v>
      </c>
      <c r="F142" s="233">
        <f t="shared" si="57"/>
        <v>0</v>
      </c>
      <c r="G142" s="233">
        <f t="shared" si="58"/>
        <v>0</v>
      </c>
      <c r="H142" s="233">
        <f t="shared" si="59"/>
        <v>0</v>
      </c>
      <c r="I142" s="233">
        <f t="shared" si="60"/>
        <v>0</v>
      </c>
      <c r="J142" s="233">
        <f t="shared" si="61"/>
        <v>0</v>
      </c>
      <c r="K142" s="233">
        <f t="shared" si="62"/>
        <v>16</v>
      </c>
      <c r="L142" s="233">
        <f t="shared" si="63"/>
        <v>0</v>
      </c>
      <c r="M142" s="233">
        <f t="shared" si="64"/>
        <v>0</v>
      </c>
      <c r="N142" s="233">
        <f t="shared" si="74"/>
        <v>0</v>
      </c>
      <c r="O142" s="233">
        <f>IFERROR(VLOOKUP(A142,TOTAL_HORAS,79,FALSE),0)</f>
        <v>0</v>
      </c>
      <c r="P142" s="233"/>
      <c r="Q142" s="233"/>
      <c r="R142" s="231">
        <f t="shared" si="65"/>
        <v>35.795454545454547</v>
      </c>
      <c r="S142" s="231">
        <f t="shared" si="66"/>
        <v>39.375</v>
      </c>
      <c r="T142" s="231">
        <f t="shared" si="67"/>
        <v>34.239130434782609</v>
      </c>
      <c r="U142" s="231">
        <f t="shared" si="68"/>
        <v>43.75</v>
      </c>
      <c r="V142" s="231">
        <f t="shared" si="69"/>
        <v>35.795454545454547</v>
      </c>
      <c r="W142" s="231">
        <f t="shared" si="70"/>
        <v>37.5</v>
      </c>
      <c r="X142" s="231">
        <f t="shared" si="71"/>
        <v>39.375</v>
      </c>
      <c r="Y142" s="231">
        <f t="shared" si="72"/>
        <v>35.795454545454547</v>
      </c>
      <c r="Z142" s="231">
        <f t="shared" si="82"/>
        <v>37.5</v>
      </c>
      <c r="AA142" s="231"/>
      <c r="AB142" s="231"/>
      <c r="AC142" s="231"/>
      <c r="AD142" s="230">
        <f t="shared" si="55"/>
        <v>0</v>
      </c>
      <c r="AE142" s="230">
        <f t="shared" si="75"/>
        <v>0</v>
      </c>
      <c r="AF142" s="230">
        <f t="shared" si="76"/>
        <v>0</v>
      </c>
      <c r="AG142" s="230">
        <f t="shared" si="77"/>
        <v>0</v>
      </c>
      <c r="AH142" s="230">
        <f t="shared" si="78"/>
        <v>0</v>
      </c>
      <c r="AI142" s="230">
        <f t="shared" si="79"/>
        <v>600</v>
      </c>
      <c r="AJ142" s="230">
        <f t="shared" si="80"/>
        <v>0</v>
      </c>
      <c r="AK142" s="230">
        <f t="shared" si="81"/>
        <v>0</v>
      </c>
      <c r="AL142" s="230">
        <f t="shared" si="81"/>
        <v>0</v>
      </c>
      <c r="AM142" s="230">
        <f t="shared" si="81"/>
        <v>0</v>
      </c>
      <c r="AN142" s="230">
        <f t="shared" si="73"/>
        <v>0</v>
      </c>
      <c r="AO142" s="230">
        <f t="shared" si="56"/>
        <v>0</v>
      </c>
    </row>
    <row r="143" spans="1:41" ht="15.75" customHeight="1" x14ac:dyDescent="0.25">
      <c r="A143" s="251" t="s">
        <v>793</v>
      </c>
      <c r="B143" s="251" t="s">
        <v>36</v>
      </c>
      <c r="C143" s="251" t="s">
        <v>234</v>
      </c>
      <c r="D143" s="251" t="s">
        <v>206</v>
      </c>
      <c r="E143" s="251" t="s">
        <v>235</v>
      </c>
      <c r="F143" s="233">
        <f t="shared" si="57"/>
        <v>0</v>
      </c>
      <c r="G143" s="233">
        <f t="shared" si="58"/>
        <v>0</v>
      </c>
      <c r="H143" s="233">
        <f t="shared" si="59"/>
        <v>0</v>
      </c>
      <c r="I143" s="233">
        <f t="shared" si="60"/>
        <v>0</v>
      </c>
      <c r="J143" s="233">
        <f t="shared" si="61"/>
        <v>0</v>
      </c>
      <c r="K143" s="233">
        <f t="shared" si="62"/>
        <v>40</v>
      </c>
      <c r="L143" s="233">
        <f t="shared" si="63"/>
        <v>107</v>
      </c>
      <c r="M143" s="233">
        <f t="shared" si="64"/>
        <v>80</v>
      </c>
      <c r="N143" s="233">
        <f t="shared" si="74"/>
        <v>156</v>
      </c>
      <c r="O143" s="233">
        <f>IFERROR(VLOOKUP(A143,TOTAL_HORAS,79,FALSE),0)</f>
        <v>40</v>
      </c>
      <c r="P143" s="233"/>
      <c r="Q143" s="233"/>
      <c r="R143" s="231">
        <f t="shared" si="65"/>
        <v>35.795454545454547</v>
      </c>
      <c r="S143" s="231">
        <f t="shared" si="66"/>
        <v>39.375</v>
      </c>
      <c r="T143" s="231">
        <f t="shared" si="67"/>
        <v>34.239130434782609</v>
      </c>
      <c r="U143" s="231">
        <f t="shared" si="68"/>
        <v>43.75</v>
      </c>
      <c r="V143" s="231">
        <f t="shared" si="69"/>
        <v>35.795454545454547</v>
      </c>
      <c r="W143" s="231">
        <f t="shared" si="70"/>
        <v>37.5</v>
      </c>
      <c r="X143" s="231">
        <f t="shared" si="71"/>
        <v>39.375</v>
      </c>
      <c r="Y143" s="231">
        <f t="shared" si="72"/>
        <v>35.795454545454547</v>
      </c>
      <c r="Z143" s="231">
        <f t="shared" si="82"/>
        <v>37.5</v>
      </c>
      <c r="AA143" s="231"/>
      <c r="AB143" s="231"/>
      <c r="AC143" s="231"/>
      <c r="AD143" s="230">
        <f t="shared" si="55"/>
        <v>0</v>
      </c>
      <c r="AE143" s="230">
        <f t="shared" si="75"/>
        <v>0</v>
      </c>
      <c r="AF143" s="230">
        <f t="shared" si="76"/>
        <v>0</v>
      </c>
      <c r="AG143" s="230">
        <f t="shared" si="77"/>
        <v>0</v>
      </c>
      <c r="AH143" s="230">
        <f t="shared" si="78"/>
        <v>0</v>
      </c>
      <c r="AI143" s="230">
        <f t="shared" si="79"/>
        <v>1500</v>
      </c>
      <c r="AJ143" s="230">
        <f t="shared" si="80"/>
        <v>4213.125</v>
      </c>
      <c r="AK143" s="230">
        <f t="shared" si="81"/>
        <v>2863.636363636364</v>
      </c>
      <c r="AL143" s="230">
        <f t="shared" si="81"/>
        <v>5850</v>
      </c>
      <c r="AM143" s="230">
        <f t="shared" si="81"/>
        <v>0</v>
      </c>
      <c r="AN143" s="230">
        <f t="shared" si="73"/>
        <v>0</v>
      </c>
      <c r="AO143" s="230">
        <f t="shared" si="56"/>
        <v>0</v>
      </c>
    </row>
    <row r="144" spans="1:41" ht="15.75" customHeight="1" x14ac:dyDescent="0.25">
      <c r="A144" s="251" t="s">
        <v>794</v>
      </c>
      <c r="B144" s="251" t="s">
        <v>37</v>
      </c>
      <c r="C144" s="251" t="s">
        <v>75</v>
      </c>
      <c r="D144" s="251" t="s">
        <v>75</v>
      </c>
      <c r="E144" s="251" t="s">
        <v>131</v>
      </c>
      <c r="F144" s="233">
        <f t="shared" si="57"/>
        <v>0</v>
      </c>
      <c r="G144" s="233">
        <f t="shared" si="58"/>
        <v>0</v>
      </c>
      <c r="H144" s="233">
        <f t="shared" si="59"/>
        <v>0</v>
      </c>
      <c r="I144" s="233">
        <f t="shared" si="60"/>
        <v>0</v>
      </c>
      <c r="J144" s="233">
        <f t="shared" si="61"/>
        <v>0</v>
      </c>
      <c r="K144" s="233">
        <f t="shared" si="62"/>
        <v>0</v>
      </c>
      <c r="L144" s="233">
        <f t="shared" si="63"/>
        <v>13</v>
      </c>
      <c r="M144" s="233">
        <f t="shared" si="64"/>
        <v>64</v>
      </c>
      <c r="N144" s="233">
        <f t="shared" si="74"/>
        <v>12</v>
      </c>
      <c r="O144" s="233">
        <f>IFERROR(VLOOKUP(A144,TOTAL_HORAS,79,FALSE),0)</f>
        <v>0</v>
      </c>
      <c r="P144" s="233"/>
      <c r="Q144" s="233"/>
      <c r="R144" s="231">
        <f t="shared" si="65"/>
        <v>38.06818181818182</v>
      </c>
      <c r="S144" s="231">
        <f t="shared" si="66"/>
        <v>41.875</v>
      </c>
      <c r="T144" s="231">
        <f t="shared" si="67"/>
        <v>36.413043478260867</v>
      </c>
      <c r="U144" s="231">
        <f t="shared" si="68"/>
        <v>46.527777777777779</v>
      </c>
      <c r="V144" s="231">
        <f t="shared" si="69"/>
        <v>38.06818181818182</v>
      </c>
      <c r="W144" s="231">
        <f t="shared" si="70"/>
        <v>39.88095238095238</v>
      </c>
      <c r="X144" s="231">
        <f t="shared" si="71"/>
        <v>41.875</v>
      </c>
      <c r="Y144" s="231">
        <f t="shared" si="72"/>
        <v>38.06818181818182</v>
      </c>
      <c r="Z144" s="231">
        <f t="shared" si="82"/>
        <v>39.88095238095238</v>
      </c>
      <c r="AA144" s="231"/>
      <c r="AB144" s="231"/>
      <c r="AC144" s="231"/>
      <c r="AD144" s="230">
        <f t="shared" si="55"/>
        <v>0</v>
      </c>
      <c r="AE144" s="230">
        <f t="shared" si="75"/>
        <v>0</v>
      </c>
      <c r="AF144" s="230">
        <f t="shared" si="76"/>
        <v>0</v>
      </c>
      <c r="AG144" s="230">
        <f t="shared" si="77"/>
        <v>0</v>
      </c>
      <c r="AH144" s="230">
        <f t="shared" si="78"/>
        <v>0</v>
      </c>
      <c r="AI144" s="230">
        <f t="shared" si="79"/>
        <v>0</v>
      </c>
      <c r="AJ144" s="230">
        <f t="shared" si="80"/>
        <v>544.375</v>
      </c>
      <c r="AK144" s="230">
        <f t="shared" si="81"/>
        <v>2436.3636363636365</v>
      </c>
      <c r="AL144" s="230">
        <f t="shared" si="81"/>
        <v>478.57142857142856</v>
      </c>
      <c r="AM144" s="230">
        <f t="shared" si="81"/>
        <v>0</v>
      </c>
      <c r="AN144" s="230">
        <f t="shared" si="73"/>
        <v>0</v>
      </c>
      <c r="AO144" s="230">
        <f t="shared" si="56"/>
        <v>0</v>
      </c>
    </row>
    <row r="145" spans="1:41" ht="15.75" customHeight="1" x14ac:dyDescent="0.25">
      <c r="A145" s="251" t="s">
        <v>795</v>
      </c>
      <c r="B145" s="251" t="s">
        <v>421</v>
      </c>
      <c r="C145" s="251" t="s">
        <v>75</v>
      </c>
      <c r="D145" s="251" t="s">
        <v>75</v>
      </c>
      <c r="E145" s="251" t="s">
        <v>131</v>
      </c>
      <c r="F145" s="233">
        <f t="shared" si="57"/>
        <v>100</v>
      </c>
      <c r="G145" s="233">
        <f t="shared" si="58"/>
        <v>94</v>
      </c>
      <c r="H145" s="233">
        <f t="shared" si="59"/>
        <v>59</v>
      </c>
      <c r="I145" s="233">
        <f t="shared" si="60"/>
        <v>0</v>
      </c>
      <c r="J145" s="233">
        <f t="shared" si="61"/>
        <v>0</v>
      </c>
      <c r="K145" s="233">
        <f t="shared" si="62"/>
        <v>0</v>
      </c>
      <c r="L145" s="233">
        <f t="shared" si="63"/>
        <v>0</v>
      </c>
      <c r="M145" s="233">
        <f t="shared" si="64"/>
        <v>0</v>
      </c>
      <c r="N145" s="233">
        <f t="shared" si="74"/>
        <v>0</v>
      </c>
      <c r="O145" s="233">
        <f>IFERROR(VLOOKUP(A145,TOTAL_HORAS,79,FALSE),0)</f>
        <v>0</v>
      </c>
      <c r="P145" s="233"/>
      <c r="Q145" s="233"/>
      <c r="R145" s="231">
        <f t="shared" si="65"/>
        <v>74.346590909090907</v>
      </c>
      <c r="S145" s="231">
        <f t="shared" si="66"/>
        <v>81.78125</v>
      </c>
      <c r="T145" s="231">
        <f t="shared" si="67"/>
        <v>71.114130434782609</v>
      </c>
      <c r="U145" s="231">
        <f t="shared" si="68"/>
        <v>0</v>
      </c>
      <c r="V145" s="231">
        <f t="shared" si="69"/>
        <v>0</v>
      </c>
      <c r="W145" s="231">
        <f t="shared" si="70"/>
        <v>0</v>
      </c>
      <c r="X145" s="231">
        <f t="shared" si="71"/>
        <v>0</v>
      </c>
      <c r="Y145" s="231">
        <f t="shared" si="72"/>
        <v>0</v>
      </c>
      <c r="Z145" s="231">
        <f t="shared" si="82"/>
        <v>0</v>
      </c>
      <c r="AA145" s="231"/>
      <c r="AB145" s="231"/>
      <c r="AC145" s="231"/>
      <c r="AD145" s="230">
        <f t="shared" ref="AD145:AD206" si="83">F145*R145</f>
        <v>7434.659090909091</v>
      </c>
      <c r="AE145" s="230">
        <f t="shared" si="75"/>
        <v>7687.4375</v>
      </c>
      <c r="AF145" s="230">
        <f t="shared" si="76"/>
        <v>4195.733695652174</v>
      </c>
      <c r="AG145" s="230">
        <f t="shared" si="77"/>
        <v>0</v>
      </c>
      <c r="AH145" s="230">
        <f t="shared" si="78"/>
        <v>0</v>
      </c>
      <c r="AI145" s="230">
        <f t="shared" si="79"/>
        <v>0</v>
      </c>
      <c r="AJ145" s="230">
        <f t="shared" si="80"/>
        <v>0</v>
      </c>
      <c r="AK145" s="230">
        <f t="shared" si="81"/>
        <v>0</v>
      </c>
      <c r="AL145" s="230">
        <f t="shared" si="81"/>
        <v>0</v>
      </c>
      <c r="AM145" s="230">
        <f t="shared" si="81"/>
        <v>0</v>
      </c>
      <c r="AN145" s="230">
        <f t="shared" si="73"/>
        <v>0</v>
      </c>
      <c r="AO145" s="230">
        <f t="shared" si="56"/>
        <v>0</v>
      </c>
    </row>
    <row r="146" spans="1:41" ht="15.75" customHeight="1" x14ac:dyDescent="0.25">
      <c r="A146" s="251" t="s">
        <v>796</v>
      </c>
      <c r="B146" s="251" t="s">
        <v>419</v>
      </c>
      <c r="C146" s="251" t="s">
        <v>75</v>
      </c>
      <c r="D146" s="251" t="s">
        <v>75</v>
      </c>
      <c r="E146" s="251" t="s">
        <v>131</v>
      </c>
      <c r="F146" s="233">
        <f t="shared" si="57"/>
        <v>176</v>
      </c>
      <c r="G146" s="233">
        <f t="shared" si="58"/>
        <v>160</v>
      </c>
      <c r="H146" s="233">
        <f t="shared" si="59"/>
        <v>184</v>
      </c>
      <c r="I146" s="233">
        <f t="shared" si="60"/>
        <v>144</v>
      </c>
      <c r="J146" s="233">
        <f t="shared" si="61"/>
        <v>0</v>
      </c>
      <c r="K146" s="233">
        <f t="shared" si="62"/>
        <v>0</v>
      </c>
      <c r="L146" s="233">
        <f t="shared" si="63"/>
        <v>0</v>
      </c>
      <c r="M146" s="233">
        <f t="shared" si="64"/>
        <v>0</v>
      </c>
      <c r="N146" s="233">
        <f t="shared" si="74"/>
        <v>0</v>
      </c>
      <c r="O146" s="233">
        <f>IFERROR(VLOOKUP(A146,TOTAL_HORAS,79,FALSE),0)</f>
        <v>0</v>
      </c>
      <c r="P146" s="233"/>
      <c r="Q146" s="233"/>
      <c r="R146" s="231">
        <f t="shared" si="65"/>
        <v>63.920454545454547</v>
      </c>
      <c r="S146" s="231">
        <f t="shared" si="66"/>
        <v>71.109375</v>
      </c>
      <c r="T146" s="231">
        <f t="shared" si="67"/>
        <v>61.834239130434781</v>
      </c>
      <c r="U146" s="231">
        <f t="shared" si="68"/>
        <v>79.010416666666671</v>
      </c>
      <c r="V146" s="231">
        <f t="shared" si="69"/>
        <v>0</v>
      </c>
      <c r="W146" s="231">
        <f t="shared" si="70"/>
        <v>0</v>
      </c>
      <c r="X146" s="231">
        <f t="shared" si="71"/>
        <v>0</v>
      </c>
      <c r="Y146" s="231">
        <f t="shared" si="72"/>
        <v>0</v>
      </c>
      <c r="Z146" s="231">
        <f t="shared" si="82"/>
        <v>0</v>
      </c>
      <c r="AA146" s="231"/>
      <c r="AB146" s="231"/>
      <c r="AC146" s="231"/>
      <c r="AD146" s="230">
        <f t="shared" si="83"/>
        <v>11250</v>
      </c>
      <c r="AE146" s="230">
        <f t="shared" si="75"/>
        <v>11377.5</v>
      </c>
      <c r="AF146" s="230">
        <f t="shared" si="76"/>
        <v>11377.5</v>
      </c>
      <c r="AG146" s="230">
        <f t="shared" si="77"/>
        <v>11377.5</v>
      </c>
      <c r="AH146" s="230">
        <f t="shared" si="78"/>
        <v>0</v>
      </c>
      <c r="AI146" s="230">
        <f t="shared" si="79"/>
        <v>0</v>
      </c>
      <c r="AJ146" s="230">
        <f t="shared" si="80"/>
        <v>0</v>
      </c>
      <c r="AK146" s="230">
        <f t="shared" si="81"/>
        <v>0</v>
      </c>
      <c r="AL146" s="230">
        <f t="shared" si="81"/>
        <v>0</v>
      </c>
      <c r="AM146" s="230">
        <f t="shared" si="81"/>
        <v>0</v>
      </c>
      <c r="AN146" s="230">
        <f t="shared" si="73"/>
        <v>0</v>
      </c>
      <c r="AO146" s="230">
        <f t="shared" si="56"/>
        <v>0</v>
      </c>
    </row>
    <row r="147" spans="1:41" ht="15.75" customHeight="1" x14ac:dyDescent="0.25">
      <c r="A147" s="251" t="s">
        <v>797</v>
      </c>
      <c r="B147" s="251" t="s">
        <v>425</v>
      </c>
      <c r="C147" s="251" t="s">
        <v>75</v>
      </c>
      <c r="D147" s="251" t="s">
        <v>75</v>
      </c>
      <c r="E147" s="251" t="s">
        <v>131</v>
      </c>
      <c r="F147" s="233">
        <f t="shared" si="57"/>
        <v>0</v>
      </c>
      <c r="G147" s="233">
        <f t="shared" si="58"/>
        <v>0</v>
      </c>
      <c r="H147" s="233">
        <f t="shared" si="59"/>
        <v>184</v>
      </c>
      <c r="I147" s="233">
        <f t="shared" si="60"/>
        <v>0</v>
      </c>
      <c r="J147" s="233">
        <f t="shared" si="61"/>
        <v>0</v>
      </c>
      <c r="K147" s="233">
        <f t="shared" si="62"/>
        <v>0</v>
      </c>
      <c r="L147" s="233">
        <f t="shared" si="63"/>
        <v>0</v>
      </c>
      <c r="M147" s="233">
        <f t="shared" si="64"/>
        <v>0</v>
      </c>
      <c r="N147" s="233">
        <f t="shared" si="74"/>
        <v>0</v>
      </c>
      <c r="O147" s="233">
        <f>IFERROR(VLOOKUP(A147,TOTAL_HORAS,79,FALSE),0)</f>
        <v>0</v>
      </c>
      <c r="P147" s="233"/>
      <c r="Q147" s="233"/>
      <c r="R147" s="231">
        <f t="shared" si="65"/>
        <v>22.15909090909091</v>
      </c>
      <c r="S147" s="231">
        <f t="shared" si="66"/>
        <v>24.375</v>
      </c>
      <c r="T147" s="231">
        <f t="shared" si="67"/>
        <v>21.195652173913043</v>
      </c>
      <c r="U147" s="231">
        <f t="shared" si="68"/>
        <v>0</v>
      </c>
      <c r="V147" s="231">
        <f t="shared" si="69"/>
        <v>0</v>
      </c>
      <c r="W147" s="231">
        <f t="shared" si="70"/>
        <v>0</v>
      </c>
      <c r="X147" s="231">
        <f t="shared" si="71"/>
        <v>0</v>
      </c>
      <c r="Y147" s="231">
        <f t="shared" si="72"/>
        <v>0</v>
      </c>
      <c r="Z147" s="231">
        <f t="shared" si="82"/>
        <v>0</v>
      </c>
      <c r="AA147" s="231"/>
      <c r="AB147" s="231"/>
      <c r="AC147" s="231"/>
      <c r="AD147" s="230">
        <f t="shared" si="83"/>
        <v>0</v>
      </c>
      <c r="AE147" s="230">
        <f t="shared" si="75"/>
        <v>0</v>
      </c>
      <c r="AF147" s="230">
        <f t="shared" si="76"/>
        <v>3900</v>
      </c>
      <c r="AG147" s="230">
        <f t="shared" si="77"/>
        <v>0</v>
      </c>
      <c r="AH147" s="230">
        <f t="shared" si="78"/>
        <v>0</v>
      </c>
      <c r="AI147" s="230">
        <f t="shared" si="79"/>
        <v>0</v>
      </c>
      <c r="AJ147" s="230">
        <f t="shared" si="80"/>
        <v>0</v>
      </c>
      <c r="AK147" s="230">
        <f t="shared" si="81"/>
        <v>0</v>
      </c>
      <c r="AL147" s="230">
        <f t="shared" si="81"/>
        <v>0</v>
      </c>
      <c r="AM147" s="230">
        <f t="shared" si="81"/>
        <v>0</v>
      </c>
      <c r="AN147" s="230">
        <f t="shared" si="73"/>
        <v>0</v>
      </c>
      <c r="AO147" s="230">
        <f t="shared" si="56"/>
        <v>0</v>
      </c>
    </row>
    <row r="148" spans="1:41" ht="15.75" customHeight="1" x14ac:dyDescent="0.25">
      <c r="A148" s="251" t="s">
        <v>798</v>
      </c>
      <c r="B148" s="251" t="s">
        <v>36</v>
      </c>
      <c r="C148" s="251" t="s">
        <v>75</v>
      </c>
      <c r="D148" s="251" t="s">
        <v>75</v>
      </c>
      <c r="E148" s="251" t="s">
        <v>131</v>
      </c>
      <c r="F148" s="233">
        <f t="shared" si="57"/>
        <v>0</v>
      </c>
      <c r="G148" s="233">
        <f t="shared" si="58"/>
        <v>0</v>
      </c>
      <c r="H148" s="233">
        <f t="shared" si="59"/>
        <v>0</v>
      </c>
      <c r="I148" s="233">
        <f t="shared" si="60"/>
        <v>0</v>
      </c>
      <c r="J148" s="233">
        <f t="shared" si="61"/>
        <v>0</v>
      </c>
      <c r="K148" s="233">
        <f t="shared" si="62"/>
        <v>0</v>
      </c>
      <c r="L148" s="233">
        <f t="shared" si="63"/>
        <v>13</v>
      </c>
      <c r="M148" s="233">
        <f t="shared" si="64"/>
        <v>8</v>
      </c>
      <c r="N148" s="233">
        <f t="shared" si="74"/>
        <v>12</v>
      </c>
      <c r="O148" s="233">
        <f>IFERROR(VLOOKUP(A148,TOTAL_HORAS,79,FALSE),0)</f>
        <v>0</v>
      </c>
      <c r="P148" s="233"/>
      <c r="Q148" s="233"/>
      <c r="R148" s="231">
        <f t="shared" si="65"/>
        <v>35.795454545454547</v>
      </c>
      <c r="S148" s="231">
        <f t="shared" si="66"/>
        <v>39.375</v>
      </c>
      <c r="T148" s="231">
        <f t="shared" si="67"/>
        <v>34.239130434782609</v>
      </c>
      <c r="U148" s="231">
        <f t="shared" si="68"/>
        <v>43.75</v>
      </c>
      <c r="V148" s="231">
        <f t="shared" si="69"/>
        <v>35.795454545454547</v>
      </c>
      <c r="W148" s="231">
        <f t="shared" si="70"/>
        <v>37.5</v>
      </c>
      <c r="X148" s="231">
        <f t="shared" si="71"/>
        <v>39.375</v>
      </c>
      <c r="Y148" s="231">
        <f t="shared" si="72"/>
        <v>35.795454545454547</v>
      </c>
      <c r="Z148" s="231">
        <f t="shared" si="82"/>
        <v>37.5</v>
      </c>
      <c r="AA148" s="231"/>
      <c r="AB148" s="231"/>
      <c r="AC148" s="231"/>
      <c r="AD148" s="230">
        <f t="shared" si="83"/>
        <v>0</v>
      </c>
      <c r="AE148" s="230">
        <f t="shared" si="75"/>
        <v>0</v>
      </c>
      <c r="AF148" s="230">
        <f t="shared" si="76"/>
        <v>0</v>
      </c>
      <c r="AG148" s="230">
        <f t="shared" si="77"/>
        <v>0</v>
      </c>
      <c r="AH148" s="230">
        <f t="shared" si="78"/>
        <v>0</v>
      </c>
      <c r="AI148" s="230">
        <f t="shared" si="79"/>
        <v>0</v>
      </c>
      <c r="AJ148" s="230">
        <f t="shared" si="80"/>
        <v>511.875</v>
      </c>
      <c r="AK148" s="230">
        <f t="shared" si="81"/>
        <v>286.36363636363637</v>
      </c>
      <c r="AL148" s="230">
        <f t="shared" si="81"/>
        <v>450</v>
      </c>
      <c r="AM148" s="230">
        <f t="shared" si="81"/>
        <v>0</v>
      </c>
      <c r="AN148" s="230">
        <f t="shared" si="73"/>
        <v>0</v>
      </c>
      <c r="AO148" s="230">
        <f t="shared" si="56"/>
        <v>0</v>
      </c>
    </row>
    <row r="149" spans="1:41" ht="15.75" customHeight="1" x14ac:dyDescent="0.25">
      <c r="A149" s="251" t="s">
        <v>799</v>
      </c>
      <c r="B149" s="251" t="s">
        <v>421</v>
      </c>
      <c r="C149" s="251" t="s">
        <v>46</v>
      </c>
      <c r="D149" s="251" t="s">
        <v>46</v>
      </c>
      <c r="E149" s="251" t="s">
        <v>132</v>
      </c>
      <c r="F149" s="233">
        <f t="shared" si="57"/>
        <v>0</v>
      </c>
      <c r="G149" s="233">
        <f t="shared" si="58"/>
        <v>0</v>
      </c>
      <c r="H149" s="233">
        <f t="shared" si="59"/>
        <v>29</v>
      </c>
      <c r="I149" s="233">
        <f t="shared" si="60"/>
        <v>0</v>
      </c>
      <c r="J149" s="233">
        <f t="shared" si="61"/>
        <v>0</v>
      </c>
      <c r="K149" s="233">
        <f t="shared" si="62"/>
        <v>0</v>
      </c>
      <c r="L149" s="233">
        <f t="shared" si="63"/>
        <v>0</v>
      </c>
      <c r="M149" s="233">
        <f t="shared" si="64"/>
        <v>0</v>
      </c>
      <c r="N149" s="233">
        <f t="shared" si="74"/>
        <v>0</v>
      </c>
      <c r="O149" s="233">
        <f>IFERROR(VLOOKUP(A149,TOTAL_HORAS,79,FALSE),0)</f>
        <v>0</v>
      </c>
      <c r="P149" s="233"/>
      <c r="Q149" s="233"/>
      <c r="R149" s="231">
        <f t="shared" si="65"/>
        <v>74.346590909090907</v>
      </c>
      <c r="S149" s="231">
        <f t="shared" si="66"/>
        <v>81.78125</v>
      </c>
      <c r="T149" s="231">
        <f t="shared" si="67"/>
        <v>71.114130434782609</v>
      </c>
      <c r="U149" s="231">
        <f t="shared" si="68"/>
        <v>0</v>
      </c>
      <c r="V149" s="231">
        <f t="shared" si="69"/>
        <v>0</v>
      </c>
      <c r="W149" s="231">
        <f t="shared" si="70"/>
        <v>0</v>
      </c>
      <c r="X149" s="231">
        <f t="shared" si="71"/>
        <v>0</v>
      </c>
      <c r="Y149" s="231">
        <f t="shared" si="72"/>
        <v>0</v>
      </c>
      <c r="Z149" s="231">
        <f t="shared" si="82"/>
        <v>0</v>
      </c>
      <c r="AA149" s="231"/>
      <c r="AB149" s="231"/>
      <c r="AC149" s="231"/>
      <c r="AD149" s="230">
        <f t="shared" si="83"/>
        <v>0</v>
      </c>
      <c r="AE149" s="230">
        <f t="shared" si="75"/>
        <v>0</v>
      </c>
      <c r="AF149" s="230">
        <f t="shared" si="76"/>
        <v>2062.3097826086955</v>
      </c>
      <c r="AG149" s="230">
        <f t="shared" si="77"/>
        <v>0</v>
      </c>
      <c r="AH149" s="230">
        <f t="shared" si="78"/>
        <v>0</v>
      </c>
      <c r="AI149" s="230">
        <f t="shared" si="79"/>
        <v>0</v>
      </c>
      <c r="AJ149" s="230">
        <f t="shared" si="80"/>
        <v>0</v>
      </c>
      <c r="AK149" s="230">
        <f t="shared" si="81"/>
        <v>0</v>
      </c>
      <c r="AL149" s="230">
        <f t="shared" si="81"/>
        <v>0</v>
      </c>
      <c r="AM149" s="230">
        <f t="shared" si="81"/>
        <v>0</v>
      </c>
      <c r="AN149" s="230">
        <f t="shared" si="73"/>
        <v>0</v>
      </c>
      <c r="AO149" s="230">
        <f t="shared" si="56"/>
        <v>0</v>
      </c>
    </row>
    <row r="150" spans="1:41" ht="15.75" customHeight="1" x14ac:dyDescent="0.25">
      <c r="A150" s="251" t="s">
        <v>800</v>
      </c>
      <c r="B150" s="251" t="s">
        <v>3</v>
      </c>
      <c r="C150" s="251" t="s">
        <v>208</v>
      </c>
      <c r="D150" s="251" t="s">
        <v>208</v>
      </c>
      <c r="E150" s="251" t="s">
        <v>210</v>
      </c>
      <c r="F150" s="233">
        <f t="shared" si="57"/>
        <v>6</v>
      </c>
      <c r="G150" s="233">
        <f t="shared" si="58"/>
        <v>8</v>
      </c>
      <c r="H150" s="233">
        <f t="shared" si="59"/>
        <v>0</v>
      </c>
      <c r="I150" s="233">
        <f t="shared" si="60"/>
        <v>24</v>
      </c>
      <c r="J150" s="233">
        <f t="shared" si="61"/>
        <v>0</v>
      </c>
      <c r="K150" s="233">
        <f t="shared" si="62"/>
        <v>0</v>
      </c>
      <c r="L150" s="233">
        <f t="shared" si="63"/>
        <v>0</v>
      </c>
      <c r="M150" s="233">
        <f t="shared" si="64"/>
        <v>0</v>
      </c>
      <c r="N150" s="233">
        <f t="shared" si="74"/>
        <v>8</v>
      </c>
      <c r="O150" s="233">
        <f>IFERROR(VLOOKUP(A150,TOTAL_HORAS,79,FALSE),0)</f>
        <v>8</v>
      </c>
      <c r="P150" s="233"/>
      <c r="Q150" s="233"/>
      <c r="R150" s="231">
        <f t="shared" si="65"/>
        <v>36.93181818181818</v>
      </c>
      <c r="S150" s="231">
        <f t="shared" si="66"/>
        <v>40.625</v>
      </c>
      <c r="T150" s="231">
        <f t="shared" si="67"/>
        <v>35.326086956521742</v>
      </c>
      <c r="U150" s="231">
        <f t="shared" si="68"/>
        <v>45.138888888888886</v>
      </c>
      <c r="V150" s="231">
        <f t="shared" si="69"/>
        <v>36.93181818181818</v>
      </c>
      <c r="W150" s="231">
        <f t="shared" si="70"/>
        <v>38.69047619047619</v>
      </c>
      <c r="X150" s="231">
        <f t="shared" si="71"/>
        <v>40.625</v>
      </c>
      <c r="Y150" s="231">
        <f t="shared" si="72"/>
        <v>36.93181818181818</v>
      </c>
      <c r="Z150" s="231">
        <f t="shared" si="82"/>
        <v>38.69047619047619</v>
      </c>
      <c r="AA150" s="231"/>
      <c r="AB150" s="231"/>
      <c r="AC150" s="231"/>
      <c r="AD150" s="230">
        <f t="shared" si="83"/>
        <v>221.59090909090907</v>
      </c>
      <c r="AE150" s="230">
        <f t="shared" si="75"/>
        <v>325</v>
      </c>
      <c r="AF150" s="230">
        <f t="shared" si="76"/>
        <v>0</v>
      </c>
      <c r="AG150" s="230">
        <f t="shared" si="77"/>
        <v>1083.3333333333333</v>
      </c>
      <c r="AH150" s="230">
        <f t="shared" si="78"/>
        <v>0</v>
      </c>
      <c r="AI150" s="230">
        <f t="shared" si="79"/>
        <v>0</v>
      </c>
      <c r="AJ150" s="230">
        <f t="shared" si="80"/>
        <v>0</v>
      </c>
      <c r="AK150" s="230">
        <f t="shared" si="81"/>
        <v>0</v>
      </c>
      <c r="AL150" s="230">
        <f t="shared" si="81"/>
        <v>309.52380952380952</v>
      </c>
      <c r="AM150" s="230">
        <f t="shared" si="81"/>
        <v>0</v>
      </c>
      <c r="AN150" s="230">
        <f t="shared" si="73"/>
        <v>0</v>
      </c>
      <c r="AO150" s="230">
        <f t="shared" si="56"/>
        <v>0</v>
      </c>
    </row>
    <row r="151" spans="1:41" ht="15.75" customHeight="1" x14ac:dyDescent="0.25">
      <c r="A151" s="251" t="s">
        <v>875</v>
      </c>
      <c r="B151" s="251" t="s">
        <v>3</v>
      </c>
      <c r="C151" s="251" t="s">
        <v>855</v>
      </c>
      <c r="D151" s="251" t="s">
        <v>855</v>
      </c>
      <c r="E151" s="251" t="s">
        <v>856</v>
      </c>
      <c r="F151" s="233">
        <f t="shared" si="57"/>
        <v>0</v>
      </c>
      <c r="G151" s="233">
        <f t="shared" si="58"/>
        <v>0</v>
      </c>
      <c r="H151" s="233">
        <f t="shared" si="59"/>
        <v>0</v>
      </c>
      <c r="I151" s="233">
        <f t="shared" si="60"/>
        <v>0</v>
      </c>
      <c r="J151" s="233">
        <f t="shared" si="61"/>
        <v>0</v>
      </c>
      <c r="K151" s="233">
        <f t="shared" si="62"/>
        <v>0</v>
      </c>
      <c r="L151" s="233">
        <f t="shared" si="63"/>
        <v>0</v>
      </c>
      <c r="M151" s="233">
        <f t="shared" si="64"/>
        <v>8</v>
      </c>
      <c r="N151" s="233">
        <f t="shared" si="74"/>
        <v>0</v>
      </c>
      <c r="O151" s="233">
        <f>IFERROR(VLOOKUP(A151,TOTAL_HORAS,79,FALSE),0)</f>
        <v>0</v>
      </c>
      <c r="P151" s="233"/>
      <c r="Q151" s="233"/>
      <c r="R151" s="231">
        <f t="shared" si="65"/>
        <v>36.93181818181818</v>
      </c>
      <c r="S151" s="231">
        <f t="shared" si="66"/>
        <v>40.625</v>
      </c>
      <c r="T151" s="231">
        <f t="shared" si="67"/>
        <v>35.326086956521742</v>
      </c>
      <c r="U151" s="231">
        <f t="shared" si="68"/>
        <v>45.138888888888886</v>
      </c>
      <c r="V151" s="231">
        <f t="shared" si="69"/>
        <v>36.93181818181818</v>
      </c>
      <c r="W151" s="231">
        <f t="shared" si="70"/>
        <v>38.69047619047619</v>
      </c>
      <c r="X151" s="231">
        <f t="shared" si="71"/>
        <v>40.625</v>
      </c>
      <c r="Y151" s="231">
        <f t="shared" si="72"/>
        <v>36.93181818181818</v>
      </c>
      <c r="Z151" s="231">
        <f t="shared" si="82"/>
        <v>38.69047619047619</v>
      </c>
      <c r="AA151" s="231"/>
      <c r="AB151" s="231"/>
      <c r="AC151" s="231"/>
      <c r="AD151" s="230">
        <f t="shared" si="83"/>
        <v>0</v>
      </c>
      <c r="AE151" s="230">
        <f t="shared" si="75"/>
        <v>0</v>
      </c>
      <c r="AF151" s="230">
        <f t="shared" si="76"/>
        <v>0</v>
      </c>
      <c r="AG151" s="230">
        <f t="shared" si="77"/>
        <v>0</v>
      </c>
      <c r="AH151" s="230">
        <f t="shared" si="78"/>
        <v>0</v>
      </c>
      <c r="AI151" s="230">
        <f t="shared" si="79"/>
        <v>0</v>
      </c>
      <c r="AJ151" s="230">
        <f t="shared" si="80"/>
        <v>0</v>
      </c>
      <c r="AK151" s="230">
        <f t="shared" si="81"/>
        <v>295.45454545454544</v>
      </c>
      <c r="AL151" s="230">
        <f t="shared" si="81"/>
        <v>0</v>
      </c>
      <c r="AM151" s="230">
        <f t="shared" si="81"/>
        <v>0</v>
      </c>
      <c r="AN151" s="230">
        <f t="shared" si="73"/>
        <v>0</v>
      </c>
      <c r="AO151" s="230">
        <f t="shared" si="56"/>
        <v>0</v>
      </c>
    </row>
    <row r="152" spans="1:41" ht="15.75" customHeight="1" x14ac:dyDescent="0.25">
      <c r="A152" s="251" t="s">
        <v>801</v>
      </c>
      <c r="B152" s="251" t="s">
        <v>36</v>
      </c>
      <c r="C152" s="251" t="s">
        <v>209</v>
      </c>
      <c r="D152" s="251" t="s">
        <v>209</v>
      </c>
      <c r="E152" s="251" t="s">
        <v>243</v>
      </c>
      <c r="F152" s="233">
        <f t="shared" si="57"/>
        <v>0</v>
      </c>
      <c r="G152" s="233">
        <f t="shared" si="58"/>
        <v>0</v>
      </c>
      <c r="H152" s="233">
        <f t="shared" si="59"/>
        <v>16</v>
      </c>
      <c r="I152" s="233">
        <f t="shared" si="60"/>
        <v>8</v>
      </c>
      <c r="J152" s="233">
        <f t="shared" si="61"/>
        <v>40</v>
      </c>
      <c r="K152" s="233">
        <f t="shared" si="62"/>
        <v>8</v>
      </c>
      <c r="L152" s="233">
        <f t="shared" si="63"/>
        <v>32</v>
      </c>
      <c r="M152" s="233">
        <f t="shared" si="64"/>
        <v>80</v>
      </c>
      <c r="N152" s="233">
        <f t="shared" si="74"/>
        <v>0</v>
      </c>
      <c r="O152" s="233">
        <f>IFERROR(VLOOKUP(A152,TOTAL_HORAS,79,FALSE),0)</f>
        <v>0</v>
      </c>
      <c r="P152" s="233"/>
      <c r="Q152" s="233"/>
      <c r="R152" s="231">
        <f t="shared" si="65"/>
        <v>35.795454545454547</v>
      </c>
      <c r="S152" s="231">
        <f t="shared" si="66"/>
        <v>39.375</v>
      </c>
      <c r="T152" s="231">
        <f t="shared" si="67"/>
        <v>34.239130434782609</v>
      </c>
      <c r="U152" s="231">
        <f t="shared" si="68"/>
        <v>43.75</v>
      </c>
      <c r="V152" s="231">
        <f t="shared" si="69"/>
        <v>35.795454545454547</v>
      </c>
      <c r="W152" s="231">
        <f t="shared" si="70"/>
        <v>37.5</v>
      </c>
      <c r="X152" s="231">
        <f t="shared" si="71"/>
        <v>39.375</v>
      </c>
      <c r="Y152" s="231">
        <f t="shared" si="72"/>
        <v>35.795454545454547</v>
      </c>
      <c r="Z152" s="231">
        <f t="shared" si="82"/>
        <v>37.5</v>
      </c>
      <c r="AA152" s="231"/>
      <c r="AB152" s="231"/>
      <c r="AC152" s="231"/>
      <c r="AD152" s="230">
        <f t="shared" si="83"/>
        <v>0</v>
      </c>
      <c r="AE152" s="230">
        <f t="shared" si="75"/>
        <v>0</v>
      </c>
      <c r="AF152" s="230">
        <f t="shared" si="76"/>
        <v>547.82608695652175</v>
      </c>
      <c r="AG152" s="230">
        <f t="shared" si="77"/>
        <v>350</v>
      </c>
      <c r="AH152" s="230">
        <f t="shared" si="78"/>
        <v>1431.818181818182</v>
      </c>
      <c r="AI152" s="230">
        <f t="shared" si="79"/>
        <v>300</v>
      </c>
      <c r="AJ152" s="230">
        <f t="shared" si="80"/>
        <v>1260</v>
      </c>
      <c r="AK152" s="230">
        <f t="shared" si="81"/>
        <v>2863.636363636364</v>
      </c>
      <c r="AL152" s="230">
        <f t="shared" si="81"/>
        <v>0</v>
      </c>
      <c r="AM152" s="230">
        <f t="shared" si="81"/>
        <v>0</v>
      </c>
      <c r="AN152" s="230">
        <f t="shared" si="73"/>
        <v>0</v>
      </c>
      <c r="AO152" s="230">
        <f t="shared" si="56"/>
        <v>0</v>
      </c>
    </row>
    <row r="153" spans="1:41" ht="15.75" customHeight="1" x14ac:dyDescent="0.25">
      <c r="A153" s="251" t="s">
        <v>802</v>
      </c>
      <c r="B153" s="251" t="s">
        <v>36</v>
      </c>
      <c r="C153" s="251" t="s">
        <v>46</v>
      </c>
      <c r="D153" s="251" t="s">
        <v>46</v>
      </c>
      <c r="E153" s="251" t="s">
        <v>132</v>
      </c>
      <c r="F153" s="233">
        <f t="shared" si="57"/>
        <v>0</v>
      </c>
      <c r="G153" s="233">
        <f t="shared" si="58"/>
        <v>0</v>
      </c>
      <c r="H153" s="233">
        <f t="shared" si="59"/>
        <v>0</v>
      </c>
      <c r="I153" s="233">
        <f t="shared" si="60"/>
        <v>12</v>
      </c>
      <c r="J153" s="233">
        <f t="shared" si="61"/>
        <v>0</v>
      </c>
      <c r="K153" s="233">
        <f t="shared" si="62"/>
        <v>0</v>
      </c>
      <c r="L153" s="233">
        <f t="shared" si="63"/>
        <v>0</v>
      </c>
      <c r="M153" s="233">
        <f t="shared" si="64"/>
        <v>0</v>
      </c>
      <c r="N153" s="233">
        <f t="shared" si="74"/>
        <v>0</v>
      </c>
      <c r="O153" s="233">
        <f>IFERROR(VLOOKUP(A153,TOTAL_HORAS,79,FALSE),0)</f>
        <v>0</v>
      </c>
      <c r="P153" s="233"/>
      <c r="Q153" s="233"/>
      <c r="R153" s="231">
        <f t="shared" si="65"/>
        <v>35.795454545454547</v>
      </c>
      <c r="S153" s="231">
        <f t="shared" si="66"/>
        <v>39.375</v>
      </c>
      <c r="T153" s="231">
        <f t="shared" si="67"/>
        <v>34.239130434782609</v>
      </c>
      <c r="U153" s="231">
        <f t="shared" si="68"/>
        <v>43.75</v>
      </c>
      <c r="V153" s="231">
        <f t="shared" si="69"/>
        <v>35.795454545454547</v>
      </c>
      <c r="W153" s="231">
        <f t="shared" si="70"/>
        <v>37.5</v>
      </c>
      <c r="X153" s="231">
        <f t="shared" si="71"/>
        <v>39.375</v>
      </c>
      <c r="Y153" s="231">
        <f t="shared" si="72"/>
        <v>35.795454545454547</v>
      </c>
      <c r="Z153" s="231">
        <f t="shared" si="82"/>
        <v>37.5</v>
      </c>
      <c r="AA153" s="231"/>
      <c r="AB153" s="231"/>
      <c r="AC153" s="231"/>
      <c r="AD153" s="230">
        <f t="shared" si="83"/>
        <v>0</v>
      </c>
      <c r="AE153" s="230">
        <f t="shared" si="75"/>
        <v>0</v>
      </c>
      <c r="AF153" s="230">
        <f t="shared" si="76"/>
        <v>0</v>
      </c>
      <c r="AG153" s="230">
        <f t="shared" si="77"/>
        <v>525</v>
      </c>
      <c r="AH153" s="230">
        <f t="shared" si="78"/>
        <v>0</v>
      </c>
      <c r="AI153" s="230">
        <f t="shared" si="79"/>
        <v>0</v>
      </c>
      <c r="AJ153" s="230">
        <f t="shared" si="80"/>
        <v>0</v>
      </c>
      <c r="AK153" s="230">
        <f t="shared" si="81"/>
        <v>0</v>
      </c>
      <c r="AL153" s="230">
        <f t="shared" si="81"/>
        <v>0</v>
      </c>
      <c r="AM153" s="230">
        <f t="shared" si="81"/>
        <v>0</v>
      </c>
      <c r="AN153" s="230">
        <f t="shared" si="73"/>
        <v>0</v>
      </c>
      <c r="AO153" s="230">
        <f t="shared" si="56"/>
        <v>0</v>
      </c>
    </row>
    <row r="154" spans="1:41" ht="15.75" customHeight="1" x14ac:dyDescent="0.25">
      <c r="A154" s="251" t="s">
        <v>803</v>
      </c>
      <c r="B154" s="251" t="s">
        <v>418</v>
      </c>
      <c r="C154" s="251" t="s">
        <v>91</v>
      </c>
      <c r="D154" s="251" t="s">
        <v>92</v>
      </c>
      <c r="E154" s="251" t="s">
        <v>117</v>
      </c>
      <c r="F154" s="233">
        <f t="shared" si="57"/>
        <v>88</v>
      </c>
      <c r="G154" s="233">
        <f t="shared" si="58"/>
        <v>0</v>
      </c>
      <c r="H154" s="233">
        <f t="shared" si="59"/>
        <v>0</v>
      </c>
      <c r="I154" s="233">
        <f t="shared" si="60"/>
        <v>0</v>
      </c>
      <c r="J154" s="233">
        <f t="shared" si="61"/>
        <v>0</v>
      </c>
      <c r="K154" s="233">
        <f t="shared" si="62"/>
        <v>0</v>
      </c>
      <c r="L154" s="233">
        <f t="shared" si="63"/>
        <v>0</v>
      </c>
      <c r="M154" s="233">
        <f t="shared" si="64"/>
        <v>0</v>
      </c>
      <c r="N154" s="233">
        <f t="shared" si="74"/>
        <v>0</v>
      </c>
      <c r="O154" s="233">
        <f>IFERROR(VLOOKUP(A154,TOTAL_HORAS,79,FALSE),0)</f>
        <v>0</v>
      </c>
      <c r="P154" s="233"/>
      <c r="Q154" s="233"/>
      <c r="R154" s="231">
        <f t="shared" si="65"/>
        <v>22.15909090909091</v>
      </c>
      <c r="S154" s="231">
        <f t="shared" si="66"/>
        <v>24.375</v>
      </c>
      <c r="T154" s="231">
        <f t="shared" si="67"/>
        <v>21.195652173913043</v>
      </c>
      <c r="U154" s="231">
        <f t="shared" si="68"/>
        <v>27.083333333333332</v>
      </c>
      <c r="V154" s="231">
        <f t="shared" si="69"/>
        <v>0</v>
      </c>
      <c r="W154" s="231">
        <f t="shared" si="70"/>
        <v>0</v>
      </c>
      <c r="X154" s="231">
        <f t="shared" si="71"/>
        <v>0</v>
      </c>
      <c r="Y154" s="231">
        <f t="shared" si="72"/>
        <v>0</v>
      </c>
      <c r="Z154" s="231">
        <f t="shared" si="82"/>
        <v>0</v>
      </c>
      <c r="AA154" s="231"/>
      <c r="AB154" s="231"/>
      <c r="AC154" s="231"/>
      <c r="AD154" s="230">
        <f t="shared" si="83"/>
        <v>1950</v>
      </c>
      <c r="AE154" s="230">
        <f t="shared" si="75"/>
        <v>0</v>
      </c>
      <c r="AF154" s="230">
        <f t="shared" si="76"/>
        <v>0</v>
      </c>
      <c r="AG154" s="230">
        <f t="shared" si="77"/>
        <v>0</v>
      </c>
      <c r="AH154" s="230">
        <f t="shared" si="78"/>
        <v>0</v>
      </c>
      <c r="AI154" s="230">
        <f t="shared" si="79"/>
        <v>0</v>
      </c>
      <c r="AJ154" s="230">
        <f t="shared" si="80"/>
        <v>0</v>
      </c>
      <c r="AK154" s="230">
        <f t="shared" si="81"/>
        <v>0</v>
      </c>
      <c r="AL154" s="230">
        <f t="shared" si="81"/>
        <v>0</v>
      </c>
      <c r="AM154" s="230">
        <f t="shared" si="81"/>
        <v>0</v>
      </c>
      <c r="AN154" s="230">
        <f t="shared" si="73"/>
        <v>0</v>
      </c>
      <c r="AO154" s="230">
        <f t="shared" si="56"/>
        <v>0</v>
      </c>
    </row>
    <row r="155" spans="1:41" ht="15.75" customHeight="1" x14ac:dyDescent="0.25">
      <c r="A155" s="251" t="s">
        <v>804</v>
      </c>
      <c r="B155" s="251" t="s">
        <v>36</v>
      </c>
      <c r="C155" s="251" t="s">
        <v>208</v>
      </c>
      <c r="D155" s="251" t="s">
        <v>208</v>
      </c>
      <c r="E155" s="251" t="s">
        <v>210</v>
      </c>
      <c r="F155" s="233">
        <f t="shared" si="57"/>
        <v>0</v>
      </c>
      <c r="G155" s="233">
        <f t="shared" si="58"/>
        <v>0</v>
      </c>
      <c r="H155" s="233">
        <f t="shared" si="59"/>
        <v>0</v>
      </c>
      <c r="I155" s="233">
        <f t="shared" si="60"/>
        <v>0</v>
      </c>
      <c r="J155" s="233">
        <f t="shared" si="61"/>
        <v>0</v>
      </c>
      <c r="K155" s="233">
        <f t="shared" si="62"/>
        <v>0</v>
      </c>
      <c r="L155" s="233">
        <f t="shared" si="63"/>
        <v>8</v>
      </c>
      <c r="M155" s="233">
        <f t="shared" si="64"/>
        <v>8</v>
      </c>
      <c r="N155" s="233">
        <f t="shared" si="74"/>
        <v>0</v>
      </c>
      <c r="O155" s="233">
        <f>IFERROR(VLOOKUP(A155,TOTAL_HORAS,79,FALSE),0)</f>
        <v>0</v>
      </c>
      <c r="P155" s="233"/>
      <c r="Q155" s="233"/>
      <c r="R155" s="231">
        <f t="shared" si="65"/>
        <v>35.795454545454547</v>
      </c>
      <c r="S155" s="231">
        <f t="shared" si="66"/>
        <v>39.375</v>
      </c>
      <c r="T155" s="231">
        <f t="shared" si="67"/>
        <v>34.239130434782609</v>
      </c>
      <c r="U155" s="231">
        <f t="shared" si="68"/>
        <v>43.75</v>
      </c>
      <c r="V155" s="231">
        <f t="shared" si="69"/>
        <v>35.795454545454547</v>
      </c>
      <c r="W155" s="231">
        <f t="shared" si="70"/>
        <v>37.5</v>
      </c>
      <c r="X155" s="231">
        <f t="shared" si="71"/>
        <v>39.375</v>
      </c>
      <c r="Y155" s="231">
        <f t="shared" si="72"/>
        <v>35.795454545454547</v>
      </c>
      <c r="Z155" s="231">
        <f t="shared" si="82"/>
        <v>37.5</v>
      </c>
      <c r="AA155" s="231"/>
      <c r="AB155" s="231"/>
      <c r="AC155" s="231"/>
      <c r="AD155" s="230">
        <f t="shared" si="83"/>
        <v>0</v>
      </c>
      <c r="AE155" s="230">
        <f t="shared" si="75"/>
        <v>0</v>
      </c>
      <c r="AF155" s="230">
        <f t="shared" si="76"/>
        <v>0</v>
      </c>
      <c r="AG155" s="230">
        <f t="shared" si="77"/>
        <v>0</v>
      </c>
      <c r="AH155" s="230">
        <f t="shared" si="78"/>
        <v>0</v>
      </c>
      <c r="AI155" s="230">
        <f t="shared" si="79"/>
        <v>0</v>
      </c>
      <c r="AJ155" s="230">
        <f t="shared" si="80"/>
        <v>315</v>
      </c>
      <c r="AK155" s="230">
        <f t="shared" si="81"/>
        <v>286.36363636363637</v>
      </c>
      <c r="AL155" s="230">
        <f t="shared" si="81"/>
        <v>0</v>
      </c>
      <c r="AM155" s="230">
        <f t="shared" si="81"/>
        <v>0</v>
      </c>
      <c r="AN155" s="230">
        <f t="shared" si="73"/>
        <v>0</v>
      </c>
      <c r="AO155" s="230">
        <f t="shared" si="56"/>
        <v>0</v>
      </c>
    </row>
    <row r="156" spans="1:41" ht="15.75" customHeight="1" x14ac:dyDescent="0.25">
      <c r="A156" s="251" t="s">
        <v>805</v>
      </c>
      <c r="B156" s="251" t="s">
        <v>37</v>
      </c>
      <c r="C156" s="251" t="s">
        <v>89</v>
      </c>
      <c r="D156" s="251" t="s">
        <v>90</v>
      </c>
      <c r="E156" s="251" t="s">
        <v>113</v>
      </c>
      <c r="F156" s="233">
        <f t="shared" si="57"/>
        <v>140</v>
      </c>
      <c r="G156" s="233">
        <f t="shared" si="58"/>
        <v>0</v>
      </c>
      <c r="H156" s="233">
        <f t="shared" si="59"/>
        <v>0</v>
      </c>
      <c r="I156" s="233">
        <f t="shared" si="60"/>
        <v>0</v>
      </c>
      <c r="J156" s="233">
        <f t="shared" si="61"/>
        <v>0</v>
      </c>
      <c r="K156" s="233">
        <f t="shared" si="62"/>
        <v>0</v>
      </c>
      <c r="L156" s="233">
        <f t="shared" si="63"/>
        <v>0</v>
      </c>
      <c r="M156" s="233">
        <f t="shared" si="64"/>
        <v>0</v>
      </c>
      <c r="N156" s="233">
        <f t="shared" si="74"/>
        <v>0</v>
      </c>
      <c r="O156" s="233">
        <f>IFERROR(VLOOKUP(A156,TOTAL_HORAS,79,FALSE),0)</f>
        <v>0</v>
      </c>
      <c r="P156" s="233"/>
      <c r="Q156" s="233"/>
      <c r="R156" s="231">
        <f t="shared" si="65"/>
        <v>38.06818181818182</v>
      </c>
      <c r="S156" s="231">
        <f t="shared" si="66"/>
        <v>41.875</v>
      </c>
      <c r="T156" s="231">
        <f t="shared" si="67"/>
        <v>36.413043478260867</v>
      </c>
      <c r="U156" s="231">
        <f t="shared" si="68"/>
        <v>46.527777777777779</v>
      </c>
      <c r="V156" s="231">
        <f t="shared" si="69"/>
        <v>38.06818181818182</v>
      </c>
      <c r="W156" s="231">
        <f t="shared" si="70"/>
        <v>39.88095238095238</v>
      </c>
      <c r="X156" s="231">
        <f t="shared" si="71"/>
        <v>41.875</v>
      </c>
      <c r="Y156" s="231">
        <f t="shared" si="72"/>
        <v>38.06818181818182</v>
      </c>
      <c r="Z156" s="231">
        <f t="shared" si="82"/>
        <v>39.88095238095238</v>
      </c>
      <c r="AA156" s="231"/>
      <c r="AB156" s="231"/>
      <c r="AC156" s="231"/>
      <c r="AD156" s="230">
        <f t="shared" si="83"/>
        <v>5329.545454545455</v>
      </c>
      <c r="AE156" s="230">
        <f t="shared" si="75"/>
        <v>0</v>
      </c>
      <c r="AF156" s="230">
        <f t="shared" si="76"/>
        <v>0</v>
      </c>
      <c r="AG156" s="230">
        <f t="shared" si="77"/>
        <v>0</v>
      </c>
      <c r="AH156" s="230">
        <f t="shared" si="78"/>
        <v>0</v>
      </c>
      <c r="AI156" s="230">
        <f t="shared" si="79"/>
        <v>0</v>
      </c>
      <c r="AJ156" s="230">
        <f t="shared" si="80"/>
        <v>0</v>
      </c>
      <c r="AK156" s="230">
        <f t="shared" si="81"/>
        <v>0</v>
      </c>
      <c r="AL156" s="230">
        <f t="shared" si="81"/>
        <v>0</v>
      </c>
      <c r="AM156" s="230">
        <f t="shared" si="81"/>
        <v>0</v>
      </c>
      <c r="AN156" s="230">
        <f t="shared" si="73"/>
        <v>0</v>
      </c>
      <c r="AO156" s="230">
        <f t="shared" si="56"/>
        <v>0</v>
      </c>
    </row>
    <row r="157" spans="1:41" ht="15.75" customHeight="1" x14ac:dyDescent="0.25">
      <c r="A157" s="251" t="s">
        <v>806</v>
      </c>
      <c r="B157" s="251" t="s">
        <v>37</v>
      </c>
      <c r="C157" s="251" t="s">
        <v>89</v>
      </c>
      <c r="D157" s="251" t="s">
        <v>95</v>
      </c>
      <c r="E157" s="251" t="s">
        <v>165</v>
      </c>
      <c r="F157" s="233">
        <f t="shared" si="57"/>
        <v>36</v>
      </c>
      <c r="G157" s="233">
        <f t="shared" si="58"/>
        <v>160</v>
      </c>
      <c r="H157" s="233">
        <f t="shared" si="59"/>
        <v>0</v>
      </c>
      <c r="I157" s="233">
        <f t="shared" si="60"/>
        <v>0</v>
      </c>
      <c r="J157" s="233">
        <f t="shared" si="61"/>
        <v>0</v>
      </c>
      <c r="K157" s="233">
        <f t="shared" si="62"/>
        <v>0</v>
      </c>
      <c r="L157" s="233">
        <f t="shared" si="63"/>
        <v>0</v>
      </c>
      <c r="M157" s="233">
        <f t="shared" si="64"/>
        <v>0</v>
      </c>
      <c r="N157" s="233">
        <f t="shared" si="74"/>
        <v>0</v>
      </c>
      <c r="O157" s="233">
        <f>IFERROR(VLOOKUP(A157,TOTAL_HORAS,79,FALSE),0)</f>
        <v>0</v>
      </c>
      <c r="P157" s="233"/>
      <c r="Q157" s="233"/>
      <c r="R157" s="231">
        <f t="shared" si="65"/>
        <v>38.06818181818182</v>
      </c>
      <c r="S157" s="231">
        <f t="shared" si="66"/>
        <v>41.875</v>
      </c>
      <c r="T157" s="231">
        <f t="shared" si="67"/>
        <v>36.413043478260867</v>
      </c>
      <c r="U157" s="231">
        <f t="shared" si="68"/>
        <v>46.527777777777779</v>
      </c>
      <c r="V157" s="231">
        <f t="shared" si="69"/>
        <v>38.06818181818182</v>
      </c>
      <c r="W157" s="231">
        <f t="shared" si="70"/>
        <v>39.88095238095238</v>
      </c>
      <c r="X157" s="231">
        <f t="shared" si="71"/>
        <v>41.875</v>
      </c>
      <c r="Y157" s="231">
        <f t="shared" si="72"/>
        <v>38.06818181818182</v>
      </c>
      <c r="Z157" s="231">
        <f t="shared" si="82"/>
        <v>39.88095238095238</v>
      </c>
      <c r="AA157" s="231"/>
      <c r="AB157" s="231"/>
      <c r="AC157" s="231"/>
      <c r="AD157" s="230">
        <f t="shared" si="83"/>
        <v>1370.4545454545455</v>
      </c>
      <c r="AE157" s="230">
        <f t="shared" si="75"/>
        <v>6700</v>
      </c>
      <c r="AF157" s="230">
        <f t="shared" si="76"/>
        <v>0</v>
      </c>
      <c r="AG157" s="230">
        <f t="shared" si="77"/>
        <v>0</v>
      </c>
      <c r="AH157" s="230">
        <f t="shared" si="78"/>
        <v>0</v>
      </c>
      <c r="AI157" s="230">
        <f t="shared" si="79"/>
        <v>0</v>
      </c>
      <c r="AJ157" s="230">
        <f t="shared" si="80"/>
        <v>0</v>
      </c>
      <c r="AK157" s="230">
        <f t="shared" si="81"/>
        <v>0</v>
      </c>
      <c r="AL157" s="230">
        <f t="shared" si="81"/>
        <v>0</v>
      </c>
      <c r="AM157" s="230">
        <f t="shared" si="81"/>
        <v>0</v>
      </c>
      <c r="AN157" s="230">
        <f t="shared" si="73"/>
        <v>0</v>
      </c>
      <c r="AO157" s="230">
        <f t="shared" si="56"/>
        <v>0</v>
      </c>
    </row>
    <row r="158" spans="1:41" ht="15.75" customHeight="1" x14ac:dyDescent="0.25">
      <c r="A158" s="251" t="s">
        <v>807</v>
      </c>
      <c r="B158" s="251" t="s">
        <v>37</v>
      </c>
      <c r="C158" s="251" t="s">
        <v>78</v>
      </c>
      <c r="D158" s="251" t="s">
        <v>98</v>
      </c>
      <c r="E158" s="251" t="s">
        <v>135</v>
      </c>
      <c r="F158" s="233">
        <f t="shared" si="57"/>
        <v>0</v>
      </c>
      <c r="G158" s="233">
        <f t="shared" si="58"/>
        <v>0</v>
      </c>
      <c r="H158" s="233">
        <f t="shared" si="59"/>
        <v>0</v>
      </c>
      <c r="I158" s="233">
        <f t="shared" si="60"/>
        <v>12</v>
      </c>
      <c r="J158" s="233">
        <f t="shared" si="61"/>
        <v>12</v>
      </c>
      <c r="K158" s="233">
        <f t="shared" si="62"/>
        <v>50</v>
      </c>
      <c r="L158" s="233">
        <f t="shared" si="63"/>
        <v>0</v>
      </c>
      <c r="M158" s="233">
        <f t="shared" si="64"/>
        <v>0</v>
      </c>
      <c r="N158" s="233">
        <f t="shared" si="74"/>
        <v>0</v>
      </c>
      <c r="O158" s="233">
        <f>IFERROR(VLOOKUP(A158,TOTAL_HORAS,79,FALSE),0)</f>
        <v>0</v>
      </c>
      <c r="P158" s="233"/>
      <c r="Q158" s="233"/>
      <c r="R158" s="231">
        <f t="shared" si="65"/>
        <v>38.06818181818182</v>
      </c>
      <c r="S158" s="231">
        <f t="shared" si="66"/>
        <v>41.875</v>
      </c>
      <c r="T158" s="231">
        <f t="shared" si="67"/>
        <v>36.413043478260867</v>
      </c>
      <c r="U158" s="231">
        <f t="shared" si="68"/>
        <v>46.527777777777779</v>
      </c>
      <c r="V158" s="231">
        <f t="shared" si="69"/>
        <v>38.06818181818182</v>
      </c>
      <c r="W158" s="231">
        <f t="shared" si="70"/>
        <v>39.88095238095238</v>
      </c>
      <c r="X158" s="231">
        <f t="shared" si="71"/>
        <v>41.875</v>
      </c>
      <c r="Y158" s="231">
        <f t="shared" si="72"/>
        <v>38.06818181818182</v>
      </c>
      <c r="Z158" s="231">
        <f t="shared" si="82"/>
        <v>39.88095238095238</v>
      </c>
      <c r="AA158" s="231"/>
      <c r="AB158" s="231"/>
      <c r="AC158" s="231"/>
      <c r="AD158" s="230">
        <f t="shared" si="83"/>
        <v>0</v>
      </c>
      <c r="AE158" s="230">
        <f t="shared" si="75"/>
        <v>0</v>
      </c>
      <c r="AF158" s="230">
        <f t="shared" si="76"/>
        <v>0</v>
      </c>
      <c r="AG158" s="230">
        <f t="shared" si="77"/>
        <v>558.33333333333337</v>
      </c>
      <c r="AH158" s="230">
        <f t="shared" si="78"/>
        <v>456.81818181818187</v>
      </c>
      <c r="AI158" s="230">
        <f t="shared" si="79"/>
        <v>1994.047619047619</v>
      </c>
      <c r="AJ158" s="230">
        <f t="shared" si="80"/>
        <v>0</v>
      </c>
      <c r="AK158" s="230">
        <f t="shared" si="81"/>
        <v>0</v>
      </c>
      <c r="AL158" s="230">
        <f t="shared" si="81"/>
        <v>0</v>
      </c>
      <c r="AM158" s="230">
        <f t="shared" si="81"/>
        <v>0</v>
      </c>
      <c r="AN158" s="230">
        <f t="shared" si="73"/>
        <v>0</v>
      </c>
      <c r="AO158" s="230">
        <f t="shared" si="56"/>
        <v>0</v>
      </c>
    </row>
    <row r="159" spans="1:41" ht="15.75" customHeight="1" x14ac:dyDescent="0.25">
      <c r="A159" s="251" t="s">
        <v>808</v>
      </c>
      <c r="B159" s="251" t="s">
        <v>134</v>
      </c>
      <c r="C159" s="251" t="s">
        <v>96</v>
      </c>
      <c r="D159" s="251" t="s">
        <v>203</v>
      </c>
      <c r="E159" s="251" t="s">
        <v>156</v>
      </c>
      <c r="F159" s="233">
        <f t="shared" si="57"/>
        <v>0</v>
      </c>
      <c r="G159" s="233">
        <f t="shared" si="58"/>
        <v>0</v>
      </c>
      <c r="H159" s="233">
        <f t="shared" si="59"/>
        <v>0</v>
      </c>
      <c r="I159" s="233">
        <f t="shared" si="60"/>
        <v>0</v>
      </c>
      <c r="J159" s="233">
        <f t="shared" si="61"/>
        <v>0</v>
      </c>
      <c r="K159" s="233">
        <f t="shared" si="62"/>
        <v>0</v>
      </c>
      <c r="L159" s="233">
        <f t="shared" si="63"/>
        <v>16</v>
      </c>
      <c r="M159" s="233">
        <f t="shared" si="64"/>
        <v>0</v>
      </c>
      <c r="N159" s="233">
        <f t="shared" si="74"/>
        <v>0</v>
      </c>
      <c r="O159" s="233">
        <f>IFERROR(VLOOKUP(A159,TOTAL_HORAS,79,FALSE),0)</f>
        <v>0</v>
      </c>
      <c r="P159" s="233"/>
      <c r="Q159" s="233"/>
      <c r="R159" s="231">
        <f t="shared" si="65"/>
        <v>0</v>
      </c>
      <c r="S159" s="231">
        <f t="shared" si="66"/>
        <v>0</v>
      </c>
      <c r="T159" s="231">
        <f t="shared" si="67"/>
        <v>0</v>
      </c>
      <c r="U159" s="231">
        <f t="shared" si="68"/>
        <v>31.597222222222221</v>
      </c>
      <c r="V159" s="231">
        <f t="shared" si="69"/>
        <v>25.852272727272727</v>
      </c>
      <c r="W159" s="231">
        <f t="shared" si="70"/>
        <v>27.741071428571427</v>
      </c>
      <c r="X159" s="231">
        <f t="shared" si="71"/>
        <v>29.128125000000001</v>
      </c>
      <c r="Y159" s="231">
        <f t="shared" si="72"/>
        <v>26.480113636363637</v>
      </c>
      <c r="Z159" s="231">
        <f t="shared" si="82"/>
        <v>27.741071428571427</v>
      </c>
      <c r="AA159" s="231"/>
      <c r="AB159" s="231"/>
      <c r="AC159" s="231"/>
      <c r="AD159" s="230">
        <f t="shared" si="83"/>
        <v>0</v>
      </c>
      <c r="AE159" s="230">
        <f t="shared" si="75"/>
        <v>0</v>
      </c>
      <c r="AF159" s="230">
        <f t="shared" si="76"/>
        <v>0</v>
      </c>
      <c r="AG159" s="230">
        <f t="shared" si="77"/>
        <v>0</v>
      </c>
      <c r="AH159" s="230">
        <f t="shared" si="78"/>
        <v>0</v>
      </c>
      <c r="AI159" s="230">
        <f t="shared" si="79"/>
        <v>0</v>
      </c>
      <c r="AJ159" s="230">
        <f t="shared" si="80"/>
        <v>466.05</v>
      </c>
      <c r="AK159" s="230">
        <f t="shared" si="81"/>
        <v>0</v>
      </c>
      <c r="AL159" s="230">
        <f t="shared" si="81"/>
        <v>0</v>
      </c>
      <c r="AM159" s="230">
        <f t="shared" si="81"/>
        <v>0</v>
      </c>
      <c r="AN159" s="230">
        <f t="shared" si="73"/>
        <v>0</v>
      </c>
      <c r="AO159" s="230">
        <f t="shared" si="56"/>
        <v>0</v>
      </c>
    </row>
    <row r="160" spans="1:41" ht="15.75" customHeight="1" x14ac:dyDescent="0.25">
      <c r="A160" s="251" t="s">
        <v>809</v>
      </c>
      <c r="B160" s="251" t="s">
        <v>37</v>
      </c>
      <c r="C160" s="251" t="s">
        <v>96</v>
      </c>
      <c r="D160" s="251" t="s">
        <v>203</v>
      </c>
      <c r="E160" s="251" t="s">
        <v>156</v>
      </c>
      <c r="F160" s="233">
        <f t="shared" si="57"/>
        <v>0</v>
      </c>
      <c r="G160" s="233">
        <f t="shared" si="58"/>
        <v>0</v>
      </c>
      <c r="H160" s="233">
        <f t="shared" si="59"/>
        <v>184</v>
      </c>
      <c r="I160" s="233">
        <f t="shared" si="60"/>
        <v>92</v>
      </c>
      <c r="J160" s="233">
        <f t="shared" si="61"/>
        <v>133</v>
      </c>
      <c r="K160" s="233">
        <f t="shared" si="62"/>
        <v>48</v>
      </c>
      <c r="L160" s="233">
        <f t="shared" si="63"/>
        <v>16</v>
      </c>
      <c r="M160" s="233">
        <f t="shared" si="64"/>
        <v>0</v>
      </c>
      <c r="N160" s="233">
        <f t="shared" si="74"/>
        <v>0</v>
      </c>
      <c r="O160" s="233">
        <f>IFERROR(VLOOKUP(A160,TOTAL_HORAS,79,FALSE),0)</f>
        <v>0</v>
      </c>
      <c r="P160" s="233"/>
      <c r="Q160" s="233"/>
      <c r="R160" s="231">
        <f t="shared" si="65"/>
        <v>38.06818181818182</v>
      </c>
      <c r="S160" s="231">
        <f t="shared" si="66"/>
        <v>41.875</v>
      </c>
      <c r="T160" s="231">
        <f t="shared" si="67"/>
        <v>36.413043478260867</v>
      </c>
      <c r="U160" s="231">
        <f t="shared" si="68"/>
        <v>46.527777777777779</v>
      </c>
      <c r="V160" s="231">
        <f t="shared" si="69"/>
        <v>38.06818181818182</v>
      </c>
      <c r="W160" s="231">
        <f t="shared" si="70"/>
        <v>39.88095238095238</v>
      </c>
      <c r="X160" s="231">
        <f t="shared" si="71"/>
        <v>41.875</v>
      </c>
      <c r="Y160" s="231">
        <f t="shared" si="72"/>
        <v>38.06818181818182</v>
      </c>
      <c r="Z160" s="231">
        <f t="shared" si="82"/>
        <v>39.88095238095238</v>
      </c>
      <c r="AA160" s="231"/>
      <c r="AB160" s="231"/>
      <c r="AC160" s="231"/>
      <c r="AD160" s="230">
        <f t="shared" si="83"/>
        <v>0</v>
      </c>
      <c r="AE160" s="230">
        <f t="shared" si="75"/>
        <v>0</v>
      </c>
      <c r="AF160" s="230">
        <f t="shared" si="76"/>
        <v>6700</v>
      </c>
      <c r="AG160" s="230">
        <f t="shared" si="77"/>
        <v>4280.5555555555557</v>
      </c>
      <c r="AH160" s="230">
        <f t="shared" si="78"/>
        <v>5063.068181818182</v>
      </c>
      <c r="AI160" s="230">
        <f t="shared" si="79"/>
        <v>1914.2857142857142</v>
      </c>
      <c r="AJ160" s="230">
        <f t="shared" si="80"/>
        <v>670</v>
      </c>
      <c r="AK160" s="230">
        <f t="shared" si="81"/>
        <v>0</v>
      </c>
      <c r="AL160" s="230">
        <f t="shared" si="81"/>
        <v>0</v>
      </c>
      <c r="AM160" s="230">
        <f t="shared" si="81"/>
        <v>0</v>
      </c>
      <c r="AN160" s="230">
        <f t="shared" si="73"/>
        <v>0</v>
      </c>
      <c r="AO160" s="230">
        <f t="shared" si="56"/>
        <v>0</v>
      </c>
    </row>
    <row r="161" spans="1:41" ht="15.75" customHeight="1" x14ac:dyDescent="0.25">
      <c r="A161" s="251" t="s">
        <v>810</v>
      </c>
      <c r="B161" s="251" t="s">
        <v>37</v>
      </c>
      <c r="C161" s="251" t="s">
        <v>45</v>
      </c>
      <c r="D161" s="251" t="s">
        <v>51</v>
      </c>
      <c r="E161" s="251" t="s">
        <v>122</v>
      </c>
      <c r="F161" s="233">
        <f t="shared" si="57"/>
        <v>0</v>
      </c>
      <c r="G161" s="233">
        <f t="shared" si="58"/>
        <v>0</v>
      </c>
      <c r="H161" s="233">
        <f t="shared" si="59"/>
        <v>0</v>
      </c>
      <c r="I161" s="233">
        <f t="shared" si="60"/>
        <v>0</v>
      </c>
      <c r="J161" s="233">
        <f t="shared" si="61"/>
        <v>0</v>
      </c>
      <c r="K161" s="233">
        <f t="shared" si="62"/>
        <v>16</v>
      </c>
      <c r="L161" s="233">
        <f t="shared" si="63"/>
        <v>0</v>
      </c>
      <c r="M161" s="233">
        <f t="shared" si="64"/>
        <v>0</v>
      </c>
      <c r="N161" s="233">
        <f t="shared" si="74"/>
        <v>0</v>
      </c>
      <c r="O161" s="233">
        <f>IFERROR(VLOOKUP(A161,TOTAL_HORAS,79,FALSE),0)</f>
        <v>0</v>
      </c>
      <c r="P161" s="233"/>
      <c r="Q161" s="233"/>
      <c r="R161" s="231">
        <f t="shared" si="65"/>
        <v>38.06818181818182</v>
      </c>
      <c r="S161" s="231">
        <f t="shared" si="66"/>
        <v>41.875</v>
      </c>
      <c r="T161" s="231">
        <f t="shared" si="67"/>
        <v>36.413043478260867</v>
      </c>
      <c r="U161" s="231">
        <f t="shared" si="68"/>
        <v>46.527777777777779</v>
      </c>
      <c r="V161" s="231">
        <f t="shared" si="69"/>
        <v>38.06818181818182</v>
      </c>
      <c r="W161" s="231">
        <f t="shared" si="70"/>
        <v>39.88095238095238</v>
      </c>
      <c r="X161" s="231">
        <f t="shared" si="71"/>
        <v>41.875</v>
      </c>
      <c r="Y161" s="231">
        <f t="shared" si="72"/>
        <v>38.06818181818182</v>
      </c>
      <c r="Z161" s="231">
        <f t="shared" si="82"/>
        <v>39.88095238095238</v>
      </c>
      <c r="AA161" s="231"/>
      <c r="AB161" s="231"/>
      <c r="AC161" s="231"/>
      <c r="AD161" s="230">
        <f t="shared" si="83"/>
        <v>0</v>
      </c>
      <c r="AE161" s="230">
        <f t="shared" si="75"/>
        <v>0</v>
      </c>
      <c r="AF161" s="230">
        <f t="shared" si="76"/>
        <v>0</v>
      </c>
      <c r="AG161" s="230">
        <f t="shared" si="77"/>
        <v>0</v>
      </c>
      <c r="AH161" s="230">
        <f t="shared" si="78"/>
        <v>0</v>
      </c>
      <c r="AI161" s="230">
        <f t="shared" si="79"/>
        <v>638.09523809523807</v>
      </c>
      <c r="AJ161" s="230">
        <f t="shared" si="80"/>
        <v>0</v>
      </c>
      <c r="AK161" s="230">
        <f t="shared" si="81"/>
        <v>0</v>
      </c>
      <c r="AL161" s="230">
        <f t="shared" si="81"/>
        <v>0</v>
      </c>
      <c r="AM161" s="230">
        <f t="shared" si="81"/>
        <v>0</v>
      </c>
      <c r="AN161" s="230">
        <f t="shared" si="73"/>
        <v>0</v>
      </c>
      <c r="AO161" s="230">
        <f t="shared" si="56"/>
        <v>0</v>
      </c>
    </row>
    <row r="162" spans="1:41" ht="15.75" customHeight="1" x14ac:dyDescent="0.25">
      <c r="A162" s="251" t="s">
        <v>811</v>
      </c>
      <c r="B162" s="251" t="s">
        <v>37</v>
      </c>
      <c r="C162" s="251" t="s">
        <v>234</v>
      </c>
      <c r="D162" s="251" t="s">
        <v>206</v>
      </c>
      <c r="E162" s="251" t="s">
        <v>235</v>
      </c>
      <c r="F162" s="233">
        <f t="shared" si="57"/>
        <v>0</v>
      </c>
      <c r="G162" s="233">
        <f t="shared" si="58"/>
        <v>0</v>
      </c>
      <c r="H162" s="233">
        <f t="shared" si="59"/>
        <v>0</v>
      </c>
      <c r="I162" s="233">
        <f t="shared" si="60"/>
        <v>0</v>
      </c>
      <c r="J162" s="233">
        <f t="shared" si="61"/>
        <v>0</v>
      </c>
      <c r="K162" s="233">
        <f t="shared" si="62"/>
        <v>46</v>
      </c>
      <c r="L162" s="233">
        <f t="shared" si="63"/>
        <v>115</v>
      </c>
      <c r="M162" s="233">
        <f t="shared" si="64"/>
        <v>112</v>
      </c>
      <c r="N162" s="233">
        <f t="shared" si="74"/>
        <v>96</v>
      </c>
      <c r="O162" s="233">
        <f>IFERROR(VLOOKUP(A162,TOTAL_HORAS,79,FALSE),0)</f>
        <v>32</v>
      </c>
      <c r="P162" s="233"/>
      <c r="Q162" s="233"/>
      <c r="R162" s="231">
        <f t="shared" si="65"/>
        <v>38.06818181818182</v>
      </c>
      <c r="S162" s="231">
        <f t="shared" si="66"/>
        <v>41.875</v>
      </c>
      <c r="T162" s="231">
        <f t="shared" si="67"/>
        <v>36.413043478260867</v>
      </c>
      <c r="U162" s="231">
        <f t="shared" si="68"/>
        <v>46.527777777777779</v>
      </c>
      <c r="V162" s="231">
        <f t="shared" si="69"/>
        <v>38.06818181818182</v>
      </c>
      <c r="W162" s="231">
        <f t="shared" si="70"/>
        <v>39.88095238095238</v>
      </c>
      <c r="X162" s="231">
        <f t="shared" si="71"/>
        <v>41.875</v>
      </c>
      <c r="Y162" s="231">
        <f t="shared" si="72"/>
        <v>38.06818181818182</v>
      </c>
      <c r="Z162" s="231">
        <f t="shared" si="82"/>
        <v>39.88095238095238</v>
      </c>
      <c r="AA162" s="231"/>
      <c r="AB162" s="231"/>
      <c r="AC162" s="231"/>
      <c r="AD162" s="230">
        <f t="shared" si="83"/>
        <v>0</v>
      </c>
      <c r="AE162" s="230">
        <f t="shared" si="75"/>
        <v>0</v>
      </c>
      <c r="AF162" s="230">
        <f t="shared" si="76"/>
        <v>0</v>
      </c>
      <c r="AG162" s="230">
        <f t="shared" si="77"/>
        <v>0</v>
      </c>
      <c r="AH162" s="230">
        <f t="shared" si="78"/>
        <v>0</v>
      </c>
      <c r="AI162" s="230">
        <f t="shared" si="79"/>
        <v>1834.5238095238094</v>
      </c>
      <c r="AJ162" s="230">
        <f t="shared" si="80"/>
        <v>4815.625</v>
      </c>
      <c r="AK162" s="230">
        <f t="shared" si="81"/>
        <v>4263.636363636364</v>
      </c>
      <c r="AL162" s="230">
        <f t="shared" si="81"/>
        <v>3828.5714285714284</v>
      </c>
      <c r="AM162" s="230">
        <f t="shared" si="81"/>
        <v>0</v>
      </c>
      <c r="AN162" s="230">
        <f t="shared" si="73"/>
        <v>0</v>
      </c>
      <c r="AO162" s="230">
        <f t="shared" si="56"/>
        <v>0</v>
      </c>
    </row>
    <row r="163" spans="1:41" ht="15.75" customHeight="1" x14ac:dyDescent="0.25">
      <c r="A163" s="251" t="s">
        <v>812</v>
      </c>
      <c r="B163" s="251" t="s">
        <v>37</v>
      </c>
      <c r="C163" s="251" t="s">
        <v>209</v>
      </c>
      <c r="D163" s="251" t="s">
        <v>209</v>
      </c>
      <c r="E163" s="251" t="s">
        <v>243</v>
      </c>
      <c r="F163" s="233">
        <f t="shared" si="57"/>
        <v>0</v>
      </c>
      <c r="G163" s="233">
        <f t="shared" si="58"/>
        <v>0</v>
      </c>
      <c r="H163" s="233">
        <f t="shared" si="59"/>
        <v>0</v>
      </c>
      <c r="I163" s="233">
        <f t="shared" si="60"/>
        <v>0</v>
      </c>
      <c r="J163" s="233">
        <f t="shared" si="61"/>
        <v>0</v>
      </c>
      <c r="K163" s="233">
        <f t="shared" si="62"/>
        <v>0</v>
      </c>
      <c r="L163" s="233">
        <f t="shared" si="63"/>
        <v>8</v>
      </c>
      <c r="M163" s="233">
        <f t="shared" si="64"/>
        <v>0</v>
      </c>
      <c r="N163" s="233">
        <f t="shared" si="74"/>
        <v>0</v>
      </c>
      <c r="O163" s="233">
        <f>IFERROR(VLOOKUP(A163,TOTAL_HORAS,79,FALSE),0)</f>
        <v>8</v>
      </c>
      <c r="P163" s="233"/>
      <c r="Q163" s="233"/>
      <c r="R163" s="231">
        <f t="shared" si="65"/>
        <v>38.06818181818182</v>
      </c>
      <c r="S163" s="231">
        <f t="shared" si="66"/>
        <v>41.875</v>
      </c>
      <c r="T163" s="231">
        <f t="shared" si="67"/>
        <v>36.413043478260867</v>
      </c>
      <c r="U163" s="231">
        <f t="shared" si="68"/>
        <v>46.527777777777779</v>
      </c>
      <c r="V163" s="231">
        <f t="shared" si="69"/>
        <v>38.06818181818182</v>
      </c>
      <c r="W163" s="231">
        <f t="shared" si="70"/>
        <v>39.88095238095238</v>
      </c>
      <c r="X163" s="231">
        <f t="shared" si="71"/>
        <v>41.875</v>
      </c>
      <c r="Y163" s="231">
        <f t="shared" si="72"/>
        <v>38.06818181818182</v>
      </c>
      <c r="Z163" s="231">
        <f t="shared" si="82"/>
        <v>39.88095238095238</v>
      </c>
      <c r="AA163" s="231"/>
      <c r="AB163" s="231"/>
      <c r="AC163" s="231"/>
      <c r="AD163" s="230">
        <f t="shared" si="83"/>
        <v>0</v>
      </c>
      <c r="AE163" s="230">
        <f t="shared" si="75"/>
        <v>0</v>
      </c>
      <c r="AF163" s="230">
        <f t="shared" si="76"/>
        <v>0</v>
      </c>
      <c r="AG163" s="230">
        <f t="shared" si="77"/>
        <v>0</v>
      </c>
      <c r="AH163" s="230">
        <f t="shared" si="78"/>
        <v>0</v>
      </c>
      <c r="AI163" s="230">
        <f t="shared" si="79"/>
        <v>0</v>
      </c>
      <c r="AJ163" s="230">
        <f t="shared" si="80"/>
        <v>335</v>
      </c>
      <c r="AK163" s="230">
        <f t="shared" si="81"/>
        <v>0</v>
      </c>
      <c r="AL163" s="230">
        <f t="shared" si="81"/>
        <v>0</v>
      </c>
      <c r="AM163" s="230">
        <f t="shared" si="81"/>
        <v>0</v>
      </c>
      <c r="AN163" s="230">
        <f t="shared" si="73"/>
        <v>0</v>
      </c>
      <c r="AO163" s="230">
        <f t="shared" si="56"/>
        <v>0</v>
      </c>
    </row>
    <row r="164" spans="1:41" ht="15.75" customHeight="1" x14ac:dyDescent="0.25">
      <c r="A164" s="251" t="s">
        <v>813</v>
      </c>
      <c r="B164" s="251" t="s">
        <v>37</v>
      </c>
      <c r="C164" s="251" t="s">
        <v>46</v>
      </c>
      <c r="D164" s="251" t="s">
        <v>46</v>
      </c>
      <c r="E164" s="251" t="s">
        <v>132</v>
      </c>
      <c r="F164" s="233">
        <f t="shared" si="57"/>
        <v>0</v>
      </c>
      <c r="G164" s="233">
        <f t="shared" si="58"/>
        <v>0</v>
      </c>
      <c r="H164" s="233">
        <f t="shared" si="59"/>
        <v>0</v>
      </c>
      <c r="I164" s="233">
        <f t="shared" si="60"/>
        <v>40</v>
      </c>
      <c r="J164" s="233">
        <f t="shared" si="61"/>
        <v>31</v>
      </c>
      <c r="K164" s="233">
        <f t="shared" si="62"/>
        <v>8</v>
      </c>
      <c r="L164" s="233">
        <f t="shared" si="63"/>
        <v>8</v>
      </c>
      <c r="M164" s="233">
        <f t="shared" si="64"/>
        <v>0</v>
      </c>
      <c r="N164" s="233">
        <f t="shared" si="74"/>
        <v>52</v>
      </c>
      <c r="O164" s="233">
        <f>IFERROR(VLOOKUP(A164,TOTAL_HORAS,79,FALSE),0)</f>
        <v>0</v>
      </c>
      <c r="P164" s="233"/>
      <c r="Q164" s="233"/>
      <c r="R164" s="231">
        <f t="shared" si="65"/>
        <v>38.06818181818182</v>
      </c>
      <c r="S164" s="231">
        <f t="shared" si="66"/>
        <v>41.875</v>
      </c>
      <c r="T164" s="231">
        <f t="shared" si="67"/>
        <v>36.413043478260867</v>
      </c>
      <c r="U164" s="231">
        <f t="shared" si="68"/>
        <v>46.527777777777779</v>
      </c>
      <c r="V164" s="231">
        <f t="shared" si="69"/>
        <v>38.06818181818182</v>
      </c>
      <c r="W164" s="231">
        <f t="shared" si="70"/>
        <v>39.88095238095238</v>
      </c>
      <c r="X164" s="231">
        <f t="shared" si="71"/>
        <v>41.875</v>
      </c>
      <c r="Y164" s="231">
        <f t="shared" si="72"/>
        <v>38.06818181818182</v>
      </c>
      <c r="Z164" s="231">
        <f t="shared" si="82"/>
        <v>39.88095238095238</v>
      </c>
      <c r="AA164" s="231"/>
      <c r="AB164" s="231"/>
      <c r="AC164" s="231"/>
      <c r="AD164" s="230">
        <f t="shared" si="83"/>
        <v>0</v>
      </c>
      <c r="AE164" s="230">
        <f t="shared" si="75"/>
        <v>0</v>
      </c>
      <c r="AF164" s="230">
        <f t="shared" si="76"/>
        <v>0</v>
      </c>
      <c r="AG164" s="230">
        <f t="shared" si="77"/>
        <v>1861.1111111111111</v>
      </c>
      <c r="AH164" s="230">
        <f t="shared" si="78"/>
        <v>1180.1136363636365</v>
      </c>
      <c r="AI164" s="230">
        <f t="shared" si="79"/>
        <v>319.04761904761904</v>
      </c>
      <c r="AJ164" s="230">
        <f t="shared" si="80"/>
        <v>335</v>
      </c>
      <c r="AK164" s="230">
        <f t="shared" si="81"/>
        <v>0</v>
      </c>
      <c r="AL164" s="230">
        <f t="shared" si="81"/>
        <v>2073.8095238095239</v>
      </c>
      <c r="AM164" s="230">
        <f t="shared" si="81"/>
        <v>0</v>
      </c>
      <c r="AN164" s="230">
        <f t="shared" si="73"/>
        <v>0</v>
      </c>
      <c r="AO164" s="230">
        <f t="shared" si="56"/>
        <v>0</v>
      </c>
    </row>
    <row r="165" spans="1:41" ht="15.75" customHeight="1" x14ac:dyDescent="0.25">
      <c r="A165" s="251" t="s">
        <v>814</v>
      </c>
      <c r="B165" s="251" t="s">
        <v>33</v>
      </c>
      <c r="C165" s="251" t="s">
        <v>209</v>
      </c>
      <c r="D165" s="251" t="s">
        <v>209</v>
      </c>
      <c r="E165" s="251" t="s">
        <v>243</v>
      </c>
      <c r="F165" s="233">
        <f t="shared" si="57"/>
        <v>0</v>
      </c>
      <c r="G165" s="233">
        <f t="shared" si="58"/>
        <v>0</v>
      </c>
      <c r="H165" s="233">
        <f t="shared" si="59"/>
        <v>0</v>
      </c>
      <c r="I165" s="233">
        <f t="shared" si="60"/>
        <v>40</v>
      </c>
      <c r="J165" s="233">
        <f t="shared" si="61"/>
        <v>0</v>
      </c>
      <c r="K165" s="233">
        <f t="shared" si="62"/>
        <v>0</v>
      </c>
      <c r="L165" s="233">
        <f t="shared" si="63"/>
        <v>0</v>
      </c>
      <c r="M165" s="233">
        <f t="shared" si="64"/>
        <v>40</v>
      </c>
      <c r="N165" s="233">
        <f t="shared" si="74"/>
        <v>0</v>
      </c>
      <c r="O165" s="233">
        <f>IFERROR(VLOOKUP(A165,TOTAL_HORAS,79,FALSE),0)</f>
        <v>0</v>
      </c>
      <c r="P165" s="233"/>
      <c r="Q165" s="233"/>
      <c r="R165" s="231">
        <f t="shared" si="65"/>
        <v>14.0625</v>
      </c>
      <c r="S165" s="231">
        <f t="shared" si="66"/>
        <v>15.46875</v>
      </c>
      <c r="T165" s="231">
        <f t="shared" si="67"/>
        <v>16.168478260869566</v>
      </c>
      <c r="U165" s="231">
        <f t="shared" si="68"/>
        <v>20.659722222222221</v>
      </c>
      <c r="V165" s="231">
        <f t="shared" si="69"/>
        <v>16.90340909090909</v>
      </c>
      <c r="W165" s="231">
        <f t="shared" si="70"/>
        <v>17.708333333333332</v>
      </c>
      <c r="X165" s="231">
        <f t="shared" si="71"/>
        <v>18.59375</v>
      </c>
      <c r="Y165" s="231">
        <f t="shared" si="72"/>
        <v>16.90340909090909</v>
      </c>
      <c r="Z165" s="231">
        <f t="shared" si="82"/>
        <v>17.708333333333332</v>
      </c>
      <c r="AA165" s="231"/>
      <c r="AB165" s="231"/>
      <c r="AC165" s="231"/>
      <c r="AD165" s="230">
        <f t="shared" si="83"/>
        <v>0</v>
      </c>
      <c r="AE165" s="230">
        <f t="shared" si="75"/>
        <v>0</v>
      </c>
      <c r="AF165" s="230">
        <f t="shared" si="76"/>
        <v>0</v>
      </c>
      <c r="AG165" s="230">
        <f t="shared" si="77"/>
        <v>826.38888888888891</v>
      </c>
      <c r="AH165" s="230">
        <f t="shared" si="78"/>
        <v>0</v>
      </c>
      <c r="AI165" s="230">
        <f t="shared" si="79"/>
        <v>0</v>
      </c>
      <c r="AJ165" s="230">
        <f t="shared" si="80"/>
        <v>0</v>
      </c>
      <c r="AK165" s="230">
        <f t="shared" si="81"/>
        <v>676.13636363636363</v>
      </c>
      <c r="AL165" s="230">
        <f t="shared" si="81"/>
        <v>0</v>
      </c>
      <c r="AM165" s="230">
        <f t="shared" si="81"/>
        <v>0</v>
      </c>
      <c r="AN165" s="230">
        <f t="shared" si="73"/>
        <v>0</v>
      </c>
      <c r="AO165" s="230">
        <f t="shared" si="56"/>
        <v>0</v>
      </c>
    </row>
    <row r="166" spans="1:41" ht="15.75" customHeight="1" x14ac:dyDescent="0.25">
      <c r="A166" s="251" t="s">
        <v>815</v>
      </c>
      <c r="B166" s="251" t="s">
        <v>33</v>
      </c>
      <c r="C166" s="251" t="s">
        <v>82</v>
      </c>
      <c r="D166" s="251" t="s">
        <v>83</v>
      </c>
      <c r="E166" s="251" t="s">
        <v>126</v>
      </c>
      <c r="F166" s="233">
        <f t="shared" si="57"/>
        <v>176</v>
      </c>
      <c r="G166" s="233">
        <f t="shared" si="58"/>
        <v>160</v>
      </c>
      <c r="H166" s="233">
        <f t="shared" si="59"/>
        <v>184</v>
      </c>
      <c r="I166" s="233">
        <f t="shared" si="60"/>
        <v>104</v>
      </c>
      <c r="J166" s="233">
        <f t="shared" si="61"/>
        <v>176</v>
      </c>
      <c r="K166" s="233">
        <f t="shared" si="62"/>
        <v>168</v>
      </c>
      <c r="L166" s="233">
        <f t="shared" si="63"/>
        <v>160</v>
      </c>
      <c r="M166" s="233">
        <f t="shared" si="64"/>
        <v>136</v>
      </c>
      <c r="N166" s="233">
        <f t="shared" si="74"/>
        <v>168</v>
      </c>
      <c r="O166" s="233">
        <f>IFERROR(VLOOKUP(A166,TOTAL_HORAS,79,FALSE),0)</f>
        <v>40</v>
      </c>
      <c r="P166" s="233"/>
      <c r="Q166" s="233"/>
      <c r="R166" s="231">
        <f t="shared" si="65"/>
        <v>14.0625</v>
      </c>
      <c r="S166" s="231">
        <f t="shared" si="66"/>
        <v>15.46875</v>
      </c>
      <c r="T166" s="231">
        <f t="shared" si="67"/>
        <v>16.168478260869566</v>
      </c>
      <c r="U166" s="231">
        <f t="shared" si="68"/>
        <v>20.659722222222221</v>
      </c>
      <c r="V166" s="231">
        <f t="shared" si="69"/>
        <v>16.90340909090909</v>
      </c>
      <c r="W166" s="231">
        <f t="shared" si="70"/>
        <v>17.708333333333332</v>
      </c>
      <c r="X166" s="231">
        <f t="shared" si="71"/>
        <v>18.59375</v>
      </c>
      <c r="Y166" s="231">
        <f t="shared" si="72"/>
        <v>16.90340909090909</v>
      </c>
      <c r="Z166" s="231">
        <f t="shared" si="82"/>
        <v>17.708333333333332</v>
      </c>
      <c r="AA166" s="231"/>
      <c r="AB166" s="231"/>
      <c r="AC166" s="231"/>
      <c r="AD166" s="230">
        <f t="shared" si="83"/>
        <v>2475</v>
      </c>
      <c r="AE166" s="230">
        <f t="shared" si="75"/>
        <v>2475</v>
      </c>
      <c r="AF166" s="230">
        <f t="shared" si="76"/>
        <v>2975</v>
      </c>
      <c r="AG166" s="230">
        <f t="shared" si="77"/>
        <v>2148.6111111111109</v>
      </c>
      <c r="AH166" s="230">
        <f t="shared" si="78"/>
        <v>2975</v>
      </c>
      <c r="AI166" s="230">
        <f t="shared" si="79"/>
        <v>2975</v>
      </c>
      <c r="AJ166" s="230">
        <f t="shared" si="80"/>
        <v>2975</v>
      </c>
      <c r="AK166" s="230">
        <f t="shared" si="81"/>
        <v>2298.863636363636</v>
      </c>
      <c r="AL166" s="230">
        <f t="shared" si="81"/>
        <v>2975</v>
      </c>
      <c r="AM166" s="230">
        <f t="shared" si="81"/>
        <v>0</v>
      </c>
      <c r="AN166" s="230">
        <f t="shared" si="73"/>
        <v>0</v>
      </c>
      <c r="AO166" s="230">
        <f t="shared" si="56"/>
        <v>0</v>
      </c>
    </row>
    <row r="167" spans="1:41" ht="15.75" customHeight="1" x14ac:dyDescent="0.25">
      <c r="A167" s="251" t="s">
        <v>931</v>
      </c>
      <c r="B167" s="251" t="s">
        <v>31</v>
      </c>
      <c r="C167" s="251" t="s">
        <v>84</v>
      </c>
      <c r="D167" s="251" t="s">
        <v>929</v>
      </c>
      <c r="E167" s="251" t="s">
        <v>876</v>
      </c>
      <c r="F167" s="233">
        <f t="shared" si="57"/>
        <v>0</v>
      </c>
      <c r="G167" s="233">
        <f t="shared" si="58"/>
        <v>0</v>
      </c>
      <c r="H167" s="233">
        <f t="shared" si="59"/>
        <v>0</v>
      </c>
      <c r="I167" s="233">
        <f t="shared" si="60"/>
        <v>0</v>
      </c>
      <c r="J167" s="233">
        <f t="shared" si="61"/>
        <v>0</v>
      </c>
      <c r="K167" s="233">
        <f t="shared" si="62"/>
        <v>0</v>
      </c>
      <c r="L167" s="233">
        <f t="shared" si="63"/>
        <v>0</v>
      </c>
      <c r="M167" s="233">
        <f t="shared" si="64"/>
        <v>96</v>
      </c>
      <c r="N167" s="233">
        <f t="shared" si="74"/>
        <v>152</v>
      </c>
      <c r="O167" s="233">
        <f>IFERROR(VLOOKUP(A167,TOTAL_HORAS,79,FALSE),0)</f>
        <v>40</v>
      </c>
      <c r="P167" s="233"/>
      <c r="Q167" s="233"/>
      <c r="R167" s="231">
        <f t="shared" si="65"/>
        <v>16.988636363636363</v>
      </c>
      <c r="S167" s="231">
        <f t="shared" si="66"/>
        <v>18.6875</v>
      </c>
      <c r="T167" s="231">
        <f t="shared" si="67"/>
        <v>16.25</v>
      </c>
      <c r="U167" s="231">
        <f t="shared" si="68"/>
        <v>20.763888888888889</v>
      </c>
      <c r="V167" s="231">
        <f t="shared" si="69"/>
        <v>16.988636363636363</v>
      </c>
      <c r="W167" s="231">
        <f t="shared" si="70"/>
        <v>18.988095238095237</v>
      </c>
      <c r="X167" s="231">
        <f t="shared" si="71"/>
        <v>0</v>
      </c>
      <c r="Y167" s="231">
        <f t="shared" si="72"/>
        <v>18.664772727272727</v>
      </c>
      <c r="Z167" s="231">
        <f t="shared" si="82"/>
        <v>19.047619047619047</v>
      </c>
      <c r="AA167" s="231"/>
      <c r="AB167" s="231"/>
      <c r="AC167" s="231"/>
      <c r="AD167" s="230">
        <f t="shared" si="83"/>
        <v>0</v>
      </c>
      <c r="AE167" s="230">
        <f t="shared" si="75"/>
        <v>0</v>
      </c>
      <c r="AF167" s="230">
        <f t="shared" si="76"/>
        <v>0</v>
      </c>
      <c r="AG167" s="230">
        <f t="shared" si="77"/>
        <v>0</v>
      </c>
      <c r="AH167" s="230">
        <f t="shared" si="78"/>
        <v>0</v>
      </c>
      <c r="AI167" s="230">
        <f t="shared" si="79"/>
        <v>0</v>
      </c>
      <c r="AJ167" s="230">
        <f t="shared" si="80"/>
        <v>0</v>
      </c>
      <c r="AK167" s="230">
        <f t="shared" si="81"/>
        <v>1791.8181818181818</v>
      </c>
      <c r="AL167" s="230">
        <f t="shared" si="81"/>
        <v>2895.2380952380954</v>
      </c>
      <c r="AM167" s="230">
        <f t="shared" si="81"/>
        <v>0</v>
      </c>
      <c r="AN167" s="230">
        <f t="shared" si="73"/>
        <v>0</v>
      </c>
      <c r="AO167" s="230">
        <f t="shared" si="56"/>
        <v>0</v>
      </c>
    </row>
    <row r="168" spans="1:41" ht="15.75" customHeight="1" x14ac:dyDescent="0.25">
      <c r="A168" s="251" t="s">
        <v>902</v>
      </c>
      <c r="B168" s="251" t="s">
        <v>644</v>
      </c>
      <c r="C168" s="251" t="s">
        <v>855</v>
      </c>
      <c r="D168" s="251" t="s">
        <v>855</v>
      </c>
      <c r="E168" s="251" t="s">
        <v>856</v>
      </c>
      <c r="F168" s="233">
        <f t="shared" si="57"/>
        <v>0</v>
      </c>
      <c r="G168" s="233">
        <f t="shared" si="58"/>
        <v>0</v>
      </c>
      <c r="H168" s="233">
        <f t="shared" si="59"/>
        <v>0</v>
      </c>
      <c r="I168" s="233">
        <f t="shared" si="60"/>
        <v>0</v>
      </c>
      <c r="J168" s="233">
        <f t="shared" si="61"/>
        <v>0</v>
      </c>
      <c r="K168" s="233">
        <f t="shared" si="62"/>
        <v>0</v>
      </c>
      <c r="L168" s="233">
        <f t="shared" si="63"/>
        <v>0</v>
      </c>
      <c r="M168" s="233">
        <f t="shared" si="64"/>
        <v>40</v>
      </c>
      <c r="N168" s="233">
        <f t="shared" si="74"/>
        <v>0</v>
      </c>
      <c r="O168" s="233">
        <f>IFERROR(VLOOKUP(A168,TOTAL_HORAS,79,FALSE),0)</f>
        <v>0</v>
      </c>
      <c r="P168" s="233"/>
      <c r="Q168" s="233"/>
      <c r="R168" s="231">
        <f t="shared" si="65"/>
        <v>11.363636363636363</v>
      </c>
      <c r="S168" s="231">
        <f t="shared" si="66"/>
        <v>12.5</v>
      </c>
      <c r="T168" s="231">
        <f t="shared" si="67"/>
        <v>10.869565217391305</v>
      </c>
      <c r="U168" s="231">
        <f t="shared" si="68"/>
        <v>13.888888888888889</v>
      </c>
      <c r="V168" s="231">
        <f t="shared" si="69"/>
        <v>12.5</v>
      </c>
      <c r="W168" s="231">
        <f t="shared" si="70"/>
        <v>13.095238095238095</v>
      </c>
      <c r="X168" s="231">
        <f t="shared" si="71"/>
        <v>13.75</v>
      </c>
      <c r="Y168" s="231">
        <f t="shared" si="72"/>
        <v>12.5</v>
      </c>
      <c r="Z168" s="231">
        <f t="shared" si="82"/>
        <v>13.095238095238095</v>
      </c>
      <c r="AA168" s="231"/>
      <c r="AB168" s="231"/>
      <c r="AC168" s="231"/>
      <c r="AD168" s="230">
        <f t="shared" si="83"/>
        <v>0</v>
      </c>
      <c r="AE168" s="230">
        <f t="shared" si="75"/>
        <v>0</v>
      </c>
      <c r="AF168" s="230">
        <f t="shared" si="76"/>
        <v>0</v>
      </c>
      <c r="AG168" s="230">
        <f t="shared" si="77"/>
        <v>0</v>
      </c>
      <c r="AH168" s="230">
        <f t="shared" si="78"/>
        <v>0</v>
      </c>
      <c r="AI168" s="230">
        <f t="shared" si="79"/>
        <v>0</v>
      </c>
      <c r="AJ168" s="230">
        <f t="shared" si="80"/>
        <v>0</v>
      </c>
      <c r="AK168" s="230">
        <f t="shared" si="81"/>
        <v>500</v>
      </c>
      <c r="AL168" s="230">
        <f t="shared" si="81"/>
        <v>0</v>
      </c>
      <c r="AM168" s="230">
        <f t="shared" si="81"/>
        <v>0</v>
      </c>
      <c r="AN168" s="230">
        <f t="shared" si="73"/>
        <v>0</v>
      </c>
      <c r="AO168" s="230">
        <f t="shared" si="56"/>
        <v>0</v>
      </c>
    </row>
    <row r="169" spans="1:41" ht="15.75" customHeight="1" x14ac:dyDescent="0.25">
      <c r="A169" s="251" t="s">
        <v>903</v>
      </c>
      <c r="B169" s="251" t="s">
        <v>644</v>
      </c>
      <c r="C169" s="251" t="s">
        <v>80</v>
      </c>
      <c r="D169" s="251" t="s">
        <v>81</v>
      </c>
      <c r="E169" s="251" t="s">
        <v>126</v>
      </c>
      <c r="F169" s="233">
        <f t="shared" si="57"/>
        <v>176</v>
      </c>
      <c r="G169" s="233">
        <f t="shared" si="58"/>
        <v>160</v>
      </c>
      <c r="H169" s="233">
        <f t="shared" si="59"/>
        <v>184</v>
      </c>
      <c r="I169" s="233">
        <f t="shared" si="60"/>
        <v>144</v>
      </c>
      <c r="J169" s="233">
        <f t="shared" si="61"/>
        <v>176</v>
      </c>
      <c r="K169" s="233">
        <f t="shared" si="62"/>
        <v>168</v>
      </c>
      <c r="L169" s="233">
        <f t="shared" si="63"/>
        <v>160</v>
      </c>
      <c r="M169" s="233">
        <f t="shared" si="64"/>
        <v>136</v>
      </c>
      <c r="N169" s="233">
        <f t="shared" si="74"/>
        <v>168</v>
      </c>
      <c r="O169" s="233">
        <f>IFERROR(VLOOKUP(A169,TOTAL_HORAS,79,FALSE),0)</f>
        <v>40</v>
      </c>
      <c r="P169" s="233"/>
      <c r="Q169" s="233"/>
      <c r="R169" s="231">
        <f t="shared" si="65"/>
        <v>11.363636363636363</v>
      </c>
      <c r="S169" s="231">
        <f t="shared" si="66"/>
        <v>12.5</v>
      </c>
      <c r="T169" s="231">
        <f t="shared" si="67"/>
        <v>10.869565217391305</v>
      </c>
      <c r="U169" s="231">
        <f t="shared" si="68"/>
        <v>13.888888888888889</v>
      </c>
      <c r="V169" s="231">
        <f t="shared" si="69"/>
        <v>12.5</v>
      </c>
      <c r="W169" s="231">
        <f t="shared" si="70"/>
        <v>13.095238095238095</v>
      </c>
      <c r="X169" s="231">
        <f t="shared" si="71"/>
        <v>13.75</v>
      </c>
      <c r="Y169" s="231">
        <f t="shared" si="72"/>
        <v>12.5</v>
      </c>
      <c r="Z169" s="231">
        <f t="shared" si="82"/>
        <v>13.095238095238095</v>
      </c>
      <c r="AA169" s="231"/>
      <c r="AB169" s="231"/>
      <c r="AC169" s="231"/>
      <c r="AD169" s="230">
        <f t="shared" si="83"/>
        <v>2000</v>
      </c>
      <c r="AE169" s="230">
        <f t="shared" si="75"/>
        <v>2000</v>
      </c>
      <c r="AF169" s="230">
        <f t="shared" si="76"/>
        <v>2000</v>
      </c>
      <c r="AG169" s="230">
        <f t="shared" si="77"/>
        <v>2000</v>
      </c>
      <c r="AH169" s="230">
        <f t="shared" si="78"/>
        <v>2200</v>
      </c>
      <c r="AI169" s="230">
        <f t="shared" si="79"/>
        <v>2200</v>
      </c>
      <c r="AJ169" s="230">
        <f t="shared" si="80"/>
        <v>2200</v>
      </c>
      <c r="AK169" s="230">
        <f t="shared" si="81"/>
        <v>1700</v>
      </c>
      <c r="AL169" s="230">
        <f t="shared" si="81"/>
        <v>2200</v>
      </c>
      <c r="AM169" s="230">
        <f t="shared" si="81"/>
        <v>0</v>
      </c>
      <c r="AN169" s="230">
        <f t="shared" si="73"/>
        <v>0</v>
      </c>
      <c r="AO169" s="230">
        <f t="shared" si="56"/>
        <v>0</v>
      </c>
    </row>
    <row r="170" spans="1:41" ht="15.75" customHeight="1" x14ac:dyDescent="0.25">
      <c r="A170" s="251" t="s">
        <v>816</v>
      </c>
      <c r="B170" s="251" t="s">
        <v>32</v>
      </c>
      <c r="C170" s="251" t="s">
        <v>209</v>
      </c>
      <c r="D170" s="251" t="s">
        <v>209</v>
      </c>
      <c r="E170" s="251" t="s">
        <v>243</v>
      </c>
      <c r="F170" s="233">
        <f t="shared" si="57"/>
        <v>40</v>
      </c>
      <c r="G170" s="233">
        <f t="shared" si="58"/>
        <v>0</v>
      </c>
      <c r="H170" s="233">
        <f t="shared" si="59"/>
        <v>0</v>
      </c>
      <c r="I170" s="233">
        <f t="shared" si="60"/>
        <v>0</v>
      </c>
      <c r="J170" s="233">
        <f t="shared" si="61"/>
        <v>0</v>
      </c>
      <c r="K170" s="233">
        <f t="shared" si="62"/>
        <v>0</v>
      </c>
      <c r="L170" s="233">
        <f t="shared" si="63"/>
        <v>0</v>
      </c>
      <c r="M170" s="233">
        <f t="shared" si="64"/>
        <v>0</v>
      </c>
      <c r="N170" s="233">
        <f t="shared" si="74"/>
        <v>0</v>
      </c>
      <c r="O170" s="233">
        <f>IFERROR(VLOOKUP(A170,TOTAL_HORAS,79,FALSE),0)</f>
        <v>0</v>
      </c>
      <c r="P170" s="233"/>
      <c r="Q170" s="233"/>
      <c r="R170" s="231">
        <f t="shared" si="65"/>
        <v>28.125</v>
      </c>
      <c r="S170" s="231">
        <f t="shared" si="66"/>
        <v>30.9375</v>
      </c>
      <c r="T170" s="231">
        <f t="shared" si="67"/>
        <v>26.902173913043477</v>
      </c>
      <c r="U170" s="231">
        <f t="shared" si="68"/>
        <v>34.375</v>
      </c>
      <c r="V170" s="231">
        <f t="shared" si="69"/>
        <v>28.125</v>
      </c>
      <c r="W170" s="231">
        <f t="shared" si="70"/>
        <v>0</v>
      </c>
      <c r="X170" s="231">
        <f t="shared" si="71"/>
        <v>0</v>
      </c>
      <c r="Y170" s="231">
        <f t="shared" si="72"/>
        <v>0</v>
      </c>
      <c r="Z170" s="231">
        <f t="shared" si="82"/>
        <v>0</v>
      </c>
      <c r="AA170" s="231"/>
      <c r="AB170" s="231"/>
      <c r="AC170" s="231"/>
      <c r="AD170" s="230">
        <f t="shared" si="83"/>
        <v>1125</v>
      </c>
      <c r="AE170" s="230">
        <f t="shared" si="75"/>
        <v>0</v>
      </c>
      <c r="AF170" s="230">
        <f t="shared" si="76"/>
        <v>0</v>
      </c>
      <c r="AG170" s="230">
        <f t="shared" si="77"/>
        <v>0</v>
      </c>
      <c r="AH170" s="230">
        <f t="shared" si="78"/>
        <v>0</v>
      </c>
      <c r="AI170" s="230">
        <f t="shared" si="79"/>
        <v>0</v>
      </c>
      <c r="AJ170" s="230">
        <f t="shared" si="80"/>
        <v>0</v>
      </c>
      <c r="AK170" s="230">
        <f t="shared" si="81"/>
        <v>0</v>
      </c>
      <c r="AL170" s="230">
        <f t="shared" si="81"/>
        <v>0</v>
      </c>
      <c r="AM170" s="230">
        <f t="shared" si="81"/>
        <v>0</v>
      </c>
      <c r="AN170" s="230">
        <f t="shared" si="73"/>
        <v>0</v>
      </c>
      <c r="AO170" s="230">
        <f t="shared" si="56"/>
        <v>0</v>
      </c>
    </row>
    <row r="171" spans="1:41" x14ac:dyDescent="0.25">
      <c r="A171" s="251" t="s">
        <v>817</v>
      </c>
      <c r="B171" s="251" t="s">
        <v>32</v>
      </c>
      <c r="C171" s="251" t="s">
        <v>86</v>
      </c>
      <c r="D171" s="251" t="s">
        <v>87</v>
      </c>
      <c r="E171" s="251" t="s">
        <v>125</v>
      </c>
      <c r="F171" s="233">
        <f t="shared" si="57"/>
        <v>136</v>
      </c>
      <c r="G171" s="233">
        <f t="shared" si="58"/>
        <v>160</v>
      </c>
      <c r="H171" s="233">
        <f t="shared" si="59"/>
        <v>184</v>
      </c>
      <c r="I171" s="233">
        <f t="shared" si="60"/>
        <v>144</v>
      </c>
      <c r="J171" s="233">
        <f t="shared" si="61"/>
        <v>32</v>
      </c>
      <c r="K171" s="233">
        <f t="shared" si="62"/>
        <v>0</v>
      </c>
      <c r="L171" s="233">
        <f t="shared" si="63"/>
        <v>0</v>
      </c>
      <c r="M171" s="233">
        <f t="shared" si="64"/>
        <v>0</v>
      </c>
      <c r="N171" s="233">
        <f t="shared" si="74"/>
        <v>0</v>
      </c>
      <c r="O171" s="233">
        <f>IFERROR(VLOOKUP(A171,TOTAL_HORAS,79,FALSE),0)</f>
        <v>0</v>
      </c>
      <c r="P171" s="233"/>
      <c r="Q171" s="233"/>
      <c r="R171" s="231">
        <f t="shared" si="65"/>
        <v>28.125</v>
      </c>
      <c r="S171" s="231">
        <f t="shared" si="66"/>
        <v>30.9375</v>
      </c>
      <c r="T171" s="231">
        <f t="shared" si="67"/>
        <v>26.902173913043477</v>
      </c>
      <c r="U171" s="231">
        <f t="shared" si="68"/>
        <v>34.375</v>
      </c>
      <c r="V171" s="231">
        <f t="shared" si="69"/>
        <v>28.125</v>
      </c>
      <c r="W171" s="231">
        <f t="shared" si="70"/>
        <v>0</v>
      </c>
      <c r="X171" s="231">
        <f t="shared" si="71"/>
        <v>0</v>
      </c>
      <c r="Y171" s="231">
        <f t="shared" si="72"/>
        <v>0</v>
      </c>
      <c r="Z171" s="231">
        <f t="shared" si="82"/>
        <v>0</v>
      </c>
      <c r="AA171" s="231"/>
      <c r="AB171" s="231"/>
      <c r="AC171" s="231"/>
      <c r="AD171" s="230">
        <f t="shared" si="83"/>
        <v>3825</v>
      </c>
      <c r="AE171" s="230">
        <f t="shared" si="75"/>
        <v>4950</v>
      </c>
      <c r="AF171" s="230">
        <f t="shared" si="76"/>
        <v>4950</v>
      </c>
      <c r="AG171" s="230">
        <f t="shared" si="77"/>
        <v>4950</v>
      </c>
      <c r="AH171" s="230">
        <f t="shared" si="78"/>
        <v>900</v>
      </c>
      <c r="AI171" s="230">
        <f t="shared" si="79"/>
        <v>0</v>
      </c>
      <c r="AJ171" s="230">
        <f t="shared" si="80"/>
        <v>0</v>
      </c>
      <c r="AK171" s="230">
        <f t="shared" si="81"/>
        <v>0</v>
      </c>
      <c r="AL171" s="230">
        <f t="shared" si="81"/>
        <v>0</v>
      </c>
      <c r="AM171" s="230">
        <f t="shared" si="81"/>
        <v>0</v>
      </c>
      <c r="AN171" s="230">
        <f t="shared" si="73"/>
        <v>0</v>
      </c>
      <c r="AO171" s="230">
        <f t="shared" si="56"/>
        <v>0</v>
      </c>
    </row>
    <row r="172" spans="1:41" ht="15" customHeight="1" x14ac:dyDescent="0.25">
      <c r="A172" s="251" t="s">
        <v>818</v>
      </c>
      <c r="B172" s="251" t="s">
        <v>31</v>
      </c>
      <c r="C172" s="251" t="s">
        <v>84</v>
      </c>
      <c r="D172" s="251" t="s">
        <v>85</v>
      </c>
      <c r="E172" s="251" t="s">
        <v>123</v>
      </c>
      <c r="F172" s="233">
        <f t="shared" si="57"/>
        <v>176</v>
      </c>
      <c r="G172" s="233">
        <f t="shared" si="58"/>
        <v>160</v>
      </c>
      <c r="H172" s="233">
        <f t="shared" si="59"/>
        <v>16</v>
      </c>
      <c r="I172" s="233">
        <f t="shared" si="60"/>
        <v>144</v>
      </c>
      <c r="J172" s="233">
        <f t="shared" si="61"/>
        <v>160</v>
      </c>
      <c r="K172" s="233">
        <f t="shared" si="62"/>
        <v>24</v>
      </c>
      <c r="L172" s="233">
        <f t="shared" si="63"/>
        <v>0</v>
      </c>
      <c r="M172" s="233">
        <f t="shared" si="64"/>
        <v>0</v>
      </c>
      <c r="N172" s="233">
        <f t="shared" si="74"/>
        <v>0</v>
      </c>
      <c r="O172" s="233">
        <f>IFERROR(VLOOKUP(A172,TOTAL_HORAS,79,FALSE),0)</f>
        <v>0</v>
      </c>
      <c r="P172" s="233"/>
      <c r="Q172" s="233"/>
      <c r="R172" s="231">
        <f t="shared" si="65"/>
        <v>16.988636363636363</v>
      </c>
      <c r="S172" s="231">
        <f t="shared" si="66"/>
        <v>18.6875</v>
      </c>
      <c r="T172" s="231">
        <f t="shared" si="67"/>
        <v>16.25</v>
      </c>
      <c r="U172" s="231">
        <f t="shared" si="68"/>
        <v>20.763888888888889</v>
      </c>
      <c r="V172" s="231">
        <f t="shared" si="69"/>
        <v>16.988636363636363</v>
      </c>
      <c r="W172" s="231">
        <f t="shared" si="70"/>
        <v>18.988095238095237</v>
      </c>
      <c r="X172" s="231">
        <f t="shared" si="71"/>
        <v>0</v>
      </c>
      <c r="Y172" s="231">
        <f t="shared" si="72"/>
        <v>18.664772727272727</v>
      </c>
      <c r="Z172" s="231">
        <f t="shared" si="82"/>
        <v>19.047619047619047</v>
      </c>
      <c r="AA172" s="231"/>
      <c r="AB172" s="231"/>
      <c r="AC172" s="231"/>
      <c r="AD172" s="230">
        <f t="shared" si="83"/>
        <v>2990</v>
      </c>
      <c r="AE172" s="230">
        <f t="shared" si="75"/>
        <v>2990</v>
      </c>
      <c r="AF172" s="230">
        <f t="shared" si="76"/>
        <v>260</v>
      </c>
      <c r="AG172" s="230">
        <f t="shared" si="77"/>
        <v>2990</v>
      </c>
      <c r="AH172" s="230">
        <f t="shared" si="78"/>
        <v>2718.181818181818</v>
      </c>
      <c r="AI172" s="230">
        <f t="shared" si="79"/>
        <v>455.71428571428567</v>
      </c>
      <c r="AJ172" s="230">
        <f t="shared" si="80"/>
        <v>0</v>
      </c>
      <c r="AK172" s="230">
        <f t="shared" si="81"/>
        <v>0</v>
      </c>
      <c r="AL172" s="230">
        <f t="shared" si="81"/>
        <v>0</v>
      </c>
      <c r="AM172" s="230">
        <f t="shared" si="81"/>
        <v>0</v>
      </c>
      <c r="AN172" s="230">
        <f t="shared" si="73"/>
        <v>0</v>
      </c>
      <c r="AO172" s="230">
        <f t="shared" si="56"/>
        <v>0</v>
      </c>
    </row>
    <row r="173" spans="1:41" ht="15" customHeight="1" x14ac:dyDescent="0.25">
      <c r="A173" s="251" t="s">
        <v>819</v>
      </c>
      <c r="B173" s="251" t="s">
        <v>614</v>
      </c>
      <c r="C173" s="251" t="s">
        <v>82</v>
      </c>
      <c r="D173" s="251" t="s">
        <v>83</v>
      </c>
      <c r="E173" s="251" t="s">
        <v>126</v>
      </c>
      <c r="F173" s="233">
        <f t="shared" si="57"/>
        <v>0</v>
      </c>
      <c r="G173" s="233">
        <f t="shared" si="58"/>
        <v>0</v>
      </c>
      <c r="H173" s="233">
        <f t="shared" si="59"/>
        <v>0</v>
      </c>
      <c r="I173" s="233">
        <f t="shared" si="60"/>
        <v>0</v>
      </c>
      <c r="J173" s="233">
        <f t="shared" si="61"/>
        <v>0</v>
      </c>
      <c r="K173" s="233">
        <f t="shared" si="62"/>
        <v>0</v>
      </c>
      <c r="L173" s="233">
        <f t="shared" si="63"/>
        <v>0</v>
      </c>
      <c r="M173" s="233">
        <f t="shared" si="64"/>
        <v>24</v>
      </c>
      <c r="N173" s="233">
        <f t="shared" si="74"/>
        <v>0</v>
      </c>
      <c r="O173" s="233">
        <f>IFERROR(VLOOKUP(A173,TOTAL_HORAS,79,FALSE),0)</f>
        <v>0</v>
      </c>
      <c r="P173" s="233"/>
      <c r="Q173" s="233"/>
      <c r="R173" s="231">
        <f t="shared" si="65"/>
        <v>0</v>
      </c>
      <c r="S173" s="231">
        <f t="shared" si="66"/>
        <v>0</v>
      </c>
      <c r="T173" s="231">
        <f t="shared" si="67"/>
        <v>10.869565217391305</v>
      </c>
      <c r="U173" s="231">
        <f t="shared" si="68"/>
        <v>13.888888888888889</v>
      </c>
      <c r="V173" s="231">
        <f t="shared" si="69"/>
        <v>11.363636363636363</v>
      </c>
      <c r="W173" s="231">
        <f t="shared" si="70"/>
        <v>11.904761904761905</v>
      </c>
      <c r="X173" s="231">
        <f t="shared" si="71"/>
        <v>12.5</v>
      </c>
      <c r="Y173" s="231">
        <f t="shared" si="72"/>
        <v>11.363636363636363</v>
      </c>
      <c r="Z173" s="231">
        <f t="shared" si="82"/>
        <v>11.904761904761905</v>
      </c>
      <c r="AA173" s="231"/>
      <c r="AB173" s="231"/>
      <c r="AC173" s="231"/>
      <c r="AD173" s="230">
        <f t="shared" si="83"/>
        <v>0</v>
      </c>
      <c r="AE173" s="230">
        <f t="shared" si="75"/>
        <v>0</v>
      </c>
      <c r="AF173" s="230">
        <f t="shared" si="76"/>
        <v>0</v>
      </c>
      <c r="AG173" s="230">
        <f t="shared" si="77"/>
        <v>0</v>
      </c>
      <c r="AH173" s="230">
        <f t="shared" si="78"/>
        <v>0</v>
      </c>
      <c r="AI173" s="230">
        <f t="shared" si="79"/>
        <v>0</v>
      </c>
      <c r="AJ173" s="230">
        <f t="shared" si="80"/>
        <v>0</v>
      </c>
      <c r="AK173" s="230">
        <f t="shared" si="81"/>
        <v>272.72727272727275</v>
      </c>
      <c r="AL173" s="230">
        <f t="shared" si="81"/>
        <v>0</v>
      </c>
      <c r="AM173" s="230">
        <f t="shared" si="81"/>
        <v>0</v>
      </c>
      <c r="AN173" s="230">
        <f t="shared" si="73"/>
        <v>0</v>
      </c>
      <c r="AO173" s="230">
        <f t="shared" si="56"/>
        <v>0</v>
      </c>
    </row>
    <row r="174" spans="1:41" ht="15" customHeight="1" x14ac:dyDescent="0.25">
      <c r="A174" s="251" t="s">
        <v>820</v>
      </c>
      <c r="B174" s="251" t="s">
        <v>31</v>
      </c>
      <c r="C174" s="251" t="s">
        <v>208</v>
      </c>
      <c r="D174" s="251" t="s">
        <v>208</v>
      </c>
      <c r="E174" s="251" t="s">
        <v>210</v>
      </c>
      <c r="F174" s="233">
        <f t="shared" si="57"/>
        <v>0</v>
      </c>
      <c r="G174" s="233">
        <f t="shared" si="58"/>
        <v>0</v>
      </c>
      <c r="H174" s="233">
        <f t="shared" si="59"/>
        <v>0</v>
      </c>
      <c r="I174" s="233">
        <f t="shared" si="60"/>
        <v>0</v>
      </c>
      <c r="J174" s="233">
        <f t="shared" si="61"/>
        <v>16</v>
      </c>
      <c r="K174" s="233">
        <f t="shared" si="62"/>
        <v>0</v>
      </c>
      <c r="L174" s="233">
        <f t="shared" si="63"/>
        <v>0</v>
      </c>
      <c r="M174" s="233">
        <f t="shared" si="64"/>
        <v>8</v>
      </c>
      <c r="N174" s="233">
        <f t="shared" si="74"/>
        <v>16</v>
      </c>
      <c r="O174" s="233">
        <f>IFERROR(VLOOKUP(A174,TOTAL_HORAS,79,FALSE),0)</f>
        <v>0</v>
      </c>
      <c r="P174" s="233"/>
      <c r="Q174" s="233"/>
      <c r="R174" s="231">
        <f t="shared" si="65"/>
        <v>16.988636363636363</v>
      </c>
      <c r="S174" s="231">
        <f t="shared" si="66"/>
        <v>18.6875</v>
      </c>
      <c r="T174" s="231">
        <f t="shared" si="67"/>
        <v>16.25</v>
      </c>
      <c r="U174" s="231">
        <f t="shared" si="68"/>
        <v>20.763888888888889</v>
      </c>
      <c r="V174" s="231">
        <f t="shared" si="69"/>
        <v>16.988636363636363</v>
      </c>
      <c r="W174" s="231">
        <f t="shared" si="70"/>
        <v>18.988095238095237</v>
      </c>
      <c r="X174" s="231">
        <f t="shared" si="71"/>
        <v>0</v>
      </c>
      <c r="Y174" s="231">
        <f t="shared" si="72"/>
        <v>18.664772727272727</v>
      </c>
      <c r="Z174" s="231">
        <f t="shared" si="82"/>
        <v>19.047619047619047</v>
      </c>
      <c r="AA174" s="231"/>
      <c r="AB174" s="231"/>
      <c r="AC174" s="231"/>
      <c r="AD174" s="230">
        <f t="shared" si="83"/>
        <v>0</v>
      </c>
      <c r="AE174" s="230">
        <f t="shared" si="75"/>
        <v>0</v>
      </c>
      <c r="AF174" s="230">
        <f t="shared" si="76"/>
        <v>0</v>
      </c>
      <c r="AG174" s="230">
        <f t="shared" si="77"/>
        <v>0</v>
      </c>
      <c r="AH174" s="230">
        <f t="shared" si="78"/>
        <v>271.81818181818181</v>
      </c>
      <c r="AI174" s="230">
        <f t="shared" si="79"/>
        <v>0</v>
      </c>
      <c r="AJ174" s="230">
        <f t="shared" si="80"/>
        <v>0</v>
      </c>
      <c r="AK174" s="230">
        <f t="shared" si="81"/>
        <v>149.31818181818181</v>
      </c>
      <c r="AL174" s="230">
        <f t="shared" si="81"/>
        <v>304.76190476190476</v>
      </c>
      <c r="AM174" s="230">
        <f t="shared" si="81"/>
        <v>0</v>
      </c>
      <c r="AN174" s="230">
        <f t="shared" si="73"/>
        <v>0</v>
      </c>
      <c r="AO174" s="230">
        <f t="shared" si="56"/>
        <v>0</v>
      </c>
    </row>
    <row r="175" spans="1:41" ht="15" customHeight="1" x14ac:dyDescent="0.25">
      <c r="A175" s="251" t="s">
        <v>821</v>
      </c>
      <c r="B175" s="251" t="s">
        <v>31</v>
      </c>
      <c r="C175" s="251" t="s">
        <v>209</v>
      </c>
      <c r="D175" s="251" t="s">
        <v>209</v>
      </c>
      <c r="E175" s="251" t="s">
        <v>243</v>
      </c>
      <c r="F175" s="233">
        <f t="shared" si="57"/>
        <v>0</v>
      </c>
      <c r="G175" s="233">
        <f t="shared" si="58"/>
        <v>0</v>
      </c>
      <c r="H175" s="233">
        <f t="shared" si="59"/>
        <v>88</v>
      </c>
      <c r="I175" s="233">
        <f t="shared" si="60"/>
        <v>0</v>
      </c>
      <c r="J175" s="233">
        <f t="shared" si="61"/>
        <v>0</v>
      </c>
      <c r="K175" s="233">
        <f t="shared" si="62"/>
        <v>0</v>
      </c>
      <c r="L175" s="233">
        <f t="shared" si="63"/>
        <v>0</v>
      </c>
      <c r="M175" s="233">
        <f t="shared" si="64"/>
        <v>0</v>
      </c>
      <c r="N175" s="233">
        <f t="shared" si="74"/>
        <v>0</v>
      </c>
      <c r="O175" s="233">
        <f>IFERROR(VLOOKUP(A175,TOTAL_HORAS,79,FALSE),0)</f>
        <v>0</v>
      </c>
      <c r="P175" s="233"/>
      <c r="Q175" s="233"/>
      <c r="R175" s="231">
        <f t="shared" si="65"/>
        <v>16.988636363636363</v>
      </c>
      <c r="S175" s="231">
        <f t="shared" si="66"/>
        <v>18.6875</v>
      </c>
      <c r="T175" s="231">
        <f t="shared" si="67"/>
        <v>16.25</v>
      </c>
      <c r="U175" s="231">
        <f t="shared" si="68"/>
        <v>20.763888888888889</v>
      </c>
      <c r="V175" s="231">
        <f t="shared" si="69"/>
        <v>16.988636363636363</v>
      </c>
      <c r="W175" s="231">
        <f t="shared" si="70"/>
        <v>18.988095238095237</v>
      </c>
      <c r="X175" s="231">
        <f t="shared" si="71"/>
        <v>0</v>
      </c>
      <c r="Y175" s="231">
        <f t="shared" si="72"/>
        <v>18.664772727272727</v>
      </c>
      <c r="Z175" s="231">
        <f t="shared" si="82"/>
        <v>19.047619047619047</v>
      </c>
      <c r="AA175" s="231"/>
      <c r="AB175" s="231"/>
      <c r="AC175" s="231"/>
      <c r="AD175" s="230">
        <f t="shared" si="83"/>
        <v>0</v>
      </c>
      <c r="AE175" s="230">
        <f t="shared" si="75"/>
        <v>0</v>
      </c>
      <c r="AF175" s="230">
        <f t="shared" si="76"/>
        <v>1430</v>
      </c>
      <c r="AG175" s="230">
        <f t="shared" si="77"/>
        <v>0</v>
      </c>
      <c r="AH175" s="230">
        <f t="shared" si="78"/>
        <v>0</v>
      </c>
      <c r="AI175" s="230">
        <f t="shared" si="79"/>
        <v>0</v>
      </c>
      <c r="AJ175" s="230">
        <f t="shared" si="80"/>
        <v>0</v>
      </c>
      <c r="AK175" s="230">
        <f t="shared" si="81"/>
        <v>0</v>
      </c>
      <c r="AL175" s="230">
        <f t="shared" si="81"/>
        <v>0</v>
      </c>
      <c r="AM175" s="230">
        <f t="shared" si="81"/>
        <v>0</v>
      </c>
      <c r="AN175" s="230">
        <f t="shared" si="73"/>
        <v>0</v>
      </c>
      <c r="AO175" s="230">
        <f t="shared" si="56"/>
        <v>0</v>
      </c>
    </row>
    <row r="176" spans="1:41" ht="15" customHeight="1" x14ac:dyDescent="0.25">
      <c r="A176" s="251" t="s">
        <v>822</v>
      </c>
      <c r="B176" s="251" t="s">
        <v>31</v>
      </c>
      <c r="C176" s="251" t="s">
        <v>75</v>
      </c>
      <c r="D176" s="251" t="s">
        <v>75</v>
      </c>
      <c r="E176" s="251" t="s">
        <v>131</v>
      </c>
      <c r="F176" s="233">
        <f t="shared" si="57"/>
        <v>0</v>
      </c>
      <c r="G176" s="233">
        <f t="shared" si="58"/>
        <v>0</v>
      </c>
      <c r="H176" s="233">
        <f t="shared" si="59"/>
        <v>80</v>
      </c>
      <c r="I176" s="233">
        <f t="shared" si="60"/>
        <v>0</v>
      </c>
      <c r="J176" s="233">
        <f t="shared" si="61"/>
        <v>0</v>
      </c>
      <c r="K176" s="233">
        <f t="shared" si="62"/>
        <v>104</v>
      </c>
      <c r="L176" s="233">
        <f t="shared" si="63"/>
        <v>0</v>
      </c>
      <c r="M176" s="233">
        <f t="shared" si="64"/>
        <v>0</v>
      </c>
      <c r="N176" s="233">
        <f t="shared" si="74"/>
        <v>0</v>
      </c>
      <c r="O176" s="233">
        <f>IFERROR(VLOOKUP(A176,TOTAL_HORAS,79,FALSE),0)</f>
        <v>0</v>
      </c>
      <c r="P176" s="233"/>
      <c r="Q176" s="233"/>
      <c r="R176" s="231">
        <f t="shared" si="65"/>
        <v>16.988636363636363</v>
      </c>
      <c r="S176" s="231">
        <f t="shared" si="66"/>
        <v>18.6875</v>
      </c>
      <c r="T176" s="231">
        <f t="shared" si="67"/>
        <v>16.25</v>
      </c>
      <c r="U176" s="231">
        <f t="shared" si="68"/>
        <v>20.763888888888889</v>
      </c>
      <c r="V176" s="231">
        <f t="shared" si="69"/>
        <v>16.988636363636363</v>
      </c>
      <c r="W176" s="231">
        <f t="shared" si="70"/>
        <v>18.988095238095237</v>
      </c>
      <c r="X176" s="231">
        <f t="shared" si="71"/>
        <v>0</v>
      </c>
      <c r="Y176" s="231">
        <f t="shared" si="72"/>
        <v>18.664772727272727</v>
      </c>
      <c r="Z176" s="231">
        <f t="shared" si="82"/>
        <v>19.047619047619047</v>
      </c>
      <c r="AA176" s="231"/>
      <c r="AB176" s="231"/>
      <c r="AC176" s="231"/>
      <c r="AD176" s="230">
        <f t="shared" si="83"/>
        <v>0</v>
      </c>
      <c r="AE176" s="230">
        <f t="shared" si="75"/>
        <v>0</v>
      </c>
      <c r="AF176" s="230">
        <f t="shared" si="76"/>
        <v>1300</v>
      </c>
      <c r="AG176" s="230">
        <f t="shared" si="77"/>
        <v>0</v>
      </c>
      <c r="AH176" s="230">
        <f t="shared" si="78"/>
        <v>0</v>
      </c>
      <c r="AI176" s="230">
        <f t="shared" si="79"/>
        <v>1974.7619047619046</v>
      </c>
      <c r="AJ176" s="230">
        <f t="shared" si="80"/>
        <v>0</v>
      </c>
      <c r="AK176" s="230">
        <f t="shared" si="81"/>
        <v>0</v>
      </c>
      <c r="AL176" s="230">
        <f t="shared" si="81"/>
        <v>0</v>
      </c>
      <c r="AM176" s="230">
        <f t="shared" si="81"/>
        <v>0</v>
      </c>
      <c r="AN176" s="230">
        <f t="shared" si="73"/>
        <v>0</v>
      </c>
      <c r="AO176" s="230">
        <f t="shared" si="56"/>
        <v>0</v>
      </c>
    </row>
    <row r="177" spans="1:41" ht="15" customHeight="1" x14ac:dyDescent="0.25">
      <c r="A177" s="251" t="s">
        <v>823</v>
      </c>
      <c r="B177" s="251" t="s">
        <v>29</v>
      </c>
      <c r="C177" s="251" t="s">
        <v>45</v>
      </c>
      <c r="D177" s="251" t="s">
        <v>51</v>
      </c>
      <c r="E177" s="251" t="s">
        <v>122</v>
      </c>
      <c r="F177" s="233">
        <f t="shared" si="57"/>
        <v>0</v>
      </c>
      <c r="G177" s="233">
        <f t="shared" si="58"/>
        <v>0</v>
      </c>
      <c r="H177" s="233">
        <f t="shared" si="59"/>
        <v>0</v>
      </c>
      <c r="I177" s="233">
        <f t="shared" si="60"/>
        <v>32</v>
      </c>
      <c r="J177" s="233">
        <f t="shared" si="61"/>
        <v>176</v>
      </c>
      <c r="K177" s="233">
        <f t="shared" si="62"/>
        <v>168</v>
      </c>
      <c r="L177" s="233">
        <f t="shared" si="63"/>
        <v>0</v>
      </c>
      <c r="M177" s="233">
        <f t="shared" si="64"/>
        <v>0</v>
      </c>
      <c r="N177" s="233">
        <f t="shared" si="74"/>
        <v>0</v>
      </c>
      <c r="O177" s="233">
        <f>IFERROR(VLOOKUP(A177,TOTAL_HORAS,79,FALSE),0)</f>
        <v>0</v>
      </c>
      <c r="P177" s="233"/>
      <c r="Q177" s="233"/>
      <c r="R177" s="231">
        <f t="shared" si="65"/>
        <v>27.272727272727273</v>
      </c>
      <c r="S177" s="231">
        <f t="shared" si="66"/>
        <v>30</v>
      </c>
      <c r="T177" s="231">
        <f t="shared" si="67"/>
        <v>26.086956521739129</v>
      </c>
      <c r="U177" s="231">
        <f t="shared" si="68"/>
        <v>37.5</v>
      </c>
      <c r="V177" s="231">
        <f t="shared" si="69"/>
        <v>30.681818181818183</v>
      </c>
      <c r="W177" s="231">
        <f t="shared" si="70"/>
        <v>32.142857142857146</v>
      </c>
      <c r="X177" s="231">
        <f t="shared" si="71"/>
        <v>33.75</v>
      </c>
      <c r="Y177" s="231">
        <f t="shared" si="72"/>
        <v>30.681818181818183</v>
      </c>
      <c r="Z177" s="231">
        <f t="shared" si="82"/>
        <v>32.142857142857146</v>
      </c>
      <c r="AA177" s="231"/>
      <c r="AB177" s="231"/>
      <c r="AC177" s="231"/>
      <c r="AD177" s="230">
        <f t="shared" si="83"/>
        <v>0</v>
      </c>
      <c r="AE177" s="230">
        <f t="shared" si="75"/>
        <v>0</v>
      </c>
      <c r="AF177" s="230">
        <f t="shared" si="76"/>
        <v>0</v>
      </c>
      <c r="AG177" s="230">
        <f t="shared" si="77"/>
        <v>1200</v>
      </c>
      <c r="AH177" s="230">
        <f t="shared" si="78"/>
        <v>5400</v>
      </c>
      <c r="AI177" s="230">
        <f t="shared" ref="AI177:AI207" si="84">K177*W177</f>
        <v>5400.0000000000009</v>
      </c>
      <c r="AJ177" s="230">
        <f t="shared" si="80"/>
        <v>0</v>
      </c>
      <c r="AK177" s="230">
        <f t="shared" si="81"/>
        <v>0</v>
      </c>
      <c r="AL177" s="230">
        <f t="shared" si="81"/>
        <v>0</v>
      </c>
      <c r="AM177" s="230">
        <f t="shared" si="81"/>
        <v>0</v>
      </c>
      <c r="AN177" s="230">
        <f t="shared" si="73"/>
        <v>0</v>
      </c>
      <c r="AO177" s="230">
        <f t="shared" si="56"/>
        <v>0</v>
      </c>
    </row>
    <row r="178" spans="1:41" ht="15" customHeight="1" x14ac:dyDescent="0.25">
      <c r="A178" s="251" t="s">
        <v>824</v>
      </c>
      <c r="B178" s="251" t="s">
        <v>29</v>
      </c>
      <c r="C178" s="251" t="s">
        <v>44</v>
      </c>
      <c r="D178" s="251" t="s">
        <v>42</v>
      </c>
      <c r="E178" s="251" t="s">
        <v>304</v>
      </c>
      <c r="F178" s="233">
        <f t="shared" si="57"/>
        <v>176</v>
      </c>
      <c r="G178" s="233">
        <f t="shared" si="58"/>
        <v>160</v>
      </c>
      <c r="H178" s="233">
        <f t="shared" si="59"/>
        <v>184</v>
      </c>
      <c r="I178" s="233">
        <f t="shared" si="60"/>
        <v>16</v>
      </c>
      <c r="J178" s="233">
        <f t="shared" si="61"/>
        <v>0</v>
      </c>
      <c r="K178" s="233">
        <f t="shared" si="62"/>
        <v>0</v>
      </c>
      <c r="L178" s="233">
        <f t="shared" si="63"/>
        <v>0</v>
      </c>
      <c r="M178" s="233">
        <f t="shared" si="64"/>
        <v>0</v>
      </c>
      <c r="N178" s="233">
        <f t="shared" si="74"/>
        <v>0</v>
      </c>
      <c r="O178" s="233">
        <f>IFERROR(VLOOKUP(A178,TOTAL_HORAS,79,FALSE),0)</f>
        <v>0</v>
      </c>
      <c r="P178" s="233"/>
      <c r="Q178" s="233"/>
      <c r="R178" s="231">
        <f t="shared" si="65"/>
        <v>27.272727272727273</v>
      </c>
      <c r="S178" s="231">
        <f t="shared" si="66"/>
        <v>30</v>
      </c>
      <c r="T178" s="231">
        <f t="shared" si="67"/>
        <v>26.086956521739129</v>
      </c>
      <c r="U178" s="231">
        <f t="shared" si="68"/>
        <v>37.5</v>
      </c>
      <c r="V178" s="231">
        <f t="shared" si="69"/>
        <v>30.681818181818183</v>
      </c>
      <c r="W178" s="231">
        <f t="shared" ref="W178:W208" si="85">IFERROR(VLOOKUP(B178,MATRIZ_JUN,2,FALSE),0)</f>
        <v>32.142857142857146</v>
      </c>
      <c r="X178" s="231">
        <f t="shared" si="71"/>
        <v>33.75</v>
      </c>
      <c r="Y178" s="231">
        <f t="shared" si="72"/>
        <v>30.681818181818183</v>
      </c>
      <c r="Z178" s="231">
        <f t="shared" si="82"/>
        <v>32.142857142857146</v>
      </c>
      <c r="AA178" s="231"/>
      <c r="AB178" s="231"/>
      <c r="AC178" s="231"/>
      <c r="AD178" s="230">
        <f t="shared" si="83"/>
        <v>4800</v>
      </c>
      <c r="AE178" s="230">
        <f t="shared" si="75"/>
        <v>4800</v>
      </c>
      <c r="AF178" s="230">
        <f t="shared" si="76"/>
        <v>4800</v>
      </c>
      <c r="AG178" s="230">
        <f t="shared" si="77"/>
        <v>600</v>
      </c>
      <c r="AH178" s="230">
        <f t="shared" si="78"/>
        <v>0</v>
      </c>
      <c r="AI178" s="230">
        <f t="shared" si="84"/>
        <v>0</v>
      </c>
      <c r="AJ178" s="230">
        <f t="shared" si="80"/>
        <v>0</v>
      </c>
      <c r="AK178" s="230">
        <f t="shared" si="81"/>
        <v>0</v>
      </c>
      <c r="AL178" s="230">
        <f t="shared" si="81"/>
        <v>0</v>
      </c>
      <c r="AM178" s="230">
        <f t="shared" si="81"/>
        <v>0</v>
      </c>
      <c r="AN178" s="230">
        <f t="shared" si="73"/>
        <v>0</v>
      </c>
      <c r="AO178" s="230">
        <f t="shared" si="56"/>
        <v>0</v>
      </c>
    </row>
    <row r="179" spans="1:41" ht="15" customHeight="1" x14ac:dyDescent="0.25">
      <c r="A179" s="251" t="s">
        <v>825</v>
      </c>
      <c r="B179" s="251" t="s">
        <v>29</v>
      </c>
      <c r="C179" s="251" t="s">
        <v>75</v>
      </c>
      <c r="D179" s="251" t="s">
        <v>75</v>
      </c>
      <c r="E179" s="251" t="s">
        <v>131</v>
      </c>
      <c r="F179" s="233">
        <f t="shared" si="57"/>
        <v>0</v>
      </c>
      <c r="G179" s="233">
        <f t="shared" si="58"/>
        <v>0</v>
      </c>
      <c r="H179" s="233">
        <f t="shared" si="59"/>
        <v>0</v>
      </c>
      <c r="I179" s="233">
        <f t="shared" si="60"/>
        <v>96</v>
      </c>
      <c r="J179" s="233">
        <f t="shared" si="61"/>
        <v>0</v>
      </c>
      <c r="K179" s="233">
        <f t="shared" si="62"/>
        <v>0</v>
      </c>
      <c r="L179" s="233">
        <f t="shared" si="63"/>
        <v>120</v>
      </c>
      <c r="M179" s="233">
        <f t="shared" si="64"/>
        <v>0</v>
      </c>
      <c r="N179" s="233">
        <f t="shared" si="74"/>
        <v>0</v>
      </c>
      <c r="O179" s="233">
        <f>IFERROR(VLOOKUP(A179,TOTAL_HORAS,79,FALSE),0)</f>
        <v>0</v>
      </c>
      <c r="P179" s="233"/>
      <c r="Q179" s="233"/>
      <c r="R179" s="231">
        <f t="shared" si="65"/>
        <v>27.272727272727273</v>
      </c>
      <c r="S179" s="231">
        <f t="shared" si="66"/>
        <v>30</v>
      </c>
      <c r="T179" s="231">
        <f t="shared" si="67"/>
        <v>26.086956521739129</v>
      </c>
      <c r="U179" s="231">
        <f t="shared" si="68"/>
        <v>37.5</v>
      </c>
      <c r="V179" s="231">
        <f t="shared" si="69"/>
        <v>30.681818181818183</v>
      </c>
      <c r="W179" s="231">
        <f t="shared" si="85"/>
        <v>32.142857142857146</v>
      </c>
      <c r="X179" s="231">
        <f t="shared" si="71"/>
        <v>33.75</v>
      </c>
      <c r="Y179" s="231">
        <f t="shared" si="72"/>
        <v>30.681818181818183</v>
      </c>
      <c r="Z179" s="231">
        <f t="shared" si="82"/>
        <v>32.142857142857146</v>
      </c>
      <c r="AA179" s="231"/>
      <c r="AB179" s="231"/>
      <c r="AC179" s="231"/>
      <c r="AD179" s="230">
        <f t="shared" si="83"/>
        <v>0</v>
      </c>
      <c r="AE179" s="230">
        <f t="shared" si="75"/>
        <v>0</v>
      </c>
      <c r="AF179" s="230">
        <f t="shared" si="76"/>
        <v>0</v>
      </c>
      <c r="AG179" s="230">
        <f t="shared" si="77"/>
        <v>3600</v>
      </c>
      <c r="AH179" s="230">
        <f t="shared" si="78"/>
        <v>0</v>
      </c>
      <c r="AI179" s="230">
        <f t="shared" si="84"/>
        <v>0</v>
      </c>
      <c r="AJ179" s="230">
        <f t="shared" si="80"/>
        <v>4050</v>
      </c>
      <c r="AK179" s="230">
        <f t="shared" si="81"/>
        <v>0</v>
      </c>
      <c r="AL179" s="230">
        <f t="shared" si="81"/>
        <v>0</v>
      </c>
      <c r="AM179" s="230">
        <f t="shared" si="81"/>
        <v>0</v>
      </c>
      <c r="AN179" s="230">
        <f t="shared" si="73"/>
        <v>0</v>
      </c>
      <c r="AO179" s="230">
        <f t="shared" si="56"/>
        <v>0</v>
      </c>
    </row>
    <row r="180" spans="1:41" ht="15" customHeight="1" x14ac:dyDescent="0.25">
      <c r="A180" s="251" t="s">
        <v>826</v>
      </c>
      <c r="B180" s="251" t="s">
        <v>428</v>
      </c>
      <c r="C180" s="251" t="s">
        <v>75</v>
      </c>
      <c r="D180" s="251" t="s">
        <v>75</v>
      </c>
      <c r="E180" s="251" t="s">
        <v>131</v>
      </c>
      <c r="F180" s="233">
        <f t="shared" si="57"/>
        <v>0</v>
      </c>
      <c r="G180" s="233">
        <f t="shared" si="58"/>
        <v>0</v>
      </c>
      <c r="H180" s="233">
        <f t="shared" si="59"/>
        <v>0</v>
      </c>
      <c r="I180" s="233">
        <f t="shared" si="60"/>
        <v>0</v>
      </c>
      <c r="J180" s="233">
        <f t="shared" si="61"/>
        <v>0</v>
      </c>
      <c r="K180" s="233">
        <f t="shared" si="62"/>
        <v>0</v>
      </c>
      <c r="L180" s="233">
        <f t="shared" si="63"/>
        <v>40</v>
      </c>
      <c r="M180" s="233">
        <f t="shared" si="64"/>
        <v>32</v>
      </c>
      <c r="N180" s="233">
        <f t="shared" si="74"/>
        <v>0</v>
      </c>
      <c r="O180" s="233">
        <f>IFERROR(VLOOKUP(A180,TOTAL_HORAS,79,FALSE),0)</f>
        <v>0</v>
      </c>
      <c r="P180" s="233"/>
      <c r="Q180" s="233"/>
      <c r="R180" s="231">
        <f t="shared" si="65"/>
        <v>0</v>
      </c>
      <c r="S180" s="231">
        <f t="shared" si="66"/>
        <v>0</v>
      </c>
      <c r="T180" s="231">
        <f t="shared" si="67"/>
        <v>0</v>
      </c>
      <c r="U180" s="231">
        <f t="shared" si="68"/>
        <v>0</v>
      </c>
      <c r="V180" s="231">
        <f t="shared" si="69"/>
        <v>33.238636363636367</v>
      </c>
      <c r="W180" s="231">
        <f t="shared" si="85"/>
        <v>34.821428571428569</v>
      </c>
      <c r="X180" s="231">
        <f t="shared" si="71"/>
        <v>36.5625</v>
      </c>
      <c r="Y180" s="231">
        <f t="shared" si="72"/>
        <v>31.25</v>
      </c>
      <c r="Z180" s="231">
        <f t="shared" si="82"/>
        <v>0</v>
      </c>
      <c r="AA180" s="231"/>
      <c r="AB180" s="231"/>
      <c r="AC180" s="231"/>
      <c r="AD180" s="230">
        <f t="shared" si="83"/>
        <v>0</v>
      </c>
      <c r="AE180" s="230">
        <f t="shared" si="75"/>
        <v>0</v>
      </c>
      <c r="AF180" s="230">
        <f t="shared" si="76"/>
        <v>0</v>
      </c>
      <c r="AG180" s="230">
        <f t="shared" si="77"/>
        <v>0</v>
      </c>
      <c r="AH180" s="230">
        <f t="shared" si="78"/>
        <v>0</v>
      </c>
      <c r="AI180" s="230">
        <f t="shared" si="84"/>
        <v>0</v>
      </c>
      <c r="AJ180" s="230">
        <f t="shared" si="80"/>
        <v>1462.5</v>
      </c>
      <c r="AK180" s="230">
        <f t="shared" si="81"/>
        <v>1000</v>
      </c>
      <c r="AL180" s="230">
        <f t="shared" si="81"/>
        <v>0</v>
      </c>
      <c r="AM180" s="230">
        <f t="shared" si="81"/>
        <v>0</v>
      </c>
      <c r="AN180" s="230">
        <f t="shared" si="73"/>
        <v>0</v>
      </c>
      <c r="AO180" s="230">
        <f t="shared" si="56"/>
        <v>0</v>
      </c>
    </row>
    <row r="181" spans="1:41" ht="15" customHeight="1" x14ac:dyDescent="0.25">
      <c r="A181" s="251" t="s">
        <v>854</v>
      </c>
      <c r="B181" s="251" t="s">
        <v>428</v>
      </c>
      <c r="C181" s="251" t="s">
        <v>208</v>
      </c>
      <c r="D181" s="251" t="s">
        <v>208</v>
      </c>
      <c r="E181" s="251" t="s">
        <v>210</v>
      </c>
      <c r="F181" s="233">
        <f t="shared" si="57"/>
        <v>0</v>
      </c>
      <c r="G181" s="233">
        <f t="shared" si="58"/>
        <v>0</v>
      </c>
      <c r="H181" s="233">
        <f t="shared" si="59"/>
        <v>0</v>
      </c>
      <c r="I181" s="233">
        <f t="shared" si="60"/>
        <v>0</v>
      </c>
      <c r="J181" s="233">
        <f t="shared" si="61"/>
        <v>0</v>
      </c>
      <c r="K181" s="233">
        <f t="shared" si="62"/>
        <v>0</v>
      </c>
      <c r="L181" s="233">
        <f t="shared" si="63"/>
        <v>0</v>
      </c>
      <c r="M181" s="233">
        <f t="shared" si="64"/>
        <v>8</v>
      </c>
      <c r="N181" s="233">
        <f t="shared" si="74"/>
        <v>0</v>
      </c>
      <c r="O181" s="233">
        <f>IFERROR(VLOOKUP(A181,TOTAL_HORAS,79,FALSE),0)</f>
        <v>0</v>
      </c>
      <c r="P181" s="233"/>
      <c r="Q181" s="233"/>
      <c r="R181" s="231">
        <f t="shared" si="65"/>
        <v>0</v>
      </c>
      <c r="S181" s="231">
        <f t="shared" si="66"/>
        <v>0</v>
      </c>
      <c r="T181" s="231">
        <f t="shared" si="67"/>
        <v>0</v>
      </c>
      <c r="U181" s="231">
        <f t="shared" si="68"/>
        <v>0</v>
      </c>
      <c r="V181" s="231">
        <f t="shared" si="69"/>
        <v>33.238636363636367</v>
      </c>
      <c r="W181" s="231">
        <f t="shared" si="85"/>
        <v>34.821428571428569</v>
      </c>
      <c r="X181" s="231">
        <f t="shared" si="71"/>
        <v>36.5625</v>
      </c>
      <c r="Y181" s="231">
        <f t="shared" si="72"/>
        <v>31.25</v>
      </c>
      <c r="Z181" s="231">
        <f t="shared" si="82"/>
        <v>0</v>
      </c>
      <c r="AA181" s="231"/>
      <c r="AB181" s="231"/>
      <c r="AC181" s="231"/>
      <c r="AD181" s="230">
        <f t="shared" si="83"/>
        <v>0</v>
      </c>
      <c r="AE181" s="230">
        <f t="shared" si="75"/>
        <v>0</v>
      </c>
      <c r="AF181" s="230">
        <f t="shared" si="76"/>
        <v>0</v>
      </c>
      <c r="AG181" s="230">
        <f t="shared" si="77"/>
        <v>0</v>
      </c>
      <c r="AH181" s="230">
        <f t="shared" si="78"/>
        <v>0</v>
      </c>
      <c r="AI181" s="230">
        <f t="shared" si="84"/>
        <v>0</v>
      </c>
      <c r="AJ181" s="230">
        <f t="shared" si="80"/>
        <v>0</v>
      </c>
      <c r="AK181" s="230">
        <f t="shared" si="81"/>
        <v>250</v>
      </c>
      <c r="AL181" s="230">
        <f t="shared" si="81"/>
        <v>0</v>
      </c>
      <c r="AM181" s="230">
        <f t="shared" si="81"/>
        <v>0</v>
      </c>
      <c r="AN181" s="230">
        <f t="shared" si="73"/>
        <v>0</v>
      </c>
      <c r="AO181" s="230">
        <f t="shared" si="56"/>
        <v>0</v>
      </c>
    </row>
    <row r="182" spans="1:41" ht="15" customHeight="1" x14ac:dyDescent="0.25">
      <c r="A182" s="251" t="s">
        <v>970</v>
      </c>
      <c r="B182" s="251" t="s">
        <v>428</v>
      </c>
      <c r="C182" s="251" t="s">
        <v>907</v>
      </c>
      <c r="D182" s="251" t="s">
        <v>967</v>
      </c>
      <c r="E182" s="251" t="s">
        <v>968</v>
      </c>
      <c r="F182" s="233">
        <f t="shared" si="57"/>
        <v>0</v>
      </c>
      <c r="G182" s="233">
        <f t="shared" si="58"/>
        <v>0</v>
      </c>
      <c r="H182" s="233">
        <f t="shared" si="59"/>
        <v>0</v>
      </c>
      <c r="I182" s="233">
        <f t="shared" si="60"/>
        <v>0</v>
      </c>
      <c r="J182" s="233">
        <f t="shared" si="61"/>
        <v>0</v>
      </c>
      <c r="K182" s="233">
        <f t="shared" si="62"/>
        <v>0</v>
      </c>
      <c r="L182" s="233">
        <f t="shared" si="63"/>
        <v>0</v>
      </c>
      <c r="M182" s="233">
        <f t="shared" si="64"/>
        <v>40</v>
      </c>
      <c r="N182" s="233">
        <f t="shared" si="74"/>
        <v>0</v>
      </c>
      <c r="O182" s="233">
        <f>IFERROR(VLOOKUP(A182,TOTAL_HORAS,79,FALSE),0)</f>
        <v>0</v>
      </c>
      <c r="P182" s="233"/>
      <c r="Q182" s="233"/>
      <c r="R182" s="231">
        <f t="shared" si="65"/>
        <v>0</v>
      </c>
      <c r="S182" s="231">
        <f t="shared" si="66"/>
        <v>0</v>
      </c>
      <c r="T182" s="231">
        <f t="shared" si="67"/>
        <v>0</v>
      </c>
      <c r="U182" s="231">
        <f t="shared" si="68"/>
        <v>0</v>
      </c>
      <c r="V182" s="231">
        <f t="shared" si="69"/>
        <v>33.238636363636367</v>
      </c>
      <c r="W182" s="231">
        <f t="shared" si="85"/>
        <v>34.821428571428569</v>
      </c>
      <c r="X182" s="231">
        <f t="shared" si="71"/>
        <v>36.5625</v>
      </c>
      <c r="Y182" s="231">
        <f t="shared" si="72"/>
        <v>31.25</v>
      </c>
      <c r="Z182" s="231">
        <f t="shared" si="82"/>
        <v>0</v>
      </c>
      <c r="AA182" s="231"/>
      <c r="AB182" s="231"/>
      <c r="AC182" s="231"/>
      <c r="AD182" s="230">
        <f t="shared" si="83"/>
        <v>0</v>
      </c>
      <c r="AE182" s="230">
        <f t="shared" si="75"/>
        <v>0</v>
      </c>
      <c r="AF182" s="230">
        <f t="shared" si="76"/>
        <v>0</v>
      </c>
      <c r="AG182" s="230">
        <f t="shared" si="77"/>
        <v>0</v>
      </c>
      <c r="AH182" s="230">
        <f t="shared" si="78"/>
        <v>0</v>
      </c>
      <c r="AI182" s="230">
        <f t="shared" si="84"/>
        <v>0</v>
      </c>
      <c r="AJ182" s="230">
        <f t="shared" si="80"/>
        <v>0</v>
      </c>
      <c r="AK182" s="230">
        <f t="shared" si="81"/>
        <v>1250</v>
      </c>
      <c r="AL182" s="230">
        <f t="shared" si="81"/>
        <v>0</v>
      </c>
      <c r="AM182" s="230">
        <f t="shared" si="81"/>
        <v>0</v>
      </c>
      <c r="AN182" s="230">
        <f t="shared" si="73"/>
        <v>0</v>
      </c>
      <c r="AO182" s="230">
        <f t="shared" si="56"/>
        <v>0</v>
      </c>
    </row>
    <row r="183" spans="1:41" ht="15" customHeight="1" x14ac:dyDescent="0.25">
      <c r="A183" s="251" t="s">
        <v>827</v>
      </c>
      <c r="B183" s="251" t="s">
        <v>428</v>
      </c>
      <c r="C183" s="251" t="s">
        <v>45</v>
      </c>
      <c r="D183" s="251" t="s">
        <v>51</v>
      </c>
      <c r="E183" s="251" t="s">
        <v>122</v>
      </c>
      <c r="F183" s="233">
        <f t="shared" si="57"/>
        <v>0</v>
      </c>
      <c r="G183" s="233">
        <f t="shared" si="58"/>
        <v>0</v>
      </c>
      <c r="H183" s="233">
        <f t="shared" si="59"/>
        <v>0</v>
      </c>
      <c r="I183" s="233">
        <f t="shared" si="60"/>
        <v>0</v>
      </c>
      <c r="J183" s="233">
        <f t="shared" si="61"/>
        <v>168</v>
      </c>
      <c r="K183" s="233">
        <f t="shared" si="62"/>
        <v>168</v>
      </c>
      <c r="L183" s="233">
        <f t="shared" si="63"/>
        <v>48</v>
      </c>
      <c r="M183" s="233">
        <f t="shared" si="64"/>
        <v>96</v>
      </c>
      <c r="N183" s="233">
        <f t="shared" si="74"/>
        <v>8</v>
      </c>
      <c r="O183" s="233">
        <f>IFERROR(VLOOKUP(A183,TOTAL_HORAS,79,FALSE),0)</f>
        <v>0</v>
      </c>
      <c r="P183" s="233"/>
      <c r="Q183" s="233"/>
      <c r="R183" s="231">
        <f t="shared" si="65"/>
        <v>0</v>
      </c>
      <c r="S183" s="231">
        <f t="shared" si="66"/>
        <v>0</v>
      </c>
      <c r="T183" s="231">
        <f t="shared" si="67"/>
        <v>0</v>
      </c>
      <c r="U183" s="231">
        <f t="shared" si="68"/>
        <v>0</v>
      </c>
      <c r="V183" s="231">
        <f t="shared" si="69"/>
        <v>33.238636363636367</v>
      </c>
      <c r="W183" s="231">
        <f t="shared" si="85"/>
        <v>34.821428571428569</v>
      </c>
      <c r="X183" s="231">
        <f t="shared" si="71"/>
        <v>36.5625</v>
      </c>
      <c r="Y183" s="231">
        <f t="shared" si="72"/>
        <v>31.25</v>
      </c>
      <c r="Z183" s="231">
        <f t="shared" si="82"/>
        <v>0</v>
      </c>
      <c r="AA183" s="231"/>
      <c r="AB183" s="231"/>
      <c r="AC183" s="231"/>
      <c r="AD183" s="230">
        <f t="shared" si="83"/>
        <v>0</v>
      </c>
      <c r="AE183" s="230">
        <f t="shared" si="75"/>
        <v>0</v>
      </c>
      <c r="AF183" s="230">
        <f t="shared" si="76"/>
        <v>0</v>
      </c>
      <c r="AG183" s="230">
        <f t="shared" si="77"/>
        <v>0</v>
      </c>
      <c r="AH183" s="230">
        <f t="shared" si="78"/>
        <v>5584.0909090909099</v>
      </c>
      <c r="AI183" s="230">
        <f t="shared" si="84"/>
        <v>5850</v>
      </c>
      <c r="AJ183" s="230">
        <f t="shared" si="80"/>
        <v>1755</v>
      </c>
      <c r="AK183" s="230">
        <f t="shared" si="81"/>
        <v>3000</v>
      </c>
      <c r="AL183" s="230">
        <f t="shared" si="81"/>
        <v>0</v>
      </c>
      <c r="AM183" s="230">
        <f t="shared" si="81"/>
        <v>0</v>
      </c>
      <c r="AN183" s="230">
        <f t="shared" si="73"/>
        <v>0</v>
      </c>
      <c r="AO183" s="230">
        <f t="shared" si="56"/>
        <v>0</v>
      </c>
    </row>
    <row r="184" spans="1:41" ht="15" customHeight="1" x14ac:dyDescent="0.25">
      <c r="A184" s="251" t="s">
        <v>828</v>
      </c>
      <c r="B184" s="251" t="s">
        <v>19</v>
      </c>
      <c r="C184" s="251" t="s">
        <v>208</v>
      </c>
      <c r="D184" s="251" t="s">
        <v>208</v>
      </c>
      <c r="E184" s="251" t="s">
        <v>210</v>
      </c>
      <c r="F184" s="233">
        <f t="shared" si="57"/>
        <v>2</v>
      </c>
      <c r="G184" s="233">
        <f t="shared" si="58"/>
        <v>0</v>
      </c>
      <c r="H184" s="233">
        <f t="shared" si="59"/>
        <v>0</v>
      </c>
      <c r="I184" s="233">
        <f t="shared" si="60"/>
        <v>0</v>
      </c>
      <c r="J184" s="233">
        <f t="shared" si="61"/>
        <v>0</v>
      </c>
      <c r="K184" s="233">
        <f t="shared" si="62"/>
        <v>0</v>
      </c>
      <c r="L184" s="233">
        <f t="shared" si="63"/>
        <v>8</v>
      </c>
      <c r="M184" s="233">
        <f t="shared" si="64"/>
        <v>4</v>
      </c>
      <c r="N184" s="233">
        <f t="shared" si="74"/>
        <v>0</v>
      </c>
      <c r="O184" s="233">
        <f>IFERROR(VLOOKUP(A184,TOTAL_HORAS,79,FALSE),0)</f>
        <v>0</v>
      </c>
      <c r="P184" s="233"/>
      <c r="Q184" s="233"/>
      <c r="R184" s="231">
        <f t="shared" si="65"/>
        <v>29.829545454545453</v>
      </c>
      <c r="S184" s="231">
        <f t="shared" si="66"/>
        <v>32.8125</v>
      </c>
      <c r="T184" s="231">
        <f t="shared" si="67"/>
        <v>28.532608695652176</v>
      </c>
      <c r="U184" s="231">
        <f t="shared" si="68"/>
        <v>36.458333333333336</v>
      </c>
      <c r="V184" s="231">
        <f t="shared" si="69"/>
        <v>29.829545454545453</v>
      </c>
      <c r="W184" s="231">
        <f t="shared" si="85"/>
        <v>31.25</v>
      </c>
      <c r="X184" s="231">
        <f t="shared" si="71"/>
        <v>32.8125</v>
      </c>
      <c r="Y184" s="231">
        <f t="shared" si="72"/>
        <v>30.553977272727273</v>
      </c>
      <c r="Z184" s="231">
        <f t="shared" si="82"/>
        <v>31.25</v>
      </c>
      <c r="AA184" s="231"/>
      <c r="AB184" s="231"/>
      <c r="AC184" s="231"/>
      <c r="AD184" s="230">
        <f t="shared" si="83"/>
        <v>59.659090909090907</v>
      </c>
      <c r="AE184" s="230">
        <f t="shared" si="75"/>
        <v>0</v>
      </c>
      <c r="AF184" s="230">
        <f t="shared" si="76"/>
        <v>0</v>
      </c>
      <c r="AG184" s="230">
        <f t="shared" si="77"/>
        <v>0</v>
      </c>
      <c r="AH184" s="230">
        <f t="shared" si="78"/>
        <v>0</v>
      </c>
      <c r="AI184" s="230">
        <f t="shared" si="84"/>
        <v>0</v>
      </c>
      <c r="AJ184" s="230">
        <f t="shared" si="80"/>
        <v>262.5</v>
      </c>
      <c r="AK184" s="230">
        <f t="shared" si="81"/>
        <v>122.21590909090909</v>
      </c>
      <c r="AL184" s="230">
        <f t="shared" si="81"/>
        <v>0</v>
      </c>
      <c r="AM184" s="230">
        <f t="shared" si="81"/>
        <v>0</v>
      </c>
      <c r="AN184" s="230">
        <f t="shared" si="73"/>
        <v>0</v>
      </c>
      <c r="AO184" s="230">
        <f t="shared" si="56"/>
        <v>0</v>
      </c>
    </row>
    <row r="185" spans="1:41" ht="15" customHeight="1" x14ac:dyDescent="0.25">
      <c r="A185" s="251" t="s">
        <v>829</v>
      </c>
      <c r="B185" s="251" t="s">
        <v>107</v>
      </c>
      <c r="C185" s="251" t="s">
        <v>208</v>
      </c>
      <c r="D185" s="251" t="s">
        <v>208</v>
      </c>
      <c r="E185" s="251" t="s">
        <v>210</v>
      </c>
      <c r="F185" s="233">
        <f t="shared" si="57"/>
        <v>0</v>
      </c>
      <c r="G185" s="233">
        <f t="shared" si="58"/>
        <v>0</v>
      </c>
      <c r="H185" s="233">
        <f t="shared" si="59"/>
        <v>0</v>
      </c>
      <c r="I185" s="233">
        <f t="shared" si="60"/>
        <v>0</v>
      </c>
      <c r="J185" s="233">
        <f t="shared" si="61"/>
        <v>0</v>
      </c>
      <c r="K185" s="233">
        <f t="shared" si="62"/>
        <v>0</v>
      </c>
      <c r="L185" s="233">
        <f t="shared" si="63"/>
        <v>8</v>
      </c>
      <c r="M185" s="233">
        <f t="shared" si="64"/>
        <v>0</v>
      </c>
      <c r="N185" s="233">
        <f t="shared" si="74"/>
        <v>0</v>
      </c>
      <c r="O185" s="233">
        <f>IFERROR(VLOOKUP(A185,TOTAL_HORAS,79,FALSE),0)</f>
        <v>0</v>
      </c>
      <c r="P185" s="233"/>
      <c r="Q185" s="233"/>
      <c r="R185" s="231">
        <f t="shared" si="65"/>
        <v>0</v>
      </c>
      <c r="S185" s="231">
        <f t="shared" si="66"/>
        <v>0</v>
      </c>
      <c r="T185" s="231">
        <f t="shared" si="67"/>
        <v>0</v>
      </c>
      <c r="U185" s="231">
        <f t="shared" si="68"/>
        <v>0</v>
      </c>
      <c r="V185" s="231">
        <f t="shared" si="69"/>
        <v>38.409090909090907</v>
      </c>
      <c r="W185" s="231">
        <f t="shared" si="85"/>
        <v>40.238095238095241</v>
      </c>
      <c r="X185" s="231">
        <f t="shared" si="71"/>
        <v>42.25</v>
      </c>
      <c r="Y185" s="231">
        <f t="shared" si="72"/>
        <v>38.409090909090907</v>
      </c>
      <c r="Z185" s="231">
        <f t="shared" si="82"/>
        <v>0</v>
      </c>
      <c r="AA185" s="231"/>
      <c r="AB185" s="231"/>
      <c r="AC185" s="231"/>
      <c r="AD185" s="230">
        <f t="shared" si="83"/>
        <v>0</v>
      </c>
      <c r="AE185" s="230">
        <f t="shared" si="75"/>
        <v>0</v>
      </c>
      <c r="AF185" s="230">
        <f t="shared" si="76"/>
        <v>0</v>
      </c>
      <c r="AG185" s="230">
        <f t="shared" si="77"/>
        <v>0</v>
      </c>
      <c r="AH185" s="230">
        <f t="shared" si="78"/>
        <v>0</v>
      </c>
      <c r="AI185" s="230">
        <f t="shared" si="84"/>
        <v>0</v>
      </c>
      <c r="AJ185" s="230">
        <f t="shared" si="80"/>
        <v>338</v>
      </c>
      <c r="AK185" s="230">
        <f t="shared" si="81"/>
        <v>0</v>
      </c>
      <c r="AL185" s="230">
        <f t="shared" si="81"/>
        <v>0</v>
      </c>
      <c r="AM185" s="230">
        <f t="shared" si="81"/>
        <v>0</v>
      </c>
      <c r="AN185" s="230">
        <f t="shared" si="73"/>
        <v>0</v>
      </c>
      <c r="AO185" s="230">
        <f t="shared" si="56"/>
        <v>0</v>
      </c>
    </row>
    <row r="186" spans="1:41" ht="15" customHeight="1" x14ac:dyDescent="0.25">
      <c r="A186" s="251" t="s">
        <v>830</v>
      </c>
      <c r="B186" s="251" t="s">
        <v>107</v>
      </c>
      <c r="C186" s="251" t="s">
        <v>75</v>
      </c>
      <c r="D186" s="251" t="s">
        <v>75</v>
      </c>
      <c r="E186" s="251" t="s">
        <v>131</v>
      </c>
      <c r="F186" s="233">
        <f t="shared" si="57"/>
        <v>0</v>
      </c>
      <c r="G186" s="233">
        <f t="shared" si="58"/>
        <v>0</v>
      </c>
      <c r="H186" s="233">
        <f t="shared" si="59"/>
        <v>0</v>
      </c>
      <c r="I186" s="233">
        <f t="shared" si="60"/>
        <v>0</v>
      </c>
      <c r="J186" s="233">
        <f t="shared" si="61"/>
        <v>0</v>
      </c>
      <c r="K186" s="233">
        <f t="shared" si="62"/>
        <v>0</v>
      </c>
      <c r="L186" s="233">
        <f t="shared" si="63"/>
        <v>32</v>
      </c>
      <c r="M186" s="233">
        <f t="shared" si="64"/>
        <v>16</v>
      </c>
      <c r="N186" s="233">
        <f t="shared" si="74"/>
        <v>0</v>
      </c>
      <c r="O186" s="233">
        <f>IFERROR(VLOOKUP(A186,TOTAL_HORAS,79,FALSE),0)</f>
        <v>0</v>
      </c>
      <c r="P186" s="233"/>
      <c r="Q186" s="233"/>
      <c r="R186" s="231">
        <f t="shared" si="65"/>
        <v>0</v>
      </c>
      <c r="S186" s="231">
        <f t="shared" si="66"/>
        <v>0</v>
      </c>
      <c r="T186" s="231">
        <f t="shared" si="67"/>
        <v>0</v>
      </c>
      <c r="U186" s="231">
        <f t="shared" si="68"/>
        <v>0</v>
      </c>
      <c r="V186" s="231">
        <f t="shared" si="69"/>
        <v>38.409090909090907</v>
      </c>
      <c r="W186" s="231">
        <f t="shared" si="85"/>
        <v>40.238095238095241</v>
      </c>
      <c r="X186" s="231">
        <f t="shared" si="71"/>
        <v>42.25</v>
      </c>
      <c r="Y186" s="231">
        <f t="shared" si="72"/>
        <v>38.409090909090907</v>
      </c>
      <c r="Z186" s="231">
        <f t="shared" si="82"/>
        <v>0</v>
      </c>
      <c r="AA186" s="231"/>
      <c r="AB186" s="231"/>
      <c r="AC186" s="231"/>
      <c r="AD186" s="230">
        <f t="shared" si="83"/>
        <v>0</v>
      </c>
      <c r="AE186" s="230">
        <f t="shared" si="75"/>
        <v>0</v>
      </c>
      <c r="AF186" s="230">
        <f t="shared" si="76"/>
        <v>0</v>
      </c>
      <c r="AG186" s="230">
        <f t="shared" si="77"/>
        <v>0</v>
      </c>
      <c r="AH186" s="230">
        <f t="shared" si="78"/>
        <v>0</v>
      </c>
      <c r="AI186" s="230">
        <f t="shared" si="84"/>
        <v>0</v>
      </c>
      <c r="AJ186" s="230">
        <f t="shared" si="80"/>
        <v>1352</v>
      </c>
      <c r="AK186" s="230">
        <f t="shared" si="81"/>
        <v>614.5454545454545</v>
      </c>
      <c r="AL186" s="230">
        <f t="shared" si="81"/>
        <v>0</v>
      </c>
      <c r="AM186" s="230">
        <f t="shared" si="81"/>
        <v>0</v>
      </c>
      <c r="AN186" s="230">
        <f t="shared" si="73"/>
        <v>0</v>
      </c>
      <c r="AO186" s="230">
        <f t="shared" si="56"/>
        <v>0</v>
      </c>
    </row>
    <row r="187" spans="1:41" ht="15" customHeight="1" x14ac:dyDescent="0.25">
      <c r="A187" s="251" t="s">
        <v>831</v>
      </c>
      <c r="B187" s="251" t="s">
        <v>432</v>
      </c>
      <c r="C187" s="251" t="s">
        <v>86</v>
      </c>
      <c r="D187" s="251" t="s">
        <v>87</v>
      </c>
      <c r="E187" s="251" t="s">
        <v>125</v>
      </c>
      <c r="F187" s="233">
        <f t="shared" si="57"/>
        <v>0</v>
      </c>
      <c r="G187" s="233">
        <f t="shared" si="58"/>
        <v>0</v>
      </c>
      <c r="H187" s="233">
        <f t="shared" si="59"/>
        <v>0</v>
      </c>
      <c r="I187" s="233">
        <f t="shared" si="60"/>
        <v>0</v>
      </c>
      <c r="J187" s="233">
        <f t="shared" si="61"/>
        <v>0</v>
      </c>
      <c r="K187" s="233">
        <f t="shared" si="62"/>
        <v>0</v>
      </c>
      <c r="L187" s="233">
        <f t="shared" si="63"/>
        <v>8</v>
      </c>
      <c r="M187" s="233">
        <f t="shared" si="64"/>
        <v>176</v>
      </c>
      <c r="N187" s="233">
        <f t="shared" si="74"/>
        <v>168</v>
      </c>
      <c r="O187" s="233">
        <f>IFERROR(VLOOKUP(A187,TOTAL_HORAS,79,FALSE),0)</f>
        <v>40</v>
      </c>
      <c r="P187" s="233"/>
      <c r="Q187" s="233"/>
      <c r="R187" s="231">
        <f t="shared" si="65"/>
        <v>0</v>
      </c>
      <c r="S187" s="231">
        <f t="shared" si="66"/>
        <v>0</v>
      </c>
      <c r="T187" s="231">
        <f t="shared" si="67"/>
        <v>0</v>
      </c>
      <c r="U187" s="231">
        <f t="shared" si="68"/>
        <v>0</v>
      </c>
      <c r="V187" s="231">
        <f t="shared" si="69"/>
        <v>0</v>
      </c>
      <c r="W187" s="231">
        <f t="shared" si="85"/>
        <v>0</v>
      </c>
      <c r="X187" s="231">
        <f t="shared" si="71"/>
        <v>30.875</v>
      </c>
      <c r="Y187" s="231">
        <f t="shared" si="72"/>
        <v>28.068181818181817</v>
      </c>
      <c r="Z187" s="231">
        <f t="shared" si="82"/>
        <v>29.761904761904763</v>
      </c>
      <c r="AA187" s="231"/>
      <c r="AB187" s="231"/>
      <c r="AC187" s="231"/>
      <c r="AD187" s="230">
        <f t="shared" si="83"/>
        <v>0</v>
      </c>
      <c r="AE187" s="230">
        <f t="shared" si="75"/>
        <v>0</v>
      </c>
      <c r="AF187" s="230">
        <f t="shared" si="76"/>
        <v>0</v>
      </c>
      <c r="AG187" s="230">
        <f t="shared" si="77"/>
        <v>0</v>
      </c>
      <c r="AH187" s="230">
        <f t="shared" si="78"/>
        <v>0</v>
      </c>
      <c r="AI187" s="230">
        <f t="shared" si="84"/>
        <v>0</v>
      </c>
      <c r="AJ187" s="230">
        <f t="shared" si="80"/>
        <v>247</v>
      </c>
      <c r="AK187" s="230">
        <f t="shared" si="81"/>
        <v>4940</v>
      </c>
      <c r="AL187" s="230">
        <f t="shared" si="81"/>
        <v>5000</v>
      </c>
      <c r="AM187" s="230">
        <f t="shared" si="81"/>
        <v>0</v>
      </c>
      <c r="AN187" s="230">
        <f t="shared" si="73"/>
        <v>0</v>
      </c>
      <c r="AO187" s="230">
        <f t="shared" si="56"/>
        <v>0</v>
      </c>
    </row>
    <row r="188" spans="1:41" ht="15" customHeight="1" x14ac:dyDescent="0.25">
      <c r="A188" s="251" t="s">
        <v>874</v>
      </c>
      <c r="B188" s="251" t="s">
        <v>29</v>
      </c>
      <c r="C188" s="251" t="s">
        <v>80</v>
      </c>
      <c r="D188" s="251" t="s">
        <v>81</v>
      </c>
      <c r="E188" s="251" t="s">
        <v>126</v>
      </c>
      <c r="F188" s="233">
        <f t="shared" si="57"/>
        <v>0</v>
      </c>
      <c r="G188" s="233">
        <f t="shared" si="58"/>
        <v>0</v>
      </c>
      <c r="H188" s="233">
        <f t="shared" si="59"/>
        <v>0</v>
      </c>
      <c r="I188" s="233">
        <f t="shared" si="60"/>
        <v>0</v>
      </c>
      <c r="J188" s="233">
        <f t="shared" si="61"/>
        <v>0</v>
      </c>
      <c r="K188" s="233">
        <f t="shared" si="62"/>
        <v>0</v>
      </c>
      <c r="L188" s="233">
        <f t="shared" si="63"/>
        <v>0</v>
      </c>
      <c r="M188" s="233">
        <f t="shared" si="64"/>
        <v>12</v>
      </c>
      <c r="N188" s="233">
        <f t="shared" si="74"/>
        <v>0</v>
      </c>
      <c r="O188" s="233">
        <f>IFERROR(VLOOKUP(A188,TOTAL_HORAS,79,FALSE),0)</f>
        <v>0</v>
      </c>
      <c r="P188" s="233"/>
      <c r="Q188" s="233"/>
      <c r="R188" s="231">
        <f t="shared" si="65"/>
        <v>27.272727272727273</v>
      </c>
      <c r="S188" s="231">
        <f t="shared" si="66"/>
        <v>30</v>
      </c>
      <c r="T188" s="231">
        <f t="shared" si="67"/>
        <v>26.086956521739129</v>
      </c>
      <c r="U188" s="231">
        <f t="shared" si="68"/>
        <v>37.5</v>
      </c>
      <c r="V188" s="231">
        <f t="shared" si="69"/>
        <v>30.681818181818183</v>
      </c>
      <c r="W188" s="231">
        <f t="shared" si="85"/>
        <v>32.142857142857146</v>
      </c>
      <c r="X188" s="231">
        <f t="shared" si="71"/>
        <v>33.75</v>
      </c>
      <c r="Y188" s="231">
        <f t="shared" si="72"/>
        <v>30.681818181818183</v>
      </c>
      <c r="Z188" s="231">
        <f t="shared" si="82"/>
        <v>32.142857142857146</v>
      </c>
      <c r="AA188" s="231"/>
      <c r="AB188" s="231"/>
      <c r="AC188" s="231"/>
      <c r="AD188" s="230">
        <f t="shared" si="83"/>
        <v>0</v>
      </c>
      <c r="AE188" s="230">
        <f t="shared" si="75"/>
        <v>0</v>
      </c>
      <c r="AF188" s="230">
        <f t="shared" si="76"/>
        <v>0</v>
      </c>
      <c r="AG188" s="230">
        <f t="shared" si="77"/>
        <v>0</v>
      </c>
      <c r="AH188" s="230">
        <f t="shared" si="78"/>
        <v>0</v>
      </c>
      <c r="AI188" s="230">
        <f t="shared" si="84"/>
        <v>0</v>
      </c>
      <c r="AJ188" s="230">
        <f t="shared" si="80"/>
        <v>0</v>
      </c>
      <c r="AK188" s="230">
        <f t="shared" si="81"/>
        <v>368.18181818181819</v>
      </c>
      <c r="AL188" s="230">
        <f t="shared" si="81"/>
        <v>0</v>
      </c>
      <c r="AM188" s="230">
        <f t="shared" si="81"/>
        <v>0</v>
      </c>
      <c r="AN188" s="230">
        <f t="shared" si="73"/>
        <v>0</v>
      </c>
      <c r="AO188" s="230">
        <f t="shared" si="73"/>
        <v>0</v>
      </c>
    </row>
    <row r="189" spans="1:41" ht="15" customHeight="1" x14ac:dyDescent="0.25">
      <c r="A189" s="251" t="s">
        <v>832</v>
      </c>
      <c r="B189" s="251" t="s">
        <v>29</v>
      </c>
      <c r="C189" s="251" t="s">
        <v>86</v>
      </c>
      <c r="D189" s="251" t="s">
        <v>87</v>
      </c>
      <c r="E189" s="251" t="s">
        <v>125</v>
      </c>
      <c r="F189" s="233">
        <f t="shared" si="57"/>
        <v>0</v>
      </c>
      <c r="G189" s="233">
        <f t="shared" si="58"/>
        <v>0</v>
      </c>
      <c r="H189" s="233">
        <f t="shared" si="59"/>
        <v>0</v>
      </c>
      <c r="I189" s="233">
        <f t="shared" si="60"/>
        <v>0</v>
      </c>
      <c r="J189" s="233">
        <f t="shared" si="61"/>
        <v>0</v>
      </c>
      <c r="K189" s="233">
        <f t="shared" si="62"/>
        <v>0</v>
      </c>
      <c r="L189" s="233">
        <f t="shared" si="63"/>
        <v>40</v>
      </c>
      <c r="M189" s="233">
        <f t="shared" si="64"/>
        <v>164</v>
      </c>
      <c r="N189" s="233">
        <f t="shared" si="74"/>
        <v>160</v>
      </c>
      <c r="O189" s="233">
        <f>IFERROR(VLOOKUP(A189,TOTAL_HORAS,79,FALSE),0)</f>
        <v>40</v>
      </c>
      <c r="P189" s="233"/>
      <c r="Q189" s="233"/>
      <c r="R189" s="231">
        <f t="shared" si="65"/>
        <v>27.272727272727273</v>
      </c>
      <c r="S189" s="231">
        <f t="shared" si="66"/>
        <v>30</v>
      </c>
      <c r="T189" s="231">
        <f t="shared" si="67"/>
        <v>26.086956521739129</v>
      </c>
      <c r="U189" s="231">
        <f t="shared" si="68"/>
        <v>37.5</v>
      </c>
      <c r="V189" s="231">
        <f t="shared" si="69"/>
        <v>30.681818181818183</v>
      </c>
      <c r="W189" s="231">
        <f t="shared" si="85"/>
        <v>32.142857142857146</v>
      </c>
      <c r="X189" s="231">
        <f t="shared" si="71"/>
        <v>33.75</v>
      </c>
      <c r="Y189" s="231">
        <f t="shared" si="72"/>
        <v>30.681818181818183</v>
      </c>
      <c r="Z189" s="231">
        <f t="shared" si="82"/>
        <v>32.142857142857146</v>
      </c>
      <c r="AA189" s="231"/>
      <c r="AB189" s="231"/>
      <c r="AC189" s="231"/>
      <c r="AD189" s="230">
        <f t="shared" si="83"/>
        <v>0</v>
      </c>
      <c r="AE189" s="230">
        <f t="shared" si="75"/>
        <v>0</v>
      </c>
      <c r="AF189" s="230">
        <f t="shared" si="76"/>
        <v>0</v>
      </c>
      <c r="AG189" s="230">
        <f t="shared" si="77"/>
        <v>0</v>
      </c>
      <c r="AH189" s="230">
        <f t="shared" si="78"/>
        <v>0</v>
      </c>
      <c r="AI189" s="230">
        <f t="shared" si="84"/>
        <v>0</v>
      </c>
      <c r="AJ189" s="230">
        <f t="shared" si="80"/>
        <v>1350</v>
      </c>
      <c r="AK189" s="230">
        <f t="shared" si="81"/>
        <v>5031.818181818182</v>
      </c>
      <c r="AL189" s="230">
        <f t="shared" si="81"/>
        <v>5142.8571428571431</v>
      </c>
      <c r="AM189" s="230">
        <f t="shared" si="81"/>
        <v>0</v>
      </c>
      <c r="AN189" s="230">
        <f t="shared" si="73"/>
        <v>0</v>
      </c>
      <c r="AO189" s="230">
        <f t="shared" si="73"/>
        <v>0</v>
      </c>
    </row>
    <row r="190" spans="1:41" ht="15" customHeight="1" x14ac:dyDescent="0.25">
      <c r="A190" s="251" t="s">
        <v>858</v>
      </c>
      <c r="B190" s="251" t="s">
        <v>857</v>
      </c>
      <c r="C190" s="251" t="s">
        <v>86</v>
      </c>
      <c r="D190" s="251" t="s">
        <v>87</v>
      </c>
      <c r="E190" s="251" t="s">
        <v>125</v>
      </c>
      <c r="F190" s="233">
        <f t="shared" si="57"/>
        <v>0</v>
      </c>
      <c r="G190" s="233">
        <f t="shared" si="58"/>
        <v>0</v>
      </c>
      <c r="H190" s="233">
        <f t="shared" si="59"/>
        <v>0</v>
      </c>
      <c r="I190" s="233">
        <f t="shared" si="60"/>
        <v>0</v>
      </c>
      <c r="J190" s="233">
        <f t="shared" si="61"/>
        <v>0</v>
      </c>
      <c r="K190" s="233">
        <f t="shared" si="62"/>
        <v>0</v>
      </c>
      <c r="L190" s="233">
        <f t="shared" si="63"/>
        <v>0</v>
      </c>
      <c r="M190" s="233">
        <f t="shared" si="64"/>
        <v>48</v>
      </c>
      <c r="N190" s="233">
        <f t="shared" si="74"/>
        <v>0</v>
      </c>
      <c r="O190" s="233">
        <f>IFERROR(VLOOKUP(A190,TOTAL_HORAS,79,FALSE),0)</f>
        <v>0</v>
      </c>
      <c r="P190" s="233"/>
      <c r="Q190" s="233"/>
      <c r="R190" s="231">
        <f t="shared" si="65"/>
        <v>0</v>
      </c>
      <c r="S190" s="231">
        <f t="shared" si="66"/>
        <v>0</v>
      </c>
      <c r="T190" s="231">
        <f t="shared" si="67"/>
        <v>0</v>
      </c>
      <c r="U190" s="231">
        <f t="shared" si="68"/>
        <v>0</v>
      </c>
      <c r="V190" s="231">
        <f t="shared" si="69"/>
        <v>0</v>
      </c>
      <c r="W190" s="231">
        <f t="shared" si="85"/>
        <v>0</v>
      </c>
      <c r="X190" s="231">
        <f t="shared" si="71"/>
        <v>0</v>
      </c>
      <c r="Y190" s="231">
        <f t="shared" si="72"/>
        <v>0</v>
      </c>
      <c r="Z190" s="231">
        <f t="shared" si="82"/>
        <v>0</v>
      </c>
      <c r="AA190" s="231"/>
      <c r="AB190" s="231"/>
      <c r="AC190" s="231"/>
      <c r="AD190" s="230">
        <f t="shared" si="83"/>
        <v>0</v>
      </c>
      <c r="AE190" s="230">
        <f t="shared" si="75"/>
        <v>0</v>
      </c>
      <c r="AF190" s="230">
        <f t="shared" si="76"/>
        <v>0</v>
      </c>
      <c r="AG190" s="230">
        <f t="shared" si="77"/>
        <v>0</v>
      </c>
      <c r="AH190" s="230">
        <f t="shared" si="78"/>
        <v>0</v>
      </c>
      <c r="AI190" s="230">
        <f t="shared" si="84"/>
        <v>0</v>
      </c>
      <c r="AJ190" s="230">
        <f t="shared" si="80"/>
        <v>0</v>
      </c>
      <c r="AK190" s="230">
        <f t="shared" si="81"/>
        <v>0</v>
      </c>
      <c r="AL190" s="230">
        <f t="shared" si="81"/>
        <v>0</v>
      </c>
      <c r="AM190" s="230">
        <f t="shared" si="81"/>
        <v>0</v>
      </c>
      <c r="AN190" s="230">
        <f t="shared" si="73"/>
        <v>0</v>
      </c>
      <c r="AO190" s="230">
        <f t="shared" si="73"/>
        <v>0</v>
      </c>
    </row>
    <row r="191" spans="1:41" ht="15" customHeight="1" x14ac:dyDescent="0.25">
      <c r="A191" s="251" t="s">
        <v>833</v>
      </c>
      <c r="B191" s="251" t="s">
        <v>107</v>
      </c>
      <c r="C191" s="251" t="s">
        <v>86</v>
      </c>
      <c r="D191" s="251" t="s">
        <v>87</v>
      </c>
      <c r="E191" s="251" t="s">
        <v>125</v>
      </c>
      <c r="F191" s="233">
        <f t="shared" si="57"/>
        <v>0</v>
      </c>
      <c r="G191" s="233">
        <f t="shared" si="58"/>
        <v>0</v>
      </c>
      <c r="H191" s="233">
        <f t="shared" si="59"/>
        <v>0</v>
      </c>
      <c r="I191" s="233">
        <f t="shared" si="60"/>
        <v>0</v>
      </c>
      <c r="J191" s="233">
        <f t="shared" si="61"/>
        <v>168</v>
      </c>
      <c r="K191" s="233">
        <f t="shared" si="62"/>
        <v>152</v>
      </c>
      <c r="L191" s="233">
        <f t="shared" si="63"/>
        <v>120</v>
      </c>
      <c r="M191" s="233">
        <f t="shared" si="64"/>
        <v>0</v>
      </c>
      <c r="N191" s="233">
        <f t="shared" si="74"/>
        <v>0</v>
      </c>
      <c r="O191" s="233">
        <f>IFERROR(VLOOKUP(A191,TOTAL_HORAS,79,FALSE),0)</f>
        <v>0</v>
      </c>
      <c r="P191" s="233"/>
      <c r="Q191" s="233"/>
      <c r="R191" s="231">
        <f t="shared" si="65"/>
        <v>0</v>
      </c>
      <c r="S191" s="231">
        <f t="shared" si="66"/>
        <v>0</v>
      </c>
      <c r="T191" s="231">
        <f t="shared" si="67"/>
        <v>0</v>
      </c>
      <c r="U191" s="231">
        <f t="shared" si="68"/>
        <v>0</v>
      </c>
      <c r="V191" s="231">
        <f t="shared" si="69"/>
        <v>38.409090909090907</v>
      </c>
      <c r="W191" s="231">
        <f t="shared" si="85"/>
        <v>40.238095238095241</v>
      </c>
      <c r="X191" s="231">
        <f t="shared" si="71"/>
        <v>42.25</v>
      </c>
      <c r="Y191" s="231">
        <f t="shared" si="72"/>
        <v>38.409090909090907</v>
      </c>
      <c r="Z191" s="231">
        <f t="shared" si="82"/>
        <v>0</v>
      </c>
      <c r="AA191" s="231"/>
      <c r="AB191" s="231"/>
      <c r="AC191" s="231"/>
      <c r="AD191" s="230">
        <f t="shared" si="83"/>
        <v>0</v>
      </c>
      <c r="AE191" s="230">
        <f t="shared" si="75"/>
        <v>0</v>
      </c>
      <c r="AF191" s="230">
        <f t="shared" si="76"/>
        <v>0</v>
      </c>
      <c r="AG191" s="230">
        <f t="shared" si="77"/>
        <v>0</v>
      </c>
      <c r="AH191" s="230">
        <f t="shared" si="78"/>
        <v>6452.7272727272721</v>
      </c>
      <c r="AI191" s="230">
        <f t="shared" si="84"/>
        <v>6116.1904761904771</v>
      </c>
      <c r="AJ191" s="230">
        <f t="shared" si="80"/>
        <v>5070</v>
      </c>
      <c r="AK191" s="230">
        <f t="shared" si="81"/>
        <v>0</v>
      </c>
      <c r="AL191" s="230">
        <f t="shared" si="81"/>
        <v>0</v>
      </c>
      <c r="AM191" s="230">
        <f t="shared" si="81"/>
        <v>0</v>
      </c>
      <c r="AN191" s="230">
        <f t="shared" si="73"/>
        <v>0</v>
      </c>
      <c r="AO191" s="230">
        <f t="shared" si="73"/>
        <v>0</v>
      </c>
    </row>
    <row r="192" spans="1:41" ht="15" customHeight="1" x14ac:dyDescent="0.25">
      <c r="A192" s="251" t="s">
        <v>834</v>
      </c>
      <c r="B192" s="251" t="s">
        <v>107</v>
      </c>
      <c r="C192" s="251" t="s">
        <v>45</v>
      </c>
      <c r="D192" s="251" t="s">
        <v>51</v>
      </c>
      <c r="E192" s="251" t="s">
        <v>122</v>
      </c>
      <c r="F192" s="233">
        <f t="shared" ref="F192:F237" si="86">IFERROR(VLOOKUP(A192,TOTAL_HORAS,70,FALSE),0)</f>
        <v>0</v>
      </c>
      <c r="G192" s="233">
        <f t="shared" ref="G192:G231" si="87">IFERROR(VLOOKUP(A192,TOTAL_HORAS,71,FALSE),0)</f>
        <v>0</v>
      </c>
      <c r="H192" s="233">
        <f t="shared" ref="H192:H235" si="88">IFERROR(VLOOKUP(A192,TOTAL_HORAS,72,FALSE),0)</f>
        <v>0</v>
      </c>
      <c r="I192" s="233">
        <f t="shared" ref="I192:I220" si="89">IFERROR(VLOOKUP(A192,TOTAL_HORAS,73,FALSE),0)</f>
        <v>0</v>
      </c>
      <c r="J192" s="233">
        <f t="shared" ref="J192:J237" si="90">IFERROR(VLOOKUP(A192,TOTAL_HORAS,74,FALSE),0)</f>
        <v>0</v>
      </c>
      <c r="K192" s="233">
        <f t="shared" ref="K192:K237" si="91">IFERROR(VLOOKUP(A192,TOTAL_HORAS,75,FALSE),0)</f>
        <v>16</v>
      </c>
      <c r="L192" s="233">
        <f t="shared" ref="L192:L237" si="92">IFERROR(VLOOKUP(A192,TOTAL_HORAS,76,FALSE),0)</f>
        <v>0</v>
      </c>
      <c r="M192" s="233">
        <f t="shared" ref="M192:M237" si="93">IFERROR(VLOOKUP(A192,TOTAL_HORAS,77,FALSE),0)</f>
        <v>0</v>
      </c>
      <c r="N192" s="233">
        <f t="shared" si="74"/>
        <v>0</v>
      </c>
      <c r="O192" s="233">
        <f>IFERROR(VLOOKUP(A192,TOTAL_HORAS,79,FALSE),0)</f>
        <v>0</v>
      </c>
      <c r="P192" s="233"/>
      <c r="Q192" s="233"/>
      <c r="R192" s="231">
        <f t="shared" ref="R192:R223" si="94">IFERROR(VLOOKUP(B192,MATRIZ_ENERO,2,FALSE),0)</f>
        <v>0</v>
      </c>
      <c r="S192" s="231">
        <f t="shared" ref="S192:S210" si="95">IFERROR(VLOOKUP(B192,MATRIZ_FEB,2,FALSE),0)</f>
        <v>0</v>
      </c>
      <c r="T192" s="231">
        <f t="shared" ref="T192:T222" si="96">IFERROR(VLOOKUP(B192,MATRIZ_MARZO,2,FALSE),0)</f>
        <v>0</v>
      </c>
      <c r="U192" s="231">
        <f t="shared" ref="U192:U237" si="97">IFERROR(VLOOKUP(B192,MATRIZ_ABRIL,2,FALSE),0)</f>
        <v>0</v>
      </c>
      <c r="V192" s="231">
        <f t="shared" ref="V192:V237" si="98">IFERROR(VLOOKUP(B192,MATRIZ_MAY,2,FALSE),0)</f>
        <v>38.409090909090907</v>
      </c>
      <c r="W192" s="231">
        <f t="shared" si="85"/>
        <v>40.238095238095241</v>
      </c>
      <c r="X192" s="231">
        <f t="shared" ref="X192:X237" si="99">IFERROR(VLOOKUP(B192,MATRIZ_JUL,2,FALSE),0)</f>
        <v>42.25</v>
      </c>
      <c r="Y192" s="231">
        <f t="shared" ref="Y192:Y237" si="100">IFERROR(VLOOKUP(B192,MATRIZ_AGOSTO,2,FALSE),0)</f>
        <v>38.409090909090907</v>
      </c>
      <c r="Z192" s="231">
        <f t="shared" si="82"/>
        <v>0</v>
      </c>
      <c r="AA192" s="231"/>
      <c r="AB192" s="231"/>
      <c r="AC192" s="231"/>
      <c r="AD192" s="230">
        <f t="shared" si="83"/>
        <v>0</v>
      </c>
      <c r="AE192" s="230">
        <f t="shared" si="75"/>
        <v>0</v>
      </c>
      <c r="AF192" s="230">
        <f t="shared" si="76"/>
        <v>0</v>
      </c>
      <c r="AG192" s="230">
        <f t="shared" si="77"/>
        <v>0</v>
      </c>
      <c r="AH192" s="230">
        <f t="shared" si="78"/>
        <v>0</v>
      </c>
      <c r="AI192" s="230">
        <f t="shared" si="84"/>
        <v>643.80952380952385</v>
      </c>
      <c r="AJ192" s="230">
        <f t="shared" si="80"/>
        <v>0</v>
      </c>
      <c r="AK192" s="230">
        <f t="shared" si="81"/>
        <v>0</v>
      </c>
      <c r="AL192" s="230">
        <f t="shared" si="81"/>
        <v>0</v>
      </c>
      <c r="AM192" s="230">
        <f t="shared" si="81"/>
        <v>0</v>
      </c>
      <c r="AN192" s="230">
        <f t="shared" si="81"/>
        <v>0</v>
      </c>
      <c r="AO192" s="230">
        <f t="shared" si="81"/>
        <v>0</v>
      </c>
    </row>
    <row r="193" spans="1:41" ht="15" customHeight="1" x14ac:dyDescent="0.25">
      <c r="A193" s="251" t="s">
        <v>835</v>
      </c>
      <c r="B193" s="251" t="s">
        <v>134</v>
      </c>
      <c r="C193" s="251" t="s">
        <v>78</v>
      </c>
      <c r="D193" s="251" t="s">
        <v>98</v>
      </c>
      <c r="E193" s="251" t="s">
        <v>135</v>
      </c>
      <c r="F193" s="233">
        <f t="shared" si="86"/>
        <v>0</v>
      </c>
      <c r="G193" s="233">
        <f t="shared" si="87"/>
        <v>0</v>
      </c>
      <c r="H193" s="233">
        <f t="shared" si="88"/>
        <v>0</v>
      </c>
      <c r="I193" s="233">
        <f t="shared" si="89"/>
        <v>40</v>
      </c>
      <c r="J193" s="233">
        <f t="shared" si="90"/>
        <v>176</v>
      </c>
      <c r="K193" s="233">
        <f t="shared" si="91"/>
        <v>96</v>
      </c>
      <c r="L193" s="233">
        <f t="shared" si="92"/>
        <v>0</v>
      </c>
      <c r="M193" s="233">
        <f t="shared" si="93"/>
        <v>0</v>
      </c>
      <c r="N193" s="233">
        <f t="shared" ref="N193:N237" si="101">IFERROR(VLOOKUP(A193,TOTAL_HORAS,78,FALSE),0)</f>
        <v>0</v>
      </c>
      <c r="O193" s="233">
        <f>IFERROR(VLOOKUP(A193,TOTAL_HORAS,79,FALSE),0)</f>
        <v>0</v>
      </c>
      <c r="P193" s="233"/>
      <c r="Q193" s="233"/>
      <c r="R193" s="231">
        <f t="shared" si="94"/>
        <v>0</v>
      </c>
      <c r="S193" s="231">
        <f t="shared" si="95"/>
        <v>0</v>
      </c>
      <c r="T193" s="231">
        <f t="shared" si="96"/>
        <v>0</v>
      </c>
      <c r="U193" s="231">
        <f t="shared" si="97"/>
        <v>31.597222222222221</v>
      </c>
      <c r="V193" s="231">
        <f t="shared" si="98"/>
        <v>25.852272727272727</v>
      </c>
      <c r="W193" s="231">
        <f t="shared" si="85"/>
        <v>27.741071428571427</v>
      </c>
      <c r="X193" s="231">
        <f t="shared" si="99"/>
        <v>29.128125000000001</v>
      </c>
      <c r="Y193" s="231">
        <f t="shared" si="100"/>
        <v>26.480113636363637</v>
      </c>
      <c r="Z193" s="231">
        <f t="shared" si="82"/>
        <v>27.741071428571427</v>
      </c>
      <c r="AA193" s="231"/>
      <c r="AB193" s="231"/>
      <c r="AC193" s="231"/>
      <c r="AD193" s="230">
        <f t="shared" si="83"/>
        <v>0</v>
      </c>
      <c r="AE193" s="230">
        <f t="shared" ref="AE193:AE210" si="102">G193*S193</f>
        <v>0</v>
      </c>
      <c r="AF193" s="230">
        <f t="shared" ref="AF193:AF216" si="103">H193*T193</f>
        <v>0</v>
      </c>
      <c r="AG193" s="230">
        <f t="shared" ref="AG193:AG216" si="104">I193*U193</f>
        <v>1263.8888888888889</v>
      </c>
      <c r="AH193" s="230">
        <f t="shared" ref="AH193:AH216" si="105">J193*V193</f>
        <v>4550</v>
      </c>
      <c r="AI193" s="230">
        <f t="shared" si="84"/>
        <v>2663.1428571428569</v>
      </c>
      <c r="AJ193" s="230">
        <f t="shared" ref="AJ193:AJ216" si="106">L193*X193</f>
        <v>0</v>
      </c>
      <c r="AK193" s="230">
        <f t="shared" ref="AK193:AO208" si="107">M193*Y193</f>
        <v>0</v>
      </c>
      <c r="AL193" s="230">
        <f t="shared" si="107"/>
        <v>0</v>
      </c>
      <c r="AM193" s="230">
        <f t="shared" si="107"/>
        <v>0</v>
      </c>
      <c r="AN193" s="230">
        <f t="shared" si="107"/>
        <v>0</v>
      </c>
      <c r="AO193" s="230">
        <f t="shared" si="107"/>
        <v>0</v>
      </c>
    </row>
    <row r="194" spans="1:41" ht="15.75" customHeight="1" x14ac:dyDescent="0.25">
      <c r="A194" s="251" t="s">
        <v>836</v>
      </c>
      <c r="B194" s="251" t="s">
        <v>134</v>
      </c>
      <c r="C194" s="251" t="s">
        <v>75</v>
      </c>
      <c r="D194" s="251" t="s">
        <v>75</v>
      </c>
      <c r="E194" s="251" t="s">
        <v>131</v>
      </c>
      <c r="F194" s="233">
        <f t="shared" si="86"/>
        <v>0</v>
      </c>
      <c r="G194" s="233">
        <f t="shared" si="87"/>
        <v>0</v>
      </c>
      <c r="H194" s="233">
        <f t="shared" si="88"/>
        <v>0</v>
      </c>
      <c r="I194" s="233">
        <f t="shared" si="89"/>
        <v>0</v>
      </c>
      <c r="J194" s="233">
        <f t="shared" si="90"/>
        <v>0</v>
      </c>
      <c r="K194" s="233">
        <f t="shared" si="91"/>
        <v>0</v>
      </c>
      <c r="L194" s="233">
        <f t="shared" si="92"/>
        <v>0</v>
      </c>
      <c r="M194" s="233">
        <f t="shared" si="93"/>
        <v>56</v>
      </c>
      <c r="N194" s="233">
        <f t="shared" si="101"/>
        <v>31</v>
      </c>
      <c r="O194" s="233">
        <f>IFERROR(VLOOKUP(A194,TOTAL_HORAS,79,FALSE),0)</f>
        <v>0</v>
      </c>
      <c r="P194" s="233"/>
      <c r="Q194" s="233"/>
      <c r="R194" s="231">
        <f t="shared" si="94"/>
        <v>0</v>
      </c>
      <c r="S194" s="231">
        <f t="shared" si="95"/>
        <v>0</v>
      </c>
      <c r="T194" s="231">
        <f t="shared" si="96"/>
        <v>0</v>
      </c>
      <c r="U194" s="231">
        <f t="shared" si="97"/>
        <v>31.597222222222221</v>
      </c>
      <c r="V194" s="231">
        <f t="shared" si="98"/>
        <v>25.852272727272727</v>
      </c>
      <c r="W194" s="231">
        <f t="shared" si="85"/>
        <v>27.741071428571427</v>
      </c>
      <c r="X194" s="231">
        <f t="shared" si="99"/>
        <v>29.128125000000001</v>
      </c>
      <c r="Y194" s="231">
        <f t="shared" si="100"/>
        <v>26.480113636363637</v>
      </c>
      <c r="Z194" s="231">
        <f t="shared" si="82"/>
        <v>27.741071428571427</v>
      </c>
      <c r="AA194" s="231"/>
      <c r="AB194" s="231"/>
      <c r="AC194" s="231"/>
      <c r="AD194" s="230">
        <f t="shared" si="83"/>
        <v>0</v>
      </c>
      <c r="AE194" s="230">
        <f t="shared" si="102"/>
        <v>0</v>
      </c>
      <c r="AF194" s="230">
        <f t="shared" si="103"/>
        <v>0</v>
      </c>
      <c r="AG194" s="230">
        <f t="shared" si="104"/>
        <v>0</v>
      </c>
      <c r="AH194" s="230">
        <f t="shared" si="105"/>
        <v>0</v>
      </c>
      <c r="AI194" s="230">
        <f t="shared" si="84"/>
        <v>0</v>
      </c>
      <c r="AJ194" s="230">
        <f t="shared" si="106"/>
        <v>0</v>
      </c>
      <c r="AK194" s="230">
        <f t="shared" si="107"/>
        <v>1482.8863636363637</v>
      </c>
      <c r="AL194" s="230">
        <f t="shared" si="107"/>
        <v>859.97321428571422</v>
      </c>
      <c r="AM194" s="230">
        <f t="shared" si="107"/>
        <v>0</v>
      </c>
      <c r="AN194" s="230">
        <f t="shared" si="107"/>
        <v>0</v>
      </c>
      <c r="AO194" s="230">
        <f t="shared" si="107"/>
        <v>0</v>
      </c>
    </row>
    <row r="195" spans="1:41" x14ac:dyDescent="0.25">
      <c r="A195" s="251" t="s">
        <v>837</v>
      </c>
      <c r="B195" s="251" t="s">
        <v>134</v>
      </c>
      <c r="C195" s="251" t="s">
        <v>234</v>
      </c>
      <c r="D195" s="251" t="s">
        <v>206</v>
      </c>
      <c r="E195" s="251" t="s">
        <v>235</v>
      </c>
      <c r="F195" s="233">
        <f t="shared" si="86"/>
        <v>0</v>
      </c>
      <c r="G195" s="233">
        <f t="shared" si="87"/>
        <v>0</v>
      </c>
      <c r="H195" s="233">
        <f t="shared" si="88"/>
        <v>0</v>
      </c>
      <c r="I195" s="233">
        <f t="shared" si="89"/>
        <v>0</v>
      </c>
      <c r="J195" s="233">
        <f t="shared" si="90"/>
        <v>0</v>
      </c>
      <c r="K195" s="233">
        <f t="shared" si="91"/>
        <v>56</v>
      </c>
      <c r="L195" s="233">
        <f t="shared" si="92"/>
        <v>144</v>
      </c>
      <c r="M195" s="233">
        <f t="shared" si="93"/>
        <v>112</v>
      </c>
      <c r="N195" s="233">
        <f t="shared" si="101"/>
        <v>129</v>
      </c>
      <c r="O195" s="233">
        <f>IFERROR(VLOOKUP(A195,TOTAL_HORAS,79,FALSE),0)</f>
        <v>0</v>
      </c>
      <c r="P195" s="233"/>
      <c r="Q195" s="233"/>
      <c r="R195" s="231">
        <f t="shared" si="94"/>
        <v>0</v>
      </c>
      <c r="S195" s="231">
        <f t="shared" si="95"/>
        <v>0</v>
      </c>
      <c r="T195" s="231">
        <f t="shared" si="96"/>
        <v>0</v>
      </c>
      <c r="U195" s="231">
        <f t="shared" si="97"/>
        <v>31.597222222222221</v>
      </c>
      <c r="V195" s="231">
        <f t="shared" si="98"/>
        <v>25.852272727272727</v>
      </c>
      <c r="W195" s="231">
        <f t="shared" si="85"/>
        <v>27.741071428571427</v>
      </c>
      <c r="X195" s="231">
        <f t="shared" si="99"/>
        <v>29.128125000000001</v>
      </c>
      <c r="Y195" s="231">
        <f t="shared" si="100"/>
        <v>26.480113636363637</v>
      </c>
      <c r="Z195" s="231">
        <f t="shared" ref="Z195:Z237" si="108">IFERROR(VLOOKUP(B195,MATRIZ_SEPTIEM,2,FALSE),0)</f>
        <v>27.741071428571427</v>
      </c>
      <c r="AA195" s="231"/>
      <c r="AB195" s="231"/>
      <c r="AC195" s="231"/>
      <c r="AD195" s="230">
        <f t="shared" si="83"/>
        <v>0</v>
      </c>
      <c r="AE195" s="230">
        <f t="shared" si="102"/>
        <v>0</v>
      </c>
      <c r="AF195" s="230">
        <f t="shared" si="103"/>
        <v>0</v>
      </c>
      <c r="AG195" s="230">
        <f t="shared" si="104"/>
        <v>0</v>
      </c>
      <c r="AH195" s="230">
        <f t="shared" si="105"/>
        <v>0</v>
      </c>
      <c r="AI195" s="230">
        <f t="shared" si="84"/>
        <v>1553.5</v>
      </c>
      <c r="AJ195" s="230">
        <f t="shared" si="106"/>
        <v>4194.45</v>
      </c>
      <c r="AK195" s="230">
        <f t="shared" si="107"/>
        <v>2965.7727272727275</v>
      </c>
      <c r="AL195" s="230">
        <f t="shared" si="107"/>
        <v>3578.5982142857142</v>
      </c>
      <c r="AM195" s="230">
        <f t="shared" si="107"/>
        <v>0</v>
      </c>
      <c r="AN195" s="230">
        <f t="shared" si="107"/>
        <v>0</v>
      </c>
      <c r="AO195" s="230">
        <f t="shared" si="107"/>
        <v>0</v>
      </c>
    </row>
    <row r="196" spans="1:41" x14ac:dyDescent="0.25">
      <c r="A196" s="251" t="s">
        <v>838</v>
      </c>
      <c r="B196" s="251" t="s">
        <v>134</v>
      </c>
      <c r="C196" s="251" t="s">
        <v>208</v>
      </c>
      <c r="D196" s="251" t="s">
        <v>208</v>
      </c>
      <c r="E196" s="251" t="s">
        <v>210</v>
      </c>
      <c r="F196" s="233">
        <f t="shared" si="86"/>
        <v>0</v>
      </c>
      <c r="G196" s="233">
        <f t="shared" si="87"/>
        <v>0</v>
      </c>
      <c r="H196" s="233">
        <f t="shared" si="88"/>
        <v>0</v>
      </c>
      <c r="I196" s="233">
        <f t="shared" si="89"/>
        <v>0</v>
      </c>
      <c r="J196" s="233">
        <f t="shared" si="90"/>
        <v>0</v>
      </c>
      <c r="K196" s="233">
        <f t="shared" si="91"/>
        <v>16</v>
      </c>
      <c r="L196" s="233">
        <f t="shared" si="92"/>
        <v>0</v>
      </c>
      <c r="M196" s="233">
        <f t="shared" si="93"/>
        <v>8</v>
      </c>
      <c r="N196" s="233">
        <f t="shared" si="101"/>
        <v>8</v>
      </c>
      <c r="O196" s="233">
        <f>IFERROR(VLOOKUP(A196,TOTAL_HORAS,79,FALSE),0)</f>
        <v>0</v>
      </c>
      <c r="P196" s="233"/>
      <c r="Q196" s="233"/>
      <c r="R196" s="231">
        <f t="shared" si="94"/>
        <v>0</v>
      </c>
      <c r="S196" s="231">
        <f t="shared" si="95"/>
        <v>0</v>
      </c>
      <c r="T196" s="231">
        <f t="shared" si="96"/>
        <v>0</v>
      </c>
      <c r="U196" s="231">
        <f t="shared" si="97"/>
        <v>31.597222222222221</v>
      </c>
      <c r="V196" s="231">
        <f t="shared" si="98"/>
        <v>25.852272727272727</v>
      </c>
      <c r="W196" s="231">
        <f t="shared" si="85"/>
        <v>27.741071428571427</v>
      </c>
      <c r="X196" s="231">
        <f t="shared" si="99"/>
        <v>29.128125000000001</v>
      </c>
      <c r="Y196" s="231">
        <f t="shared" si="100"/>
        <v>26.480113636363637</v>
      </c>
      <c r="Z196" s="231">
        <f t="shared" si="108"/>
        <v>27.741071428571427</v>
      </c>
      <c r="AA196" s="231"/>
      <c r="AB196" s="231"/>
      <c r="AC196" s="231"/>
      <c r="AD196" s="230">
        <f t="shared" si="83"/>
        <v>0</v>
      </c>
      <c r="AE196" s="230">
        <f t="shared" si="102"/>
        <v>0</v>
      </c>
      <c r="AF196" s="230">
        <f t="shared" si="103"/>
        <v>0</v>
      </c>
      <c r="AG196" s="230">
        <f t="shared" si="104"/>
        <v>0</v>
      </c>
      <c r="AH196" s="230">
        <f t="shared" si="105"/>
        <v>0</v>
      </c>
      <c r="AI196" s="230">
        <f t="shared" si="84"/>
        <v>443.85714285714283</v>
      </c>
      <c r="AJ196" s="230">
        <f t="shared" si="106"/>
        <v>0</v>
      </c>
      <c r="AK196" s="230">
        <f t="shared" si="107"/>
        <v>211.84090909090909</v>
      </c>
      <c r="AL196" s="230">
        <f t="shared" si="107"/>
        <v>221.92857142857142</v>
      </c>
      <c r="AM196" s="230">
        <f t="shared" si="107"/>
        <v>0</v>
      </c>
      <c r="AN196" s="230">
        <f t="shared" si="107"/>
        <v>0</v>
      </c>
      <c r="AO196" s="230">
        <f t="shared" si="107"/>
        <v>0</v>
      </c>
    </row>
    <row r="197" spans="1:41" x14ac:dyDescent="0.25">
      <c r="A197" s="251" t="s">
        <v>839</v>
      </c>
      <c r="B197" s="251" t="s">
        <v>420</v>
      </c>
      <c r="C197" s="251" t="s">
        <v>103</v>
      </c>
      <c r="D197" s="251" t="s">
        <v>104</v>
      </c>
      <c r="E197" s="251" t="s">
        <v>166</v>
      </c>
      <c r="F197" s="233">
        <f t="shared" si="86"/>
        <v>0</v>
      </c>
      <c r="G197" s="233">
        <f t="shared" si="87"/>
        <v>0</v>
      </c>
      <c r="H197" s="233">
        <f t="shared" si="88"/>
        <v>0</v>
      </c>
      <c r="I197" s="233">
        <f t="shared" si="89"/>
        <v>0</v>
      </c>
      <c r="J197" s="233">
        <f t="shared" si="90"/>
        <v>144</v>
      </c>
      <c r="K197" s="233">
        <f t="shared" si="91"/>
        <v>72</v>
      </c>
      <c r="L197" s="233">
        <f t="shared" si="92"/>
        <v>0</v>
      </c>
      <c r="M197" s="233">
        <f t="shared" si="93"/>
        <v>0</v>
      </c>
      <c r="N197" s="233">
        <f t="shared" si="101"/>
        <v>0</v>
      </c>
      <c r="O197" s="233">
        <f>IFERROR(VLOOKUP(A197,TOTAL_HORAS,79,FALSE),0)</f>
        <v>0</v>
      </c>
      <c r="P197" s="233"/>
      <c r="Q197" s="233"/>
      <c r="R197" s="231">
        <f t="shared" si="94"/>
        <v>42.613636363636367</v>
      </c>
      <c r="S197" s="231">
        <f t="shared" si="95"/>
        <v>46.875</v>
      </c>
      <c r="T197" s="231">
        <f t="shared" si="96"/>
        <v>0</v>
      </c>
      <c r="U197" s="231">
        <f t="shared" si="97"/>
        <v>0</v>
      </c>
      <c r="V197" s="231">
        <f t="shared" si="98"/>
        <v>36.93181818181818</v>
      </c>
      <c r="W197" s="231">
        <f t="shared" si="85"/>
        <v>38.69047619047619</v>
      </c>
      <c r="X197" s="231">
        <f t="shared" si="99"/>
        <v>0</v>
      </c>
      <c r="Y197" s="231">
        <f t="shared" si="100"/>
        <v>0</v>
      </c>
      <c r="Z197" s="231">
        <f t="shared" si="108"/>
        <v>0</v>
      </c>
      <c r="AA197" s="231"/>
      <c r="AB197" s="231"/>
      <c r="AC197" s="231"/>
      <c r="AD197" s="230">
        <f t="shared" si="83"/>
        <v>0</v>
      </c>
      <c r="AE197" s="230">
        <f t="shared" si="102"/>
        <v>0</v>
      </c>
      <c r="AF197" s="230">
        <f t="shared" si="103"/>
        <v>0</v>
      </c>
      <c r="AG197" s="230">
        <f t="shared" si="104"/>
        <v>0</v>
      </c>
      <c r="AH197" s="230">
        <f t="shared" si="105"/>
        <v>5318.181818181818</v>
      </c>
      <c r="AI197" s="230">
        <f t="shared" si="84"/>
        <v>2785.7142857142858</v>
      </c>
      <c r="AJ197" s="230">
        <f t="shared" si="106"/>
        <v>0</v>
      </c>
      <c r="AK197" s="230">
        <f t="shared" si="107"/>
        <v>0</v>
      </c>
      <c r="AL197" s="230">
        <f t="shared" si="107"/>
        <v>0</v>
      </c>
      <c r="AM197" s="230">
        <f t="shared" si="107"/>
        <v>0</v>
      </c>
      <c r="AN197" s="230">
        <f t="shared" si="107"/>
        <v>0</v>
      </c>
      <c r="AO197" s="230">
        <f t="shared" si="107"/>
        <v>0</v>
      </c>
    </row>
    <row r="198" spans="1:41" x14ac:dyDescent="0.25">
      <c r="A198" s="251" t="s">
        <v>840</v>
      </c>
      <c r="B198" s="251" t="s">
        <v>420</v>
      </c>
      <c r="C198" s="251" t="s">
        <v>44</v>
      </c>
      <c r="D198" s="251" t="s">
        <v>42</v>
      </c>
      <c r="E198" s="251" t="s">
        <v>304</v>
      </c>
      <c r="F198" s="233">
        <f t="shared" si="86"/>
        <v>64</v>
      </c>
      <c r="G198" s="233">
        <f t="shared" si="87"/>
        <v>72</v>
      </c>
      <c r="H198" s="233">
        <f t="shared" si="88"/>
        <v>0</v>
      </c>
      <c r="I198" s="233">
        <f t="shared" si="89"/>
        <v>0</v>
      </c>
      <c r="J198" s="233">
        <f t="shared" si="90"/>
        <v>0</v>
      </c>
      <c r="K198" s="233">
        <f t="shared" si="91"/>
        <v>0</v>
      </c>
      <c r="L198" s="233">
        <f t="shared" si="92"/>
        <v>0</v>
      </c>
      <c r="M198" s="233">
        <f t="shared" si="93"/>
        <v>0</v>
      </c>
      <c r="N198" s="233">
        <f t="shared" si="101"/>
        <v>0</v>
      </c>
      <c r="O198" s="233">
        <f>IFERROR(VLOOKUP(A198,TOTAL_HORAS,79,FALSE),0)</f>
        <v>0</v>
      </c>
      <c r="P198" s="233"/>
      <c r="Q198" s="233"/>
      <c r="R198" s="231">
        <f t="shared" si="94"/>
        <v>42.613636363636367</v>
      </c>
      <c r="S198" s="231">
        <f t="shared" si="95"/>
        <v>46.875</v>
      </c>
      <c r="T198" s="231">
        <f t="shared" si="96"/>
        <v>0</v>
      </c>
      <c r="U198" s="231">
        <f t="shared" si="97"/>
        <v>0</v>
      </c>
      <c r="V198" s="231">
        <f t="shared" si="98"/>
        <v>36.93181818181818</v>
      </c>
      <c r="W198" s="231">
        <f t="shared" si="85"/>
        <v>38.69047619047619</v>
      </c>
      <c r="X198" s="231">
        <f t="shared" si="99"/>
        <v>0</v>
      </c>
      <c r="Y198" s="231">
        <f t="shared" si="100"/>
        <v>0</v>
      </c>
      <c r="Z198" s="231">
        <f t="shared" si="108"/>
        <v>0</v>
      </c>
      <c r="AA198" s="231"/>
      <c r="AB198" s="231"/>
      <c r="AC198" s="231"/>
      <c r="AD198" s="230">
        <f t="shared" si="83"/>
        <v>2727.2727272727275</v>
      </c>
      <c r="AE198" s="230">
        <f t="shared" si="102"/>
        <v>3375</v>
      </c>
      <c r="AF198" s="230">
        <f t="shared" si="103"/>
        <v>0</v>
      </c>
      <c r="AG198" s="230">
        <f t="shared" si="104"/>
        <v>0</v>
      </c>
      <c r="AH198" s="230">
        <f t="shared" si="105"/>
        <v>0</v>
      </c>
      <c r="AI198" s="230">
        <f t="shared" si="84"/>
        <v>0</v>
      </c>
      <c r="AJ198" s="230">
        <f t="shared" si="106"/>
        <v>0</v>
      </c>
      <c r="AK198" s="230">
        <f t="shared" si="107"/>
        <v>0</v>
      </c>
      <c r="AL198" s="230">
        <f t="shared" si="107"/>
        <v>0</v>
      </c>
      <c r="AM198" s="230">
        <f t="shared" si="107"/>
        <v>0</v>
      </c>
      <c r="AN198" s="230">
        <f t="shared" si="107"/>
        <v>0</v>
      </c>
      <c r="AO198" s="230">
        <f t="shared" si="107"/>
        <v>0</v>
      </c>
    </row>
    <row r="199" spans="1:41" x14ac:dyDescent="0.25">
      <c r="A199" s="251" t="s">
        <v>841</v>
      </c>
      <c r="B199" s="251" t="s">
        <v>420</v>
      </c>
      <c r="C199" s="251" t="s">
        <v>209</v>
      </c>
      <c r="D199" s="251" t="s">
        <v>209</v>
      </c>
      <c r="E199" s="251" t="s">
        <v>243</v>
      </c>
      <c r="F199" s="233">
        <f t="shared" si="86"/>
        <v>112</v>
      </c>
      <c r="G199" s="233">
        <f t="shared" si="87"/>
        <v>16</v>
      </c>
      <c r="H199" s="233">
        <f t="shared" si="88"/>
        <v>0</v>
      </c>
      <c r="I199" s="233">
        <f t="shared" si="89"/>
        <v>0</v>
      </c>
      <c r="J199" s="233">
        <f t="shared" si="90"/>
        <v>0</v>
      </c>
      <c r="K199" s="233">
        <f t="shared" si="91"/>
        <v>0</v>
      </c>
      <c r="L199" s="233">
        <f t="shared" si="92"/>
        <v>0</v>
      </c>
      <c r="M199" s="233">
        <f t="shared" si="93"/>
        <v>0</v>
      </c>
      <c r="N199" s="233">
        <f t="shared" si="101"/>
        <v>0</v>
      </c>
      <c r="O199" s="233">
        <f>IFERROR(VLOOKUP(A199,TOTAL_HORAS,79,FALSE),0)</f>
        <v>0</v>
      </c>
      <c r="P199" s="233"/>
      <c r="Q199" s="233"/>
      <c r="R199" s="231">
        <f t="shared" si="94"/>
        <v>42.613636363636367</v>
      </c>
      <c r="S199" s="231">
        <f t="shared" si="95"/>
        <v>46.875</v>
      </c>
      <c r="T199" s="231">
        <f t="shared" si="96"/>
        <v>0</v>
      </c>
      <c r="U199" s="231">
        <f t="shared" si="97"/>
        <v>0</v>
      </c>
      <c r="V199" s="231">
        <f t="shared" si="98"/>
        <v>36.93181818181818</v>
      </c>
      <c r="W199" s="231">
        <f t="shared" si="85"/>
        <v>38.69047619047619</v>
      </c>
      <c r="X199" s="231">
        <f t="shared" si="99"/>
        <v>0</v>
      </c>
      <c r="Y199" s="231">
        <f t="shared" si="100"/>
        <v>0</v>
      </c>
      <c r="Z199" s="231">
        <f t="shared" si="108"/>
        <v>0</v>
      </c>
      <c r="AA199" s="231"/>
      <c r="AB199" s="231"/>
      <c r="AC199" s="231"/>
      <c r="AD199" s="230">
        <f t="shared" si="83"/>
        <v>4772.727272727273</v>
      </c>
      <c r="AE199" s="230">
        <f t="shared" si="102"/>
        <v>750</v>
      </c>
      <c r="AF199" s="230">
        <f t="shared" si="103"/>
        <v>0</v>
      </c>
      <c r="AG199" s="230">
        <f t="shared" si="104"/>
        <v>0</v>
      </c>
      <c r="AH199" s="230">
        <f t="shared" si="105"/>
        <v>0</v>
      </c>
      <c r="AI199" s="230">
        <f t="shared" si="84"/>
        <v>0</v>
      </c>
      <c r="AJ199" s="230">
        <f t="shared" si="106"/>
        <v>0</v>
      </c>
      <c r="AK199" s="230">
        <f t="shared" si="107"/>
        <v>0</v>
      </c>
      <c r="AL199" s="230">
        <f t="shared" si="107"/>
        <v>0</v>
      </c>
      <c r="AM199" s="230">
        <f t="shared" si="107"/>
        <v>0</v>
      </c>
      <c r="AN199" s="230">
        <f t="shared" si="107"/>
        <v>0</v>
      </c>
      <c r="AO199" s="230">
        <f t="shared" si="107"/>
        <v>0</v>
      </c>
    </row>
    <row r="200" spans="1:41" x14ac:dyDescent="0.25">
      <c r="A200" s="251" t="s">
        <v>842</v>
      </c>
      <c r="B200" s="251" t="s">
        <v>420</v>
      </c>
      <c r="C200" s="251" t="s">
        <v>45</v>
      </c>
      <c r="D200" s="251" t="s">
        <v>51</v>
      </c>
      <c r="E200" s="251" t="s">
        <v>122</v>
      </c>
      <c r="F200" s="233">
        <f t="shared" si="86"/>
        <v>0</v>
      </c>
      <c r="G200" s="233">
        <f t="shared" si="87"/>
        <v>0</v>
      </c>
      <c r="H200" s="233">
        <f t="shared" si="88"/>
        <v>0</v>
      </c>
      <c r="I200" s="233">
        <f t="shared" si="89"/>
        <v>0</v>
      </c>
      <c r="J200" s="233">
        <f t="shared" si="90"/>
        <v>0</v>
      </c>
      <c r="K200" s="233">
        <f t="shared" si="91"/>
        <v>24</v>
      </c>
      <c r="L200" s="233">
        <f t="shared" si="92"/>
        <v>0</v>
      </c>
      <c r="M200" s="233">
        <f t="shared" si="93"/>
        <v>0</v>
      </c>
      <c r="N200" s="233">
        <f t="shared" si="101"/>
        <v>0</v>
      </c>
      <c r="O200" s="233">
        <f>IFERROR(VLOOKUP(A200,TOTAL_HORAS,79,FALSE),0)</f>
        <v>0</v>
      </c>
      <c r="P200" s="233"/>
      <c r="Q200" s="233"/>
      <c r="R200" s="231">
        <f t="shared" si="94"/>
        <v>42.613636363636367</v>
      </c>
      <c r="S200" s="231">
        <f t="shared" si="95"/>
        <v>46.875</v>
      </c>
      <c r="T200" s="231">
        <f t="shared" si="96"/>
        <v>0</v>
      </c>
      <c r="U200" s="231">
        <f t="shared" si="97"/>
        <v>0</v>
      </c>
      <c r="V200" s="231">
        <f t="shared" si="98"/>
        <v>36.93181818181818</v>
      </c>
      <c r="W200" s="231">
        <f t="shared" si="85"/>
        <v>38.69047619047619</v>
      </c>
      <c r="X200" s="231">
        <f t="shared" si="99"/>
        <v>0</v>
      </c>
      <c r="Y200" s="231">
        <f t="shared" si="100"/>
        <v>0</v>
      </c>
      <c r="Z200" s="231">
        <f t="shared" si="108"/>
        <v>0</v>
      </c>
      <c r="AA200" s="231"/>
      <c r="AB200" s="231"/>
      <c r="AC200" s="231"/>
      <c r="AD200" s="230">
        <f t="shared" si="83"/>
        <v>0</v>
      </c>
      <c r="AE200" s="230">
        <f t="shared" si="102"/>
        <v>0</v>
      </c>
      <c r="AF200" s="230">
        <f t="shared" si="103"/>
        <v>0</v>
      </c>
      <c r="AG200" s="230">
        <f t="shared" si="104"/>
        <v>0</v>
      </c>
      <c r="AH200" s="230">
        <f t="shared" si="105"/>
        <v>0</v>
      </c>
      <c r="AI200" s="230">
        <f t="shared" si="84"/>
        <v>928.57142857142856</v>
      </c>
      <c r="AJ200" s="230">
        <f t="shared" si="106"/>
        <v>0</v>
      </c>
      <c r="AK200" s="230">
        <f t="shared" si="107"/>
        <v>0</v>
      </c>
      <c r="AL200" s="230">
        <f t="shared" si="107"/>
        <v>0</v>
      </c>
      <c r="AM200" s="230">
        <f t="shared" si="107"/>
        <v>0</v>
      </c>
      <c r="AN200" s="230">
        <f t="shared" si="107"/>
        <v>0</v>
      </c>
      <c r="AO200" s="230">
        <f t="shared" si="107"/>
        <v>0</v>
      </c>
    </row>
    <row r="201" spans="1:41" x14ac:dyDescent="0.25">
      <c r="A201" s="251" t="s">
        <v>843</v>
      </c>
      <c r="B201" s="251" t="s">
        <v>429</v>
      </c>
      <c r="C201" s="251" t="s">
        <v>45</v>
      </c>
      <c r="D201" s="251" t="s">
        <v>51</v>
      </c>
      <c r="E201" s="251" t="s">
        <v>122</v>
      </c>
      <c r="F201" s="233">
        <f t="shared" si="86"/>
        <v>0</v>
      </c>
      <c r="G201" s="233">
        <f t="shared" si="87"/>
        <v>0</v>
      </c>
      <c r="H201" s="233">
        <f t="shared" si="88"/>
        <v>0</v>
      </c>
      <c r="I201" s="233">
        <f t="shared" si="89"/>
        <v>0</v>
      </c>
      <c r="J201" s="233">
        <f t="shared" si="90"/>
        <v>176</v>
      </c>
      <c r="K201" s="233">
        <f t="shared" si="91"/>
        <v>128</v>
      </c>
      <c r="L201" s="233">
        <f t="shared" si="92"/>
        <v>0</v>
      </c>
      <c r="M201" s="233">
        <f t="shared" si="93"/>
        <v>0</v>
      </c>
      <c r="N201" s="233">
        <f t="shared" si="101"/>
        <v>0</v>
      </c>
      <c r="O201" s="233">
        <f>IFERROR(VLOOKUP(A201,TOTAL_HORAS,79,FALSE),0)</f>
        <v>0</v>
      </c>
      <c r="P201" s="233"/>
      <c r="Q201" s="233"/>
      <c r="R201" s="231">
        <f t="shared" si="94"/>
        <v>0</v>
      </c>
      <c r="S201" s="231">
        <f t="shared" si="95"/>
        <v>0</v>
      </c>
      <c r="T201" s="231">
        <f t="shared" si="96"/>
        <v>0</v>
      </c>
      <c r="U201" s="231">
        <f t="shared" si="97"/>
        <v>0</v>
      </c>
      <c r="V201" s="231">
        <f t="shared" si="98"/>
        <v>34.090909090909093</v>
      </c>
      <c r="W201" s="231">
        <f t="shared" si="85"/>
        <v>35.714285714285715</v>
      </c>
      <c r="X201" s="231">
        <f t="shared" si="99"/>
        <v>0</v>
      </c>
      <c r="Y201" s="231">
        <f t="shared" si="100"/>
        <v>0</v>
      </c>
      <c r="Z201" s="231">
        <f t="shared" si="108"/>
        <v>0</v>
      </c>
      <c r="AA201" s="231"/>
      <c r="AB201" s="231"/>
      <c r="AC201" s="231"/>
      <c r="AD201" s="230">
        <f t="shared" si="83"/>
        <v>0</v>
      </c>
      <c r="AE201" s="230">
        <f t="shared" si="102"/>
        <v>0</v>
      </c>
      <c r="AF201" s="230">
        <f t="shared" si="103"/>
        <v>0</v>
      </c>
      <c r="AG201" s="230">
        <f t="shared" si="104"/>
        <v>0</v>
      </c>
      <c r="AH201" s="230">
        <f t="shared" si="105"/>
        <v>6000</v>
      </c>
      <c r="AI201" s="230">
        <f t="shared" si="84"/>
        <v>4571.4285714285716</v>
      </c>
      <c r="AJ201" s="230">
        <f t="shared" si="106"/>
        <v>0</v>
      </c>
      <c r="AK201" s="230">
        <f t="shared" si="107"/>
        <v>0</v>
      </c>
      <c r="AL201" s="230">
        <f t="shared" si="107"/>
        <v>0</v>
      </c>
      <c r="AM201" s="230">
        <f t="shared" si="107"/>
        <v>0</v>
      </c>
      <c r="AN201" s="230">
        <f t="shared" si="107"/>
        <v>0</v>
      </c>
      <c r="AO201" s="230">
        <f t="shared" si="107"/>
        <v>0</v>
      </c>
    </row>
    <row r="202" spans="1:41" x14ac:dyDescent="0.25">
      <c r="A202" s="251" t="s">
        <v>844</v>
      </c>
      <c r="B202" s="251" t="s">
        <v>197</v>
      </c>
      <c r="C202" s="251" t="s">
        <v>103</v>
      </c>
      <c r="D202" s="251" t="s">
        <v>198</v>
      </c>
      <c r="E202" s="251" t="s">
        <v>199</v>
      </c>
      <c r="F202" s="233">
        <f t="shared" si="86"/>
        <v>0</v>
      </c>
      <c r="G202" s="233">
        <f t="shared" si="87"/>
        <v>0</v>
      </c>
      <c r="H202" s="233">
        <f t="shared" si="88"/>
        <v>0</v>
      </c>
      <c r="I202" s="233">
        <f t="shared" si="89"/>
        <v>0</v>
      </c>
      <c r="J202" s="233">
        <f t="shared" si="90"/>
        <v>0</v>
      </c>
      <c r="K202" s="233">
        <f t="shared" si="91"/>
        <v>112</v>
      </c>
      <c r="L202" s="233">
        <f t="shared" si="92"/>
        <v>160</v>
      </c>
      <c r="M202" s="233">
        <f t="shared" si="93"/>
        <v>83</v>
      </c>
      <c r="N202" s="233">
        <f t="shared" si="101"/>
        <v>0</v>
      </c>
      <c r="O202" s="233">
        <f>IFERROR(VLOOKUP(A202,TOTAL_HORAS,79,FALSE),0)</f>
        <v>0</v>
      </c>
      <c r="P202" s="233"/>
      <c r="Q202" s="233"/>
      <c r="R202" s="231">
        <f t="shared" si="94"/>
        <v>0</v>
      </c>
      <c r="S202" s="231">
        <f t="shared" si="95"/>
        <v>0</v>
      </c>
      <c r="T202" s="231">
        <f t="shared" si="96"/>
        <v>0</v>
      </c>
      <c r="U202" s="231">
        <f t="shared" si="97"/>
        <v>0</v>
      </c>
      <c r="V202" s="231">
        <f t="shared" si="98"/>
        <v>0</v>
      </c>
      <c r="W202" s="231">
        <f t="shared" si="85"/>
        <v>35.714285714285715</v>
      </c>
      <c r="X202" s="231">
        <f t="shared" si="99"/>
        <v>37.5</v>
      </c>
      <c r="Y202" s="231">
        <f t="shared" si="100"/>
        <v>34.090909090909093</v>
      </c>
      <c r="Z202" s="231">
        <f t="shared" si="108"/>
        <v>35.714285714285715</v>
      </c>
      <c r="AA202" s="231"/>
      <c r="AB202" s="231"/>
      <c r="AC202" s="231"/>
      <c r="AD202" s="230">
        <f t="shared" si="83"/>
        <v>0</v>
      </c>
      <c r="AE202" s="230">
        <f t="shared" si="102"/>
        <v>0</v>
      </c>
      <c r="AF202" s="230">
        <f t="shared" si="103"/>
        <v>0</v>
      </c>
      <c r="AG202" s="230">
        <f t="shared" si="104"/>
        <v>0</v>
      </c>
      <c r="AH202" s="230">
        <f t="shared" si="105"/>
        <v>0</v>
      </c>
      <c r="AI202" s="230">
        <f t="shared" si="84"/>
        <v>4000</v>
      </c>
      <c r="AJ202" s="230">
        <f t="shared" si="106"/>
        <v>6000</v>
      </c>
      <c r="AK202" s="230">
        <f t="shared" si="107"/>
        <v>2829.545454545455</v>
      </c>
      <c r="AL202" s="230">
        <f t="shared" si="107"/>
        <v>0</v>
      </c>
      <c r="AM202" s="230">
        <f t="shared" si="107"/>
        <v>0</v>
      </c>
      <c r="AN202" s="230">
        <f t="shared" si="107"/>
        <v>0</v>
      </c>
      <c r="AO202" s="230">
        <f t="shared" si="107"/>
        <v>0</v>
      </c>
    </row>
    <row r="203" spans="1:41" x14ac:dyDescent="0.25">
      <c r="A203" s="251" t="s">
        <v>845</v>
      </c>
      <c r="B203" s="251" t="s">
        <v>431</v>
      </c>
      <c r="C203" s="251" t="s">
        <v>75</v>
      </c>
      <c r="D203" s="251" t="s">
        <v>75</v>
      </c>
      <c r="E203" s="251" t="s">
        <v>131</v>
      </c>
      <c r="F203" s="233">
        <f t="shared" si="86"/>
        <v>0</v>
      </c>
      <c r="G203" s="233">
        <f t="shared" si="87"/>
        <v>0</v>
      </c>
      <c r="H203" s="233">
        <f t="shared" si="88"/>
        <v>0</v>
      </c>
      <c r="I203" s="233">
        <f t="shared" si="89"/>
        <v>0</v>
      </c>
      <c r="J203" s="233">
        <f t="shared" si="90"/>
        <v>0</v>
      </c>
      <c r="K203" s="233">
        <f t="shared" si="91"/>
        <v>0</v>
      </c>
      <c r="L203" s="233">
        <f t="shared" si="92"/>
        <v>1</v>
      </c>
      <c r="M203" s="233">
        <f t="shared" si="93"/>
        <v>0</v>
      </c>
      <c r="N203" s="233">
        <f t="shared" si="101"/>
        <v>0</v>
      </c>
      <c r="O203" s="233">
        <f>IFERROR(VLOOKUP(A203,TOTAL_HORAS,79,FALSE),0)</f>
        <v>0</v>
      </c>
      <c r="P203" s="233"/>
      <c r="Q203" s="233"/>
      <c r="R203" s="231">
        <f t="shared" si="94"/>
        <v>0</v>
      </c>
      <c r="S203" s="231">
        <f t="shared" si="95"/>
        <v>0</v>
      </c>
      <c r="T203" s="231">
        <f t="shared" si="96"/>
        <v>0</v>
      </c>
      <c r="U203" s="231">
        <f t="shared" si="97"/>
        <v>0</v>
      </c>
      <c r="V203" s="231">
        <f t="shared" si="98"/>
        <v>0</v>
      </c>
      <c r="W203" s="231">
        <f t="shared" si="85"/>
        <v>0</v>
      </c>
      <c r="X203" s="231">
        <f t="shared" si="99"/>
        <v>43.75</v>
      </c>
      <c r="Y203" s="231">
        <f t="shared" si="100"/>
        <v>51.136363636363633</v>
      </c>
      <c r="Z203" s="231">
        <f t="shared" si="108"/>
        <v>53.571428571428569</v>
      </c>
      <c r="AA203" s="231"/>
      <c r="AB203" s="231"/>
      <c r="AC203" s="231"/>
      <c r="AD203" s="230">
        <f t="shared" si="83"/>
        <v>0</v>
      </c>
      <c r="AE203" s="230">
        <f t="shared" si="102"/>
        <v>0</v>
      </c>
      <c r="AF203" s="230">
        <f t="shared" si="103"/>
        <v>0</v>
      </c>
      <c r="AG203" s="230">
        <f t="shared" si="104"/>
        <v>0</v>
      </c>
      <c r="AH203" s="230">
        <f t="shared" si="105"/>
        <v>0</v>
      </c>
      <c r="AI203" s="230">
        <f t="shared" si="84"/>
        <v>0</v>
      </c>
      <c r="AJ203" s="230">
        <f t="shared" si="106"/>
        <v>43.75</v>
      </c>
      <c r="AK203" s="230">
        <f t="shared" si="107"/>
        <v>0</v>
      </c>
      <c r="AL203" s="230">
        <f t="shared" si="107"/>
        <v>0</v>
      </c>
      <c r="AM203" s="230">
        <f t="shared" si="107"/>
        <v>0</v>
      </c>
      <c r="AN203" s="230">
        <f t="shared" si="107"/>
        <v>0</v>
      </c>
      <c r="AO203" s="230">
        <f t="shared" si="107"/>
        <v>0</v>
      </c>
    </row>
    <row r="204" spans="1:41" x14ac:dyDescent="0.25">
      <c r="A204" s="251" t="s">
        <v>898</v>
      </c>
      <c r="B204" s="251" t="s">
        <v>897</v>
      </c>
      <c r="C204" s="251" t="s">
        <v>103</v>
      </c>
      <c r="D204" s="251" t="s">
        <v>562</v>
      </c>
      <c r="E204" s="251" t="s">
        <v>563</v>
      </c>
      <c r="F204" s="233">
        <f t="shared" si="86"/>
        <v>0</v>
      </c>
      <c r="G204" s="233">
        <f t="shared" si="87"/>
        <v>0</v>
      </c>
      <c r="H204" s="233">
        <f t="shared" si="88"/>
        <v>0</v>
      </c>
      <c r="I204" s="233">
        <f t="shared" si="89"/>
        <v>0</v>
      </c>
      <c r="J204" s="233">
        <f t="shared" si="90"/>
        <v>0</v>
      </c>
      <c r="K204" s="233">
        <f t="shared" si="91"/>
        <v>0</v>
      </c>
      <c r="L204" s="233">
        <f t="shared" si="92"/>
        <v>0</v>
      </c>
      <c r="M204" s="233">
        <f t="shared" si="93"/>
        <v>64</v>
      </c>
      <c r="N204" s="233">
        <f t="shared" si="101"/>
        <v>168</v>
      </c>
      <c r="O204" s="233">
        <f>IFERROR(VLOOKUP(A204,TOTAL_HORAS,79,FALSE),0)</f>
        <v>40</v>
      </c>
      <c r="P204" s="233"/>
      <c r="Q204" s="233"/>
      <c r="R204" s="231">
        <f t="shared" si="94"/>
        <v>0</v>
      </c>
      <c r="S204" s="231">
        <f t="shared" si="95"/>
        <v>0</v>
      </c>
      <c r="T204" s="231">
        <f t="shared" si="96"/>
        <v>0</v>
      </c>
      <c r="U204" s="231">
        <f t="shared" si="97"/>
        <v>0</v>
      </c>
      <c r="V204" s="231">
        <f t="shared" si="98"/>
        <v>0</v>
      </c>
      <c r="W204" s="231">
        <f t="shared" si="85"/>
        <v>0</v>
      </c>
      <c r="X204" s="231">
        <f t="shared" si="99"/>
        <v>0</v>
      </c>
      <c r="Y204" s="231">
        <f t="shared" si="100"/>
        <v>37.414772727272727</v>
      </c>
      <c r="Z204" s="231">
        <f t="shared" si="108"/>
        <v>38.69047619047619</v>
      </c>
      <c r="AA204" s="231"/>
      <c r="AB204" s="231"/>
      <c r="AC204" s="231"/>
      <c r="AD204" s="230">
        <f t="shared" si="83"/>
        <v>0</v>
      </c>
      <c r="AE204" s="230">
        <f t="shared" si="102"/>
        <v>0</v>
      </c>
      <c r="AF204" s="230">
        <f t="shared" si="103"/>
        <v>0</v>
      </c>
      <c r="AG204" s="230">
        <f t="shared" si="104"/>
        <v>0</v>
      </c>
      <c r="AH204" s="230">
        <f t="shared" si="105"/>
        <v>0</v>
      </c>
      <c r="AI204" s="230">
        <f t="shared" si="84"/>
        <v>0</v>
      </c>
      <c r="AJ204" s="230">
        <f t="shared" si="106"/>
        <v>0</v>
      </c>
      <c r="AK204" s="230">
        <f t="shared" si="107"/>
        <v>2394.5454545454545</v>
      </c>
      <c r="AL204" s="230">
        <f t="shared" si="107"/>
        <v>6500</v>
      </c>
      <c r="AM204" s="230">
        <f t="shared" si="107"/>
        <v>0</v>
      </c>
      <c r="AN204" s="230">
        <f t="shared" si="107"/>
        <v>0</v>
      </c>
      <c r="AO204" s="230">
        <f t="shared" si="107"/>
        <v>0</v>
      </c>
    </row>
    <row r="205" spans="1:41" x14ac:dyDescent="0.25">
      <c r="A205" s="251" t="s">
        <v>846</v>
      </c>
      <c r="B205" s="251" t="s">
        <v>431</v>
      </c>
      <c r="C205" s="251" t="s">
        <v>103</v>
      </c>
      <c r="D205" s="251" t="s">
        <v>562</v>
      </c>
      <c r="E205" s="251" t="s">
        <v>563</v>
      </c>
      <c r="F205" s="233">
        <f t="shared" si="86"/>
        <v>0</v>
      </c>
      <c r="G205" s="233">
        <f t="shared" si="87"/>
        <v>0</v>
      </c>
      <c r="H205" s="233">
        <f t="shared" si="88"/>
        <v>0</v>
      </c>
      <c r="I205" s="233">
        <f t="shared" si="89"/>
        <v>0</v>
      </c>
      <c r="J205" s="233">
        <f t="shared" si="90"/>
        <v>0</v>
      </c>
      <c r="K205" s="233">
        <f t="shared" si="91"/>
        <v>0</v>
      </c>
      <c r="L205" s="233">
        <f t="shared" si="92"/>
        <v>2</v>
      </c>
      <c r="M205" s="233">
        <f t="shared" si="93"/>
        <v>20</v>
      </c>
      <c r="N205" s="233">
        <f t="shared" si="101"/>
        <v>20</v>
      </c>
      <c r="O205" s="233">
        <f>IFERROR(VLOOKUP(A205,TOTAL_HORAS,79,FALSE),0)</f>
        <v>5</v>
      </c>
      <c r="P205" s="233"/>
      <c r="Q205" s="233"/>
      <c r="R205" s="231">
        <f t="shared" si="94"/>
        <v>0</v>
      </c>
      <c r="S205" s="231">
        <f t="shared" si="95"/>
        <v>0</v>
      </c>
      <c r="T205" s="231">
        <f t="shared" si="96"/>
        <v>0</v>
      </c>
      <c r="U205" s="231">
        <f t="shared" si="97"/>
        <v>0</v>
      </c>
      <c r="V205" s="231">
        <f t="shared" si="98"/>
        <v>0</v>
      </c>
      <c r="W205" s="231">
        <f t="shared" si="85"/>
        <v>0</v>
      </c>
      <c r="X205" s="231">
        <f t="shared" si="99"/>
        <v>43.75</v>
      </c>
      <c r="Y205" s="231">
        <f t="shared" si="100"/>
        <v>51.136363636363633</v>
      </c>
      <c r="Z205" s="231">
        <f t="shared" si="108"/>
        <v>53.571428571428569</v>
      </c>
      <c r="AA205" s="231"/>
      <c r="AB205" s="231"/>
      <c r="AC205" s="231"/>
      <c r="AD205" s="230">
        <f t="shared" si="83"/>
        <v>0</v>
      </c>
      <c r="AE205" s="230">
        <f t="shared" si="102"/>
        <v>0</v>
      </c>
      <c r="AF205" s="230">
        <f t="shared" si="103"/>
        <v>0</v>
      </c>
      <c r="AG205" s="230">
        <f t="shared" si="104"/>
        <v>0</v>
      </c>
      <c r="AH205" s="230">
        <f t="shared" si="105"/>
        <v>0</v>
      </c>
      <c r="AI205" s="230">
        <f t="shared" si="84"/>
        <v>0</v>
      </c>
      <c r="AJ205" s="230">
        <f t="shared" si="106"/>
        <v>87.5</v>
      </c>
      <c r="AK205" s="230">
        <f t="shared" si="107"/>
        <v>1022.7272727272726</v>
      </c>
      <c r="AL205" s="230">
        <f t="shared" si="107"/>
        <v>1071.4285714285713</v>
      </c>
      <c r="AM205" s="230">
        <f t="shared" si="107"/>
        <v>0</v>
      </c>
      <c r="AN205" s="230">
        <f t="shared" si="107"/>
        <v>0</v>
      </c>
      <c r="AO205" s="230">
        <f t="shared" si="107"/>
        <v>0</v>
      </c>
    </row>
    <row r="206" spans="1:41" x14ac:dyDescent="0.25">
      <c r="A206" s="251" t="s">
        <v>847</v>
      </c>
      <c r="B206" s="251" t="s">
        <v>197</v>
      </c>
      <c r="C206" s="251" t="s">
        <v>103</v>
      </c>
      <c r="D206" s="251" t="s">
        <v>361</v>
      </c>
      <c r="E206" s="251" t="s">
        <v>362</v>
      </c>
      <c r="F206" s="233">
        <f t="shared" si="86"/>
        <v>0</v>
      </c>
      <c r="G206" s="233">
        <f t="shared" si="87"/>
        <v>0</v>
      </c>
      <c r="H206" s="233">
        <f t="shared" si="88"/>
        <v>0</v>
      </c>
      <c r="I206" s="233">
        <f t="shared" si="89"/>
        <v>0</v>
      </c>
      <c r="J206" s="233">
        <f t="shared" si="90"/>
        <v>0</v>
      </c>
      <c r="K206" s="233">
        <f t="shared" si="91"/>
        <v>0</v>
      </c>
      <c r="L206" s="233">
        <f t="shared" si="92"/>
        <v>0</v>
      </c>
      <c r="M206" s="233">
        <f t="shared" si="93"/>
        <v>93</v>
      </c>
      <c r="N206" s="233">
        <f t="shared" si="101"/>
        <v>168</v>
      </c>
      <c r="O206" s="233">
        <f>IFERROR(VLOOKUP(A206,TOTAL_HORAS,79,FALSE),0)</f>
        <v>40</v>
      </c>
      <c r="P206" s="233"/>
      <c r="Q206" s="233"/>
      <c r="R206" s="231">
        <f t="shared" si="94"/>
        <v>0</v>
      </c>
      <c r="S206" s="231">
        <f t="shared" si="95"/>
        <v>0</v>
      </c>
      <c r="T206" s="231">
        <f t="shared" si="96"/>
        <v>0</v>
      </c>
      <c r="U206" s="231">
        <f t="shared" si="97"/>
        <v>0</v>
      </c>
      <c r="V206" s="231">
        <f t="shared" si="98"/>
        <v>0</v>
      </c>
      <c r="W206" s="231">
        <f t="shared" si="85"/>
        <v>35.714285714285715</v>
      </c>
      <c r="X206" s="231">
        <f t="shared" si="99"/>
        <v>37.5</v>
      </c>
      <c r="Y206" s="231">
        <f t="shared" si="100"/>
        <v>34.090909090909093</v>
      </c>
      <c r="Z206" s="231">
        <f t="shared" si="108"/>
        <v>35.714285714285715</v>
      </c>
      <c r="AA206" s="231"/>
      <c r="AB206" s="231"/>
      <c r="AC206" s="231"/>
      <c r="AD206" s="230">
        <f t="shared" si="83"/>
        <v>0</v>
      </c>
      <c r="AE206" s="230">
        <f t="shared" si="102"/>
        <v>0</v>
      </c>
      <c r="AF206" s="230">
        <f t="shared" si="103"/>
        <v>0</v>
      </c>
      <c r="AG206" s="230">
        <f t="shared" si="104"/>
        <v>0</v>
      </c>
      <c r="AH206" s="230">
        <f t="shared" si="105"/>
        <v>0</v>
      </c>
      <c r="AI206" s="230">
        <f t="shared" si="84"/>
        <v>0</v>
      </c>
      <c r="AJ206" s="230">
        <f t="shared" si="106"/>
        <v>0</v>
      </c>
      <c r="AK206" s="230">
        <f t="shared" si="107"/>
        <v>3170.4545454545455</v>
      </c>
      <c r="AL206" s="230">
        <f t="shared" si="107"/>
        <v>6000</v>
      </c>
      <c r="AM206" s="230">
        <f t="shared" si="107"/>
        <v>0</v>
      </c>
      <c r="AN206" s="230">
        <f t="shared" si="107"/>
        <v>0</v>
      </c>
      <c r="AO206" s="230">
        <f t="shared" si="107"/>
        <v>0</v>
      </c>
    </row>
    <row r="207" spans="1:41" x14ac:dyDescent="0.25">
      <c r="A207" s="251" t="s">
        <v>848</v>
      </c>
      <c r="B207" s="251" t="s">
        <v>431</v>
      </c>
      <c r="C207" s="251" t="s">
        <v>103</v>
      </c>
      <c r="D207" s="251" t="s">
        <v>306</v>
      </c>
      <c r="E207" s="251" t="s">
        <v>437</v>
      </c>
      <c r="F207" s="233">
        <f t="shared" si="86"/>
        <v>0</v>
      </c>
      <c r="G207" s="233">
        <f t="shared" si="87"/>
        <v>0</v>
      </c>
      <c r="H207" s="233">
        <f t="shared" si="88"/>
        <v>0</v>
      </c>
      <c r="I207" s="233">
        <f t="shared" si="89"/>
        <v>0</v>
      </c>
      <c r="J207" s="233">
        <f t="shared" si="90"/>
        <v>0</v>
      </c>
      <c r="K207" s="233">
        <f t="shared" si="91"/>
        <v>0</v>
      </c>
      <c r="L207" s="233">
        <f t="shared" si="92"/>
        <v>0</v>
      </c>
      <c r="M207" s="233">
        <f t="shared" si="93"/>
        <v>9</v>
      </c>
      <c r="N207" s="233">
        <f t="shared" si="101"/>
        <v>7</v>
      </c>
      <c r="O207" s="233">
        <f>IFERROR(VLOOKUP(A207,TOTAL_HORAS,79,FALSE),0)</f>
        <v>0</v>
      </c>
      <c r="P207" s="233"/>
      <c r="Q207" s="233"/>
      <c r="R207" s="231">
        <f t="shared" si="94"/>
        <v>0</v>
      </c>
      <c r="S207" s="231">
        <f t="shared" si="95"/>
        <v>0</v>
      </c>
      <c r="T207" s="231">
        <f t="shared" si="96"/>
        <v>0</v>
      </c>
      <c r="U207" s="231">
        <f t="shared" si="97"/>
        <v>0</v>
      </c>
      <c r="V207" s="231">
        <f t="shared" si="98"/>
        <v>0</v>
      </c>
      <c r="W207" s="231">
        <f t="shared" si="85"/>
        <v>0</v>
      </c>
      <c r="X207" s="231">
        <f t="shared" si="99"/>
        <v>43.75</v>
      </c>
      <c r="Y207" s="231">
        <f t="shared" si="100"/>
        <v>51.136363636363633</v>
      </c>
      <c r="Z207" s="231">
        <f t="shared" si="108"/>
        <v>53.571428571428569</v>
      </c>
      <c r="AA207" s="231"/>
      <c r="AB207" s="231"/>
      <c r="AC207" s="231"/>
      <c r="AD207" s="230">
        <f t="shared" ref="AD207:AD216" si="109">F207*R207</f>
        <v>0</v>
      </c>
      <c r="AE207" s="230">
        <f t="shared" si="102"/>
        <v>0</v>
      </c>
      <c r="AF207" s="230">
        <f t="shared" si="103"/>
        <v>0</v>
      </c>
      <c r="AG207" s="230">
        <f t="shared" si="104"/>
        <v>0</v>
      </c>
      <c r="AH207" s="230">
        <f t="shared" si="105"/>
        <v>0</v>
      </c>
      <c r="AI207" s="230">
        <f t="shared" si="84"/>
        <v>0</v>
      </c>
      <c r="AJ207" s="230">
        <f t="shared" si="106"/>
        <v>0</v>
      </c>
      <c r="AK207" s="230">
        <f t="shared" si="107"/>
        <v>460.22727272727269</v>
      </c>
      <c r="AL207" s="230">
        <f t="shared" si="107"/>
        <v>375</v>
      </c>
      <c r="AM207" s="230">
        <f t="shared" si="107"/>
        <v>0</v>
      </c>
      <c r="AN207" s="230">
        <f t="shared" si="107"/>
        <v>0</v>
      </c>
      <c r="AO207" s="230">
        <f t="shared" si="107"/>
        <v>0</v>
      </c>
    </row>
    <row r="208" spans="1:41" x14ac:dyDescent="0.25">
      <c r="A208" s="251" t="s">
        <v>859</v>
      </c>
      <c r="B208" s="251" t="s">
        <v>431</v>
      </c>
      <c r="C208" s="251" t="s">
        <v>103</v>
      </c>
      <c r="D208" s="251" t="s">
        <v>198</v>
      </c>
      <c r="E208" s="251" t="s">
        <v>199</v>
      </c>
      <c r="F208" s="233">
        <f t="shared" si="86"/>
        <v>0</v>
      </c>
      <c r="G208" s="233">
        <f t="shared" si="87"/>
        <v>0</v>
      </c>
      <c r="H208" s="233">
        <f t="shared" si="88"/>
        <v>0</v>
      </c>
      <c r="I208" s="233">
        <f t="shared" si="89"/>
        <v>0</v>
      </c>
      <c r="J208" s="233">
        <f t="shared" si="90"/>
        <v>0</v>
      </c>
      <c r="K208" s="233">
        <f t="shared" si="91"/>
        <v>0</v>
      </c>
      <c r="L208" s="233">
        <f t="shared" si="92"/>
        <v>0</v>
      </c>
      <c r="M208" s="233">
        <f t="shared" si="93"/>
        <v>25</v>
      </c>
      <c r="N208" s="233">
        <f t="shared" si="101"/>
        <v>0</v>
      </c>
      <c r="O208" s="233">
        <f>IFERROR(VLOOKUP(A208,TOTAL_HORAS,79,FALSE),0)</f>
        <v>0</v>
      </c>
      <c r="P208" s="233"/>
      <c r="Q208" s="233"/>
      <c r="R208" s="231">
        <f t="shared" si="94"/>
        <v>0</v>
      </c>
      <c r="S208" s="231">
        <f t="shared" si="95"/>
        <v>0</v>
      </c>
      <c r="T208" s="231">
        <f t="shared" si="96"/>
        <v>0</v>
      </c>
      <c r="U208" s="231">
        <f t="shared" si="97"/>
        <v>0</v>
      </c>
      <c r="V208" s="231">
        <f t="shared" si="98"/>
        <v>0</v>
      </c>
      <c r="W208" s="231">
        <f t="shared" si="85"/>
        <v>0</v>
      </c>
      <c r="X208" s="231">
        <f t="shared" si="99"/>
        <v>43.75</v>
      </c>
      <c r="Y208" s="231">
        <f t="shared" si="100"/>
        <v>51.136363636363633</v>
      </c>
      <c r="Z208" s="231">
        <f t="shared" si="108"/>
        <v>53.571428571428569</v>
      </c>
      <c r="AA208" s="231"/>
      <c r="AB208" s="231"/>
      <c r="AC208" s="231"/>
      <c r="AD208" s="230">
        <f t="shared" si="109"/>
        <v>0</v>
      </c>
      <c r="AE208" s="230">
        <f t="shared" si="102"/>
        <v>0</v>
      </c>
      <c r="AF208" s="230">
        <f t="shared" si="103"/>
        <v>0</v>
      </c>
      <c r="AG208" s="230">
        <f t="shared" si="104"/>
        <v>0</v>
      </c>
      <c r="AH208" s="230">
        <f t="shared" si="105"/>
        <v>0</v>
      </c>
      <c r="AI208" s="230">
        <f t="shared" ref="AI208:AI216" si="110">K208*W208</f>
        <v>0</v>
      </c>
      <c r="AJ208" s="230">
        <f t="shared" si="106"/>
        <v>0</v>
      </c>
      <c r="AK208" s="230">
        <f t="shared" si="107"/>
        <v>1278.4090909090908</v>
      </c>
      <c r="AL208" s="230">
        <f t="shared" si="107"/>
        <v>0</v>
      </c>
      <c r="AM208" s="230">
        <f t="shared" si="107"/>
        <v>0</v>
      </c>
      <c r="AN208" s="230">
        <f t="shared" si="107"/>
        <v>0</v>
      </c>
      <c r="AO208" s="230">
        <f t="shared" si="107"/>
        <v>0</v>
      </c>
    </row>
    <row r="209" spans="1:41" x14ac:dyDescent="0.25">
      <c r="A209" s="251" t="s">
        <v>860</v>
      </c>
      <c r="B209" s="251" t="s">
        <v>431</v>
      </c>
      <c r="C209" s="251" t="s">
        <v>46</v>
      </c>
      <c r="D209" s="251" t="s">
        <v>46</v>
      </c>
      <c r="E209" s="251" t="s">
        <v>132</v>
      </c>
      <c r="F209" s="233">
        <f t="shared" si="86"/>
        <v>0</v>
      </c>
      <c r="G209" s="233">
        <f t="shared" si="87"/>
        <v>0</v>
      </c>
      <c r="H209" s="233">
        <f t="shared" si="88"/>
        <v>0</v>
      </c>
      <c r="I209" s="233">
        <f t="shared" si="89"/>
        <v>0</v>
      </c>
      <c r="J209" s="233">
        <f t="shared" si="90"/>
        <v>0</v>
      </c>
      <c r="K209" s="233">
        <f t="shared" si="91"/>
        <v>0</v>
      </c>
      <c r="L209" s="233">
        <f t="shared" si="92"/>
        <v>0</v>
      </c>
      <c r="M209" s="233">
        <f t="shared" si="93"/>
        <v>52</v>
      </c>
      <c r="N209" s="233">
        <f t="shared" si="101"/>
        <v>85</v>
      </c>
      <c r="O209" s="233">
        <f>IFERROR(VLOOKUP(A209,TOTAL_HORAS,79,FALSE),0)</f>
        <v>14</v>
      </c>
      <c r="P209" s="233"/>
      <c r="Q209" s="233"/>
      <c r="R209" s="231">
        <f t="shared" si="94"/>
        <v>0</v>
      </c>
      <c r="S209" s="231">
        <f t="shared" si="95"/>
        <v>0</v>
      </c>
      <c r="T209" s="231">
        <f t="shared" si="96"/>
        <v>0</v>
      </c>
      <c r="U209" s="231">
        <f t="shared" si="97"/>
        <v>0</v>
      </c>
      <c r="V209" s="231">
        <f t="shared" si="98"/>
        <v>0</v>
      </c>
      <c r="W209" s="231">
        <f t="shared" ref="W209:W237" si="111">IFERROR(VLOOKUP(B209,MATRIZ_JUN,2,FALSE),0)</f>
        <v>0</v>
      </c>
      <c r="X209" s="231">
        <f t="shared" si="99"/>
        <v>43.75</v>
      </c>
      <c r="Y209" s="231">
        <f t="shared" si="100"/>
        <v>51.136363636363633</v>
      </c>
      <c r="Z209" s="231">
        <f t="shared" si="108"/>
        <v>53.571428571428569</v>
      </c>
      <c r="AA209" s="231"/>
      <c r="AB209" s="231"/>
      <c r="AC209" s="231"/>
      <c r="AD209" s="230">
        <f t="shared" si="109"/>
        <v>0</v>
      </c>
      <c r="AE209" s="230">
        <f t="shared" si="102"/>
        <v>0</v>
      </c>
      <c r="AF209" s="230">
        <f t="shared" si="103"/>
        <v>0</v>
      </c>
      <c r="AG209" s="230">
        <f t="shared" si="104"/>
        <v>0</v>
      </c>
      <c r="AH209" s="230">
        <f t="shared" si="105"/>
        <v>0</v>
      </c>
      <c r="AI209" s="230">
        <f t="shared" si="110"/>
        <v>0</v>
      </c>
      <c r="AJ209" s="230">
        <f t="shared" si="106"/>
        <v>0</v>
      </c>
      <c r="AK209" s="230">
        <f t="shared" ref="AK209:AK216" si="112">M209*Y209</f>
        <v>2659.090909090909</v>
      </c>
      <c r="AL209" s="230">
        <f t="shared" ref="AL209:AL216" si="113">N209*Z209</f>
        <v>4553.5714285714284</v>
      </c>
      <c r="AM209" s="230">
        <f t="shared" ref="AM209:AM216" si="114">O209*AA209</f>
        <v>0</v>
      </c>
      <c r="AN209" s="230">
        <f t="shared" ref="AN209:AN216" si="115">P209*AB209</f>
        <v>0</v>
      </c>
      <c r="AO209" s="230">
        <f t="shared" ref="AO209:AO216" si="116">Q209*AC209</f>
        <v>0</v>
      </c>
    </row>
    <row r="210" spans="1:41" x14ac:dyDescent="0.25">
      <c r="A210" s="251" t="s">
        <v>945</v>
      </c>
      <c r="B210" s="251" t="s">
        <v>944</v>
      </c>
      <c r="C210" s="251" t="s">
        <v>103</v>
      </c>
      <c r="D210" s="251" t="s">
        <v>305</v>
      </c>
      <c r="E210" s="251" t="s">
        <v>436</v>
      </c>
      <c r="F210" s="233">
        <f t="shared" si="86"/>
        <v>0</v>
      </c>
      <c r="G210" s="233">
        <f t="shared" si="87"/>
        <v>0</v>
      </c>
      <c r="H210" s="233">
        <f t="shared" si="88"/>
        <v>0</v>
      </c>
      <c r="I210" s="233">
        <f t="shared" si="89"/>
        <v>0</v>
      </c>
      <c r="J210" s="233">
        <f t="shared" si="90"/>
        <v>0</v>
      </c>
      <c r="K210" s="233">
        <f t="shared" si="91"/>
        <v>0</v>
      </c>
      <c r="L210" s="233">
        <f t="shared" si="92"/>
        <v>0</v>
      </c>
      <c r="M210" s="233">
        <f t="shared" si="93"/>
        <v>0</v>
      </c>
      <c r="N210" s="233">
        <f t="shared" si="101"/>
        <v>59</v>
      </c>
      <c r="O210" s="233">
        <f>IFERROR(VLOOKUP(A210,TOTAL_HORAS,79,FALSE),0)</f>
        <v>0</v>
      </c>
      <c r="P210" s="233"/>
      <c r="Q210" s="233"/>
      <c r="R210" s="231">
        <f t="shared" si="94"/>
        <v>0</v>
      </c>
      <c r="S210" s="231">
        <f t="shared" si="95"/>
        <v>0</v>
      </c>
      <c r="T210" s="231">
        <f t="shared" si="96"/>
        <v>0</v>
      </c>
      <c r="U210" s="231">
        <f t="shared" si="97"/>
        <v>0</v>
      </c>
      <c r="V210" s="231">
        <f t="shared" si="98"/>
        <v>0</v>
      </c>
      <c r="W210" s="231">
        <f t="shared" si="111"/>
        <v>0</v>
      </c>
      <c r="X210" s="231">
        <f t="shared" si="99"/>
        <v>0</v>
      </c>
      <c r="Y210" s="231">
        <f t="shared" si="100"/>
        <v>0</v>
      </c>
      <c r="Z210" s="231">
        <f t="shared" si="108"/>
        <v>22.61904761904762</v>
      </c>
      <c r="AA210" s="231"/>
      <c r="AB210" s="231"/>
      <c r="AC210" s="231"/>
      <c r="AD210" s="230">
        <f t="shared" si="109"/>
        <v>0</v>
      </c>
      <c r="AE210" s="230">
        <f t="shared" si="102"/>
        <v>0</v>
      </c>
      <c r="AF210" s="230">
        <f t="shared" si="103"/>
        <v>0</v>
      </c>
      <c r="AG210" s="230">
        <f t="shared" si="104"/>
        <v>0</v>
      </c>
      <c r="AH210" s="230">
        <f t="shared" si="105"/>
        <v>0</v>
      </c>
      <c r="AI210" s="230">
        <f t="shared" si="110"/>
        <v>0</v>
      </c>
      <c r="AJ210" s="230">
        <f t="shared" si="106"/>
        <v>0</v>
      </c>
      <c r="AK210" s="230">
        <f t="shared" si="112"/>
        <v>0</v>
      </c>
      <c r="AL210" s="230">
        <f t="shared" si="113"/>
        <v>1334.5238095238096</v>
      </c>
      <c r="AM210" s="230">
        <f t="shared" si="114"/>
        <v>0</v>
      </c>
      <c r="AN210" s="230">
        <f t="shared" si="115"/>
        <v>0</v>
      </c>
      <c r="AO210" s="230">
        <f t="shared" si="116"/>
        <v>0</v>
      </c>
    </row>
    <row r="211" spans="1:41" x14ac:dyDescent="0.25">
      <c r="A211" s="251" t="s">
        <v>861</v>
      </c>
      <c r="B211" s="251" t="s">
        <v>431</v>
      </c>
      <c r="C211" s="251" t="s">
        <v>103</v>
      </c>
      <c r="D211" s="251" t="s">
        <v>305</v>
      </c>
      <c r="E211" s="251" t="s">
        <v>436</v>
      </c>
      <c r="F211" s="233">
        <f t="shared" si="86"/>
        <v>0</v>
      </c>
      <c r="G211" s="233">
        <f t="shared" si="87"/>
        <v>0</v>
      </c>
      <c r="H211" s="233">
        <f t="shared" si="88"/>
        <v>0</v>
      </c>
      <c r="I211" s="233">
        <f t="shared" si="89"/>
        <v>0</v>
      </c>
      <c r="J211" s="233">
        <f t="shared" si="90"/>
        <v>0</v>
      </c>
      <c r="K211" s="233">
        <f t="shared" si="91"/>
        <v>0</v>
      </c>
      <c r="L211" s="233">
        <f t="shared" si="92"/>
        <v>0</v>
      </c>
      <c r="M211" s="233">
        <f t="shared" si="93"/>
        <v>4</v>
      </c>
      <c r="N211" s="233">
        <f t="shared" si="101"/>
        <v>8</v>
      </c>
      <c r="O211" s="233">
        <f>IFERROR(VLOOKUP(A211,TOTAL_HORAS,79,FALSE),0)</f>
        <v>0</v>
      </c>
      <c r="P211" s="233"/>
      <c r="Q211" s="233"/>
      <c r="R211" s="231">
        <f t="shared" si="94"/>
        <v>0</v>
      </c>
      <c r="S211" s="231">
        <f>IFERROR(VLOOKUP(B211,MATRIZ_FEB,2,FALSE),0)</f>
        <v>0</v>
      </c>
      <c r="T211" s="231">
        <f t="shared" si="96"/>
        <v>0</v>
      </c>
      <c r="U211" s="231">
        <f t="shared" si="97"/>
        <v>0</v>
      </c>
      <c r="V211" s="231">
        <f t="shared" si="98"/>
        <v>0</v>
      </c>
      <c r="W211" s="231">
        <f t="shared" si="111"/>
        <v>0</v>
      </c>
      <c r="X211" s="231">
        <f t="shared" si="99"/>
        <v>43.75</v>
      </c>
      <c r="Y211" s="231">
        <f t="shared" si="100"/>
        <v>51.136363636363633</v>
      </c>
      <c r="Z211" s="231">
        <f t="shared" si="108"/>
        <v>53.571428571428569</v>
      </c>
      <c r="AA211" s="231"/>
      <c r="AB211" s="231"/>
      <c r="AC211" s="231"/>
      <c r="AD211" s="230">
        <f t="shared" si="109"/>
        <v>0</v>
      </c>
      <c r="AE211" s="230">
        <f t="shared" ref="AE211:AE216" si="117">G211*S211</f>
        <v>0</v>
      </c>
      <c r="AF211" s="230">
        <f t="shared" si="103"/>
        <v>0</v>
      </c>
      <c r="AG211" s="230">
        <f t="shared" si="104"/>
        <v>0</v>
      </c>
      <c r="AH211" s="230">
        <f t="shared" si="105"/>
        <v>0</v>
      </c>
      <c r="AI211" s="230">
        <f t="shared" si="110"/>
        <v>0</v>
      </c>
      <c r="AJ211" s="230">
        <f t="shared" si="106"/>
        <v>0</v>
      </c>
      <c r="AK211" s="230">
        <f t="shared" si="112"/>
        <v>204.54545454545453</v>
      </c>
      <c r="AL211" s="230">
        <f t="shared" si="113"/>
        <v>428.57142857142856</v>
      </c>
      <c r="AM211" s="230">
        <f t="shared" si="114"/>
        <v>0</v>
      </c>
      <c r="AN211" s="230">
        <f t="shared" si="115"/>
        <v>0</v>
      </c>
      <c r="AO211" s="230">
        <f t="shared" si="116"/>
        <v>0</v>
      </c>
    </row>
    <row r="212" spans="1:41" x14ac:dyDescent="0.25">
      <c r="A212" s="251" t="s">
        <v>865</v>
      </c>
      <c r="B212" s="251" t="s">
        <v>864</v>
      </c>
      <c r="C212" s="251" t="s">
        <v>103</v>
      </c>
      <c r="D212" s="251" t="s">
        <v>361</v>
      </c>
      <c r="E212" s="251" t="s">
        <v>362</v>
      </c>
      <c r="F212" s="233">
        <f t="shared" si="86"/>
        <v>0</v>
      </c>
      <c r="G212" s="233">
        <f t="shared" si="87"/>
        <v>0</v>
      </c>
      <c r="H212" s="233">
        <f t="shared" si="88"/>
        <v>0</v>
      </c>
      <c r="I212" s="233">
        <f t="shared" si="89"/>
        <v>0</v>
      </c>
      <c r="J212" s="233">
        <f t="shared" si="90"/>
        <v>0</v>
      </c>
      <c r="K212" s="233">
        <f t="shared" si="91"/>
        <v>0</v>
      </c>
      <c r="L212" s="233">
        <f t="shared" si="92"/>
        <v>0</v>
      </c>
      <c r="M212" s="233">
        <f t="shared" si="93"/>
        <v>48</v>
      </c>
      <c r="N212" s="233">
        <f t="shared" si="101"/>
        <v>0</v>
      </c>
      <c r="O212" s="233">
        <f>IFERROR(VLOOKUP(A212,TOTAL_HORAS,79,FALSE),0)</f>
        <v>0</v>
      </c>
      <c r="P212" s="233"/>
      <c r="Q212" s="233"/>
      <c r="R212" s="231">
        <f t="shared" si="94"/>
        <v>0</v>
      </c>
      <c r="S212" s="231">
        <f>IFERROR(VLOOKUP(B212,MATRIZ_FEB,2,FALSE),0)</f>
        <v>0</v>
      </c>
      <c r="T212" s="231">
        <f t="shared" si="96"/>
        <v>0</v>
      </c>
      <c r="U212" s="231">
        <f t="shared" si="97"/>
        <v>0</v>
      </c>
      <c r="V212" s="231">
        <f t="shared" si="98"/>
        <v>0</v>
      </c>
      <c r="W212" s="231">
        <f t="shared" si="111"/>
        <v>0</v>
      </c>
      <c r="X212" s="231">
        <f t="shared" si="99"/>
        <v>0</v>
      </c>
      <c r="Y212" s="231">
        <f t="shared" si="100"/>
        <v>26.051136363636363</v>
      </c>
      <c r="Z212" s="231">
        <f t="shared" si="108"/>
        <v>0</v>
      </c>
      <c r="AA212" s="231"/>
      <c r="AB212" s="231"/>
      <c r="AC212" s="231"/>
      <c r="AD212" s="230">
        <f t="shared" si="109"/>
        <v>0</v>
      </c>
      <c r="AE212" s="230">
        <f t="shared" si="117"/>
        <v>0</v>
      </c>
      <c r="AF212" s="230">
        <f t="shared" si="103"/>
        <v>0</v>
      </c>
      <c r="AG212" s="230">
        <f t="shared" si="104"/>
        <v>0</v>
      </c>
      <c r="AH212" s="230">
        <f t="shared" si="105"/>
        <v>0</v>
      </c>
      <c r="AI212" s="230">
        <f t="shared" si="110"/>
        <v>0</v>
      </c>
      <c r="AJ212" s="230">
        <f t="shared" si="106"/>
        <v>0</v>
      </c>
      <c r="AK212" s="230">
        <f t="shared" si="112"/>
        <v>1250.4545454545455</v>
      </c>
      <c r="AL212" s="230">
        <f t="shared" si="113"/>
        <v>0</v>
      </c>
      <c r="AM212" s="230">
        <f t="shared" si="114"/>
        <v>0</v>
      </c>
      <c r="AN212" s="230">
        <f t="shared" si="115"/>
        <v>0</v>
      </c>
      <c r="AO212" s="230">
        <f t="shared" si="116"/>
        <v>0</v>
      </c>
    </row>
    <row r="213" spans="1:41" x14ac:dyDescent="0.25">
      <c r="A213" s="251" t="s">
        <v>866</v>
      </c>
      <c r="B213" s="251" t="s">
        <v>864</v>
      </c>
      <c r="C213" s="251" t="s">
        <v>855</v>
      </c>
      <c r="D213" s="251" t="s">
        <v>855</v>
      </c>
      <c r="E213" s="251" t="s">
        <v>856</v>
      </c>
      <c r="F213" s="233">
        <f t="shared" si="86"/>
        <v>0</v>
      </c>
      <c r="G213" s="233">
        <f t="shared" si="87"/>
        <v>0</v>
      </c>
      <c r="H213" s="233">
        <f t="shared" si="88"/>
        <v>0</v>
      </c>
      <c r="I213" s="233">
        <f t="shared" si="89"/>
        <v>0</v>
      </c>
      <c r="J213" s="233">
        <f t="shared" si="90"/>
        <v>0</v>
      </c>
      <c r="K213" s="233">
        <f t="shared" si="91"/>
        <v>0</v>
      </c>
      <c r="L213" s="233">
        <f t="shared" si="92"/>
        <v>0</v>
      </c>
      <c r="M213" s="233">
        <f t="shared" si="93"/>
        <v>16</v>
      </c>
      <c r="N213" s="233">
        <f t="shared" si="101"/>
        <v>0</v>
      </c>
      <c r="O213" s="233">
        <f>IFERROR(VLOOKUP(A213,TOTAL_HORAS,79,FALSE),0)</f>
        <v>0</v>
      </c>
      <c r="P213" s="233"/>
      <c r="Q213" s="233"/>
      <c r="R213" s="231">
        <f t="shared" si="94"/>
        <v>0</v>
      </c>
      <c r="S213" s="231">
        <f>IFERROR(VLOOKUP(B213,MATRIZ_FEB,2,FALSE),0)</f>
        <v>0</v>
      </c>
      <c r="T213" s="231">
        <f t="shared" si="96"/>
        <v>0</v>
      </c>
      <c r="U213" s="231">
        <f t="shared" si="97"/>
        <v>0</v>
      </c>
      <c r="V213" s="231">
        <f t="shared" si="98"/>
        <v>0</v>
      </c>
      <c r="W213" s="231">
        <f t="shared" si="111"/>
        <v>0</v>
      </c>
      <c r="X213" s="231">
        <f t="shared" si="99"/>
        <v>0</v>
      </c>
      <c r="Y213" s="231">
        <f>IFERROR(VLOOKUP(B213,MATRIZ_AGOSTO,2,FALSE),0)</f>
        <v>26.051136363636363</v>
      </c>
      <c r="Z213" s="231">
        <f t="shared" si="108"/>
        <v>0</v>
      </c>
      <c r="AA213" s="231"/>
      <c r="AB213" s="231"/>
      <c r="AC213" s="231"/>
      <c r="AD213" s="230">
        <f t="shared" si="109"/>
        <v>0</v>
      </c>
      <c r="AE213" s="230">
        <f t="shared" si="117"/>
        <v>0</v>
      </c>
      <c r="AF213" s="230">
        <f t="shared" si="103"/>
        <v>0</v>
      </c>
      <c r="AG213" s="230">
        <f t="shared" si="104"/>
        <v>0</v>
      </c>
      <c r="AH213" s="230">
        <f t="shared" si="105"/>
        <v>0</v>
      </c>
      <c r="AI213" s="230">
        <f t="shared" si="110"/>
        <v>0</v>
      </c>
      <c r="AJ213" s="230">
        <f t="shared" si="106"/>
        <v>0</v>
      </c>
      <c r="AK213" s="230">
        <f t="shared" si="112"/>
        <v>416.81818181818181</v>
      </c>
      <c r="AL213" s="230">
        <f t="shared" si="113"/>
        <v>0</v>
      </c>
      <c r="AM213" s="230">
        <f t="shared" si="114"/>
        <v>0</v>
      </c>
      <c r="AN213" s="230">
        <f t="shared" si="115"/>
        <v>0</v>
      </c>
      <c r="AO213" s="230">
        <f t="shared" si="116"/>
        <v>0</v>
      </c>
    </row>
    <row r="214" spans="1:41" x14ac:dyDescent="0.25">
      <c r="A214" s="251" t="s">
        <v>935</v>
      </c>
      <c r="B214" s="251" t="s">
        <v>431</v>
      </c>
      <c r="C214" s="251" t="s">
        <v>103</v>
      </c>
      <c r="D214" s="251" t="s">
        <v>913</v>
      </c>
      <c r="E214" s="251" t="s">
        <v>916</v>
      </c>
      <c r="F214" s="233">
        <f t="shared" si="86"/>
        <v>0</v>
      </c>
      <c r="G214" s="233">
        <f t="shared" si="87"/>
        <v>0</v>
      </c>
      <c r="H214" s="233">
        <f t="shared" si="88"/>
        <v>0</v>
      </c>
      <c r="I214" s="233">
        <f t="shared" si="89"/>
        <v>0</v>
      </c>
      <c r="J214" s="233">
        <f t="shared" si="90"/>
        <v>0</v>
      </c>
      <c r="K214" s="233">
        <f t="shared" si="91"/>
        <v>0</v>
      </c>
      <c r="L214" s="233">
        <f t="shared" si="92"/>
        <v>0</v>
      </c>
      <c r="M214" s="233">
        <f t="shared" si="93"/>
        <v>0</v>
      </c>
      <c r="N214" s="233">
        <f t="shared" si="101"/>
        <v>4</v>
      </c>
      <c r="O214" s="233">
        <f>IFERROR(VLOOKUP(A214,TOTAL_HORAS,79,FALSE),0)</f>
        <v>3</v>
      </c>
      <c r="P214" s="233"/>
      <c r="Q214" s="233"/>
      <c r="R214" s="231">
        <f t="shared" si="94"/>
        <v>0</v>
      </c>
      <c r="S214" s="231">
        <f>IFERROR(VLOOKUP(B214,MATRIZ_FEB,2,FALSE),0)</f>
        <v>0</v>
      </c>
      <c r="T214" s="231">
        <f t="shared" si="96"/>
        <v>0</v>
      </c>
      <c r="U214" s="231">
        <f t="shared" si="97"/>
        <v>0</v>
      </c>
      <c r="V214" s="231">
        <f t="shared" si="98"/>
        <v>0</v>
      </c>
      <c r="W214" s="231">
        <f t="shared" si="111"/>
        <v>0</v>
      </c>
      <c r="X214" s="231">
        <f t="shared" si="99"/>
        <v>43.75</v>
      </c>
      <c r="Y214" s="231">
        <f t="shared" si="100"/>
        <v>51.136363636363633</v>
      </c>
      <c r="Z214" s="231">
        <f t="shared" si="108"/>
        <v>53.571428571428569</v>
      </c>
      <c r="AA214" s="231"/>
      <c r="AB214" s="231"/>
      <c r="AC214" s="231"/>
      <c r="AD214" s="230">
        <f t="shared" si="109"/>
        <v>0</v>
      </c>
      <c r="AE214" s="230">
        <f t="shared" si="117"/>
        <v>0</v>
      </c>
      <c r="AF214" s="230">
        <f t="shared" si="103"/>
        <v>0</v>
      </c>
      <c r="AG214" s="230">
        <f t="shared" si="104"/>
        <v>0</v>
      </c>
      <c r="AH214" s="230">
        <f t="shared" si="105"/>
        <v>0</v>
      </c>
      <c r="AI214" s="230">
        <f t="shared" si="110"/>
        <v>0</v>
      </c>
      <c r="AJ214" s="230">
        <f t="shared" si="106"/>
        <v>0</v>
      </c>
      <c r="AK214" s="230">
        <f t="shared" si="112"/>
        <v>0</v>
      </c>
      <c r="AL214" s="230">
        <f t="shared" si="113"/>
        <v>214.28571428571428</v>
      </c>
      <c r="AM214" s="230">
        <f t="shared" si="114"/>
        <v>0</v>
      </c>
      <c r="AN214" s="230">
        <f t="shared" si="115"/>
        <v>0</v>
      </c>
      <c r="AO214" s="230">
        <f t="shared" si="116"/>
        <v>0</v>
      </c>
    </row>
    <row r="215" spans="1:41" x14ac:dyDescent="0.25">
      <c r="A215" s="251" t="s">
        <v>849</v>
      </c>
      <c r="B215" s="251" t="s">
        <v>431</v>
      </c>
      <c r="C215" s="251" t="s">
        <v>103</v>
      </c>
      <c r="D215" s="251" t="s">
        <v>361</v>
      </c>
      <c r="E215" s="251" t="s">
        <v>362</v>
      </c>
      <c r="F215" s="233">
        <f t="shared" si="86"/>
        <v>0</v>
      </c>
      <c r="G215" s="233">
        <f t="shared" si="87"/>
        <v>0</v>
      </c>
      <c r="H215" s="233">
        <f t="shared" si="88"/>
        <v>0</v>
      </c>
      <c r="I215" s="233">
        <f t="shared" si="89"/>
        <v>0</v>
      </c>
      <c r="J215" s="233">
        <f t="shared" si="90"/>
        <v>0</v>
      </c>
      <c r="K215" s="233">
        <f t="shared" si="91"/>
        <v>0</v>
      </c>
      <c r="L215" s="233">
        <f t="shared" si="92"/>
        <v>37</v>
      </c>
      <c r="M215" s="233">
        <f t="shared" si="93"/>
        <v>66</v>
      </c>
      <c r="N215" s="233">
        <f t="shared" si="101"/>
        <v>30</v>
      </c>
      <c r="O215" s="233">
        <f>IFERROR(VLOOKUP(A215,TOTAL_HORAS,79,FALSE),0)</f>
        <v>5</v>
      </c>
      <c r="P215" s="233"/>
      <c r="Q215" s="233"/>
      <c r="R215" s="231">
        <f t="shared" si="94"/>
        <v>0</v>
      </c>
      <c r="S215" s="231">
        <f t="shared" ref="S215:S223" si="118">IFERROR(VLOOKUP(B215,MATRIZ_FEB,2,FALSE),0)</f>
        <v>0</v>
      </c>
      <c r="T215" s="231">
        <f t="shared" si="96"/>
        <v>0</v>
      </c>
      <c r="U215" s="231">
        <f t="shared" si="97"/>
        <v>0</v>
      </c>
      <c r="V215" s="231">
        <f t="shared" si="98"/>
        <v>0</v>
      </c>
      <c r="W215" s="231">
        <f t="shared" si="111"/>
        <v>0</v>
      </c>
      <c r="X215" s="231">
        <f t="shared" si="99"/>
        <v>43.75</v>
      </c>
      <c r="Y215" s="231">
        <f t="shared" si="100"/>
        <v>51.136363636363633</v>
      </c>
      <c r="Z215" s="231">
        <f t="shared" si="108"/>
        <v>53.571428571428569</v>
      </c>
      <c r="AA215" s="231"/>
      <c r="AB215" s="231"/>
      <c r="AC215" s="231"/>
      <c r="AD215" s="230">
        <f t="shared" si="109"/>
        <v>0</v>
      </c>
      <c r="AE215" s="230">
        <f t="shared" si="117"/>
        <v>0</v>
      </c>
      <c r="AF215" s="230">
        <f t="shared" si="103"/>
        <v>0</v>
      </c>
      <c r="AG215" s="230">
        <f t="shared" si="104"/>
        <v>0</v>
      </c>
      <c r="AH215" s="230">
        <f t="shared" si="105"/>
        <v>0</v>
      </c>
      <c r="AI215" s="230">
        <f t="shared" si="110"/>
        <v>0</v>
      </c>
      <c r="AJ215" s="230">
        <f t="shared" si="106"/>
        <v>1618.75</v>
      </c>
      <c r="AK215" s="230">
        <f t="shared" si="112"/>
        <v>3375</v>
      </c>
      <c r="AL215" s="230">
        <f t="shared" si="113"/>
        <v>1607.1428571428571</v>
      </c>
      <c r="AM215" s="230">
        <f t="shared" si="114"/>
        <v>0</v>
      </c>
      <c r="AN215" s="230">
        <f t="shared" si="115"/>
        <v>0</v>
      </c>
      <c r="AO215" s="230">
        <f t="shared" si="116"/>
        <v>0</v>
      </c>
    </row>
    <row r="216" spans="1:41" x14ac:dyDescent="0.25">
      <c r="A216" s="251" t="s">
        <v>850</v>
      </c>
      <c r="B216" s="251" t="s">
        <v>35</v>
      </c>
      <c r="C216" s="251" t="s">
        <v>50</v>
      </c>
      <c r="D216" s="251" t="s">
        <v>639</v>
      </c>
      <c r="E216" s="251" t="s">
        <v>640</v>
      </c>
      <c r="F216" s="233">
        <f t="shared" si="86"/>
        <v>0</v>
      </c>
      <c r="G216" s="233">
        <f t="shared" si="87"/>
        <v>0</v>
      </c>
      <c r="H216" s="233">
        <f t="shared" si="88"/>
        <v>0</v>
      </c>
      <c r="I216" s="233">
        <f t="shared" si="89"/>
        <v>0</v>
      </c>
      <c r="J216" s="233">
        <f t="shared" si="90"/>
        <v>0</v>
      </c>
      <c r="K216" s="233">
        <f t="shared" si="91"/>
        <v>0</v>
      </c>
      <c r="L216" s="233">
        <f t="shared" si="92"/>
        <v>0</v>
      </c>
      <c r="M216" s="233">
        <f t="shared" si="93"/>
        <v>128</v>
      </c>
      <c r="N216" s="233">
        <f t="shared" si="101"/>
        <v>2</v>
      </c>
      <c r="O216" s="233">
        <f>IFERROR(VLOOKUP(A216,TOTAL_HORAS,79,FALSE),0)</f>
        <v>0</v>
      </c>
      <c r="P216" s="233"/>
      <c r="Q216" s="233"/>
      <c r="R216" s="231">
        <f t="shared" si="94"/>
        <v>19.886363636363637</v>
      </c>
      <c r="S216" s="231">
        <f t="shared" si="118"/>
        <v>21.875</v>
      </c>
      <c r="T216" s="231">
        <f t="shared" si="96"/>
        <v>19.021739130434781</v>
      </c>
      <c r="U216" s="231">
        <f t="shared" si="97"/>
        <v>24.305555555555557</v>
      </c>
      <c r="V216" s="231">
        <f t="shared" si="98"/>
        <v>21.59090909090909</v>
      </c>
      <c r="W216" s="231">
        <f t="shared" si="111"/>
        <v>22.61904761904762</v>
      </c>
      <c r="X216" s="231">
        <f t="shared" si="99"/>
        <v>23.75</v>
      </c>
      <c r="Y216" s="231">
        <f t="shared" si="100"/>
        <v>21.59090909090909</v>
      </c>
      <c r="Z216" s="231">
        <f t="shared" si="108"/>
        <v>22.61904761904762</v>
      </c>
      <c r="AA216" s="231"/>
      <c r="AB216" s="231"/>
      <c r="AC216" s="231"/>
      <c r="AD216" s="230">
        <f t="shared" si="109"/>
        <v>0</v>
      </c>
      <c r="AE216" s="230">
        <f t="shared" si="117"/>
        <v>0</v>
      </c>
      <c r="AF216" s="230">
        <f t="shared" si="103"/>
        <v>0</v>
      </c>
      <c r="AG216" s="230">
        <f t="shared" si="104"/>
        <v>0</v>
      </c>
      <c r="AH216" s="230">
        <f t="shared" si="105"/>
        <v>0</v>
      </c>
      <c r="AI216" s="230">
        <f t="shared" si="110"/>
        <v>0</v>
      </c>
      <c r="AJ216" s="230">
        <f t="shared" si="106"/>
        <v>0</v>
      </c>
      <c r="AK216" s="230">
        <f t="shared" si="112"/>
        <v>2763.6363636363635</v>
      </c>
      <c r="AL216" s="230">
        <f t="shared" si="113"/>
        <v>45.238095238095241</v>
      </c>
      <c r="AM216" s="230">
        <f t="shared" si="114"/>
        <v>0</v>
      </c>
      <c r="AN216" s="230">
        <f t="shared" si="115"/>
        <v>0</v>
      </c>
      <c r="AO216" s="230">
        <f t="shared" si="116"/>
        <v>0</v>
      </c>
    </row>
    <row r="217" spans="1:41" x14ac:dyDescent="0.25">
      <c r="A217" s="251" t="s">
        <v>976</v>
      </c>
      <c r="B217" s="251" t="s">
        <v>973</v>
      </c>
      <c r="C217" s="251" t="s">
        <v>103</v>
      </c>
      <c r="D217" s="251" t="s">
        <v>361</v>
      </c>
      <c r="E217" s="251" t="s">
        <v>362</v>
      </c>
      <c r="F217" s="233">
        <f t="shared" si="86"/>
        <v>0</v>
      </c>
      <c r="G217" s="233">
        <f t="shared" si="87"/>
        <v>0</v>
      </c>
      <c r="H217" s="233">
        <f t="shared" si="88"/>
        <v>0</v>
      </c>
      <c r="I217" s="233">
        <f t="shared" si="89"/>
        <v>0</v>
      </c>
      <c r="J217" s="233">
        <f t="shared" si="90"/>
        <v>0</v>
      </c>
      <c r="K217" s="233">
        <f t="shared" si="91"/>
        <v>0</v>
      </c>
      <c r="L217" s="233">
        <f t="shared" si="92"/>
        <v>0</v>
      </c>
      <c r="M217" s="233">
        <f t="shared" si="93"/>
        <v>24</v>
      </c>
      <c r="N217" s="233">
        <f t="shared" si="101"/>
        <v>168</v>
      </c>
      <c r="O217" s="233">
        <f>IFERROR(VLOOKUP(A217,TOTAL_HORAS,79,FALSE),0)</f>
        <v>40</v>
      </c>
      <c r="P217" s="233"/>
      <c r="Q217" s="233"/>
      <c r="R217" s="231">
        <f t="shared" si="94"/>
        <v>0</v>
      </c>
      <c r="S217" s="231">
        <f t="shared" si="118"/>
        <v>0</v>
      </c>
      <c r="T217" s="231">
        <f t="shared" si="96"/>
        <v>0</v>
      </c>
      <c r="U217" s="231">
        <f t="shared" si="97"/>
        <v>0</v>
      </c>
      <c r="V217" s="231">
        <f t="shared" si="98"/>
        <v>0</v>
      </c>
      <c r="W217" s="231">
        <f t="shared" si="111"/>
        <v>0</v>
      </c>
      <c r="X217" s="231">
        <f t="shared" si="99"/>
        <v>0</v>
      </c>
      <c r="Y217" s="231">
        <f t="shared" si="100"/>
        <v>0</v>
      </c>
      <c r="Z217" s="231">
        <f t="shared" si="108"/>
        <v>36.904761904761905</v>
      </c>
      <c r="AA217" s="231"/>
      <c r="AB217" s="231"/>
      <c r="AC217" s="231"/>
      <c r="AD217" s="230">
        <f t="shared" ref="AD217:AO220" si="119">F217*R217</f>
        <v>0</v>
      </c>
      <c r="AE217" s="230">
        <f t="shared" si="119"/>
        <v>0</v>
      </c>
      <c r="AF217" s="230">
        <f t="shared" si="119"/>
        <v>0</v>
      </c>
      <c r="AG217" s="230">
        <f t="shared" si="119"/>
        <v>0</v>
      </c>
      <c r="AH217" s="230">
        <f t="shared" si="119"/>
        <v>0</v>
      </c>
      <c r="AI217" s="230">
        <f t="shared" si="119"/>
        <v>0</v>
      </c>
      <c r="AJ217" s="230">
        <f t="shared" si="119"/>
        <v>0</v>
      </c>
      <c r="AK217" s="230">
        <f t="shared" si="119"/>
        <v>0</v>
      </c>
      <c r="AL217" s="230">
        <f t="shared" si="119"/>
        <v>6200</v>
      </c>
      <c r="AM217" s="230">
        <f t="shared" si="119"/>
        <v>0</v>
      </c>
      <c r="AN217" s="230">
        <f t="shared" si="119"/>
        <v>0</v>
      </c>
      <c r="AO217" s="230">
        <f t="shared" si="119"/>
        <v>0</v>
      </c>
    </row>
    <row r="218" spans="1:41" x14ac:dyDescent="0.25">
      <c r="A218" s="251" t="s">
        <v>879</v>
      </c>
      <c r="B218" s="251" t="s">
        <v>35</v>
      </c>
      <c r="C218" s="251" t="s">
        <v>103</v>
      </c>
      <c r="D218" s="251" t="s">
        <v>361</v>
      </c>
      <c r="E218" s="251" t="s">
        <v>362</v>
      </c>
      <c r="F218" s="233">
        <f t="shared" si="86"/>
        <v>0</v>
      </c>
      <c r="G218" s="233">
        <f t="shared" si="87"/>
        <v>0</v>
      </c>
      <c r="H218" s="233">
        <f t="shared" si="88"/>
        <v>0</v>
      </c>
      <c r="I218" s="233">
        <f t="shared" si="89"/>
        <v>0</v>
      </c>
      <c r="J218" s="233">
        <f t="shared" si="90"/>
        <v>0</v>
      </c>
      <c r="K218" s="233">
        <f t="shared" si="91"/>
        <v>0</v>
      </c>
      <c r="L218" s="233">
        <f t="shared" si="92"/>
        <v>0</v>
      </c>
      <c r="M218" s="233">
        <f t="shared" si="93"/>
        <v>48</v>
      </c>
      <c r="N218" s="233">
        <f t="shared" si="101"/>
        <v>164</v>
      </c>
      <c r="O218" s="233">
        <f>IFERROR(VLOOKUP(A218,TOTAL_HORAS,79,FALSE),0)</f>
        <v>40</v>
      </c>
      <c r="P218" s="233"/>
      <c r="Q218" s="233"/>
      <c r="R218" s="231">
        <f t="shared" si="94"/>
        <v>19.886363636363637</v>
      </c>
      <c r="S218" s="231">
        <f t="shared" si="118"/>
        <v>21.875</v>
      </c>
      <c r="T218" s="231">
        <f t="shared" si="96"/>
        <v>19.021739130434781</v>
      </c>
      <c r="U218" s="231">
        <f t="shared" si="97"/>
        <v>24.305555555555557</v>
      </c>
      <c r="V218" s="231">
        <f t="shared" si="98"/>
        <v>21.59090909090909</v>
      </c>
      <c r="W218" s="231">
        <f t="shared" si="111"/>
        <v>22.61904761904762</v>
      </c>
      <c r="X218" s="231">
        <f t="shared" si="99"/>
        <v>23.75</v>
      </c>
      <c r="Y218" s="231">
        <f t="shared" si="100"/>
        <v>21.59090909090909</v>
      </c>
      <c r="Z218" s="231">
        <f t="shared" si="108"/>
        <v>22.61904761904762</v>
      </c>
      <c r="AA218" s="231"/>
      <c r="AB218" s="231"/>
      <c r="AC218" s="231"/>
      <c r="AD218" s="230">
        <f t="shared" si="119"/>
        <v>0</v>
      </c>
      <c r="AE218" s="230">
        <f t="shared" si="119"/>
        <v>0</v>
      </c>
      <c r="AF218" s="230">
        <f t="shared" si="119"/>
        <v>0</v>
      </c>
      <c r="AG218" s="230">
        <f t="shared" si="119"/>
        <v>0</v>
      </c>
      <c r="AH218" s="230">
        <f t="shared" si="119"/>
        <v>0</v>
      </c>
      <c r="AI218" s="230">
        <f t="shared" si="119"/>
        <v>0</v>
      </c>
      <c r="AJ218" s="230">
        <f t="shared" si="119"/>
        <v>0</v>
      </c>
      <c r="AK218" s="230">
        <f t="shared" si="119"/>
        <v>1036.3636363636363</v>
      </c>
      <c r="AL218" s="230">
        <f t="shared" si="119"/>
        <v>3709.5238095238096</v>
      </c>
      <c r="AM218" s="230">
        <f t="shared" si="119"/>
        <v>0</v>
      </c>
      <c r="AN218" s="230">
        <f t="shared" si="119"/>
        <v>0</v>
      </c>
      <c r="AO218" s="230">
        <f t="shared" si="119"/>
        <v>0</v>
      </c>
    </row>
    <row r="219" spans="1:41" x14ac:dyDescent="0.25">
      <c r="A219" s="251" t="s">
        <v>969</v>
      </c>
      <c r="B219" s="251" t="s">
        <v>442</v>
      </c>
      <c r="C219" s="251" t="s">
        <v>44</v>
      </c>
      <c r="D219" s="251" t="s">
        <v>967</v>
      </c>
      <c r="E219" s="251" t="s">
        <v>968</v>
      </c>
      <c r="F219" s="233">
        <f t="shared" si="86"/>
        <v>0</v>
      </c>
      <c r="G219" s="233">
        <f t="shared" si="87"/>
        <v>0</v>
      </c>
      <c r="H219" s="233">
        <f t="shared" si="88"/>
        <v>0</v>
      </c>
      <c r="I219" s="233">
        <f t="shared" si="89"/>
        <v>0</v>
      </c>
      <c r="J219" s="233">
        <f t="shared" si="90"/>
        <v>0</v>
      </c>
      <c r="K219" s="233">
        <f t="shared" si="91"/>
        <v>0</v>
      </c>
      <c r="L219" s="233">
        <f t="shared" si="92"/>
        <v>160</v>
      </c>
      <c r="M219" s="233">
        <f t="shared" si="93"/>
        <v>176</v>
      </c>
      <c r="N219" s="233">
        <f t="shared" si="101"/>
        <v>168</v>
      </c>
      <c r="O219" s="233">
        <f>IFERROR(VLOOKUP(A219,TOTAL_HORAS,79,FALSE),0)</f>
        <v>40</v>
      </c>
      <c r="P219" s="233"/>
      <c r="Q219" s="233"/>
      <c r="R219" s="231">
        <f t="shared" si="94"/>
        <v>0</v>
      </c>
      <c r="S219" s="231">
        <f t="shared" si="118"/>
        <v>0</v>
      </c>
      <c r="T219" s="231">
        <f t="shared" si="96"/>
        <v>0</v>
      </c>
      <c r="U219" s="231">
        <f t="shared" si="97"/>
        <v>0</v>
      </c>
      <c r="V219" s="231">
        <f t="shared" si="98"/>
        <v>0</v>
      </c>
      <c r="W219" s="231">
        <f t="shared" si="111"/>
        <v>0</v>
      </c>
      <c r="X219" s="231">
        <f t="shared" si="99"/>
        <v>5.9375</v>
      </c>
      <c r="Y219" s="231">
        <f t="shared" si="100"/>
        <v>5.3977272727272725</v>
      </c>
      <c r="Z219" s="231">
        <f t="shared" si="108"/>
        <v>5.6547619047619051</v>
      </c>
      <c r="AA219" s="231"/>
      <c r="AB219" s="231"/>
      <c r="AC219" s="231"/>
      <c r="AD219" s="230">
        <f t="shared" si="119"/>
        <v>0</v>
      </c>
      <c r="AE219" s="230">
        <f t="shared" si="119"/>
        <v>0</v>
      </c>
      <c r="AF219" s="230">
        <f t="shared" si="119"/>
        <v>0</v>
      </c>
      <c r="AG219" s="230">
        <f t="shared" si="119"/>
        <v>0</v>
      </c>
      <c r="AH219" s="230">
        <f t="shared" si="119"/>
        <v>0</v>
      </c>
      <c r="AI219" s="230">
        <f t="shared" si="119"/>
        <v>0</v>
      </c>
      <c r="AJ219" s="230">
        <f t="shared" si="119"/>
        <v>950</v>
      </c>
      <c r="AK219" s="230">
        <f t="shared" si="119"/>
        <v>950</v>
      </c>
      <c r="AL219" s="230">
        <f t="shared" si="119"/>
        <v>950</v>
      </c>
      <c r="AM219" s="230">
        <f t="shared" si="119"/>
        <v>0</v>
      </c>
      <c r="AN219" s="230">
        <f t="shared" si="119"/>
        <v>0</v>
      </c>
      <c r="AO219" s="230">
        <f t="shared" si="119"/>
        <v>0</v>
      </c>
    </row>
    <row r="220" spans="1:41" x14ac:dyDescent="0.25">
      <c r="A220" s="251" t="s">
        <v>851</v>
      </c>
      <c r="B220" s="251" t="s">
        <v>426</v>
      </c>
      <c r="C220" s="251" t="s">
        <v>209</v>
      </c>
      <c r="D220" s="251" t="s">
        <v>209</v>
      </c>
      <c r="E220" s="251" t="s">
        <v>243</v>
      </c>
      <c r="F220" s="233">
        <f t="shared" si="86"/>
        <v>40</v>
      </c>
      <c r="G220" s="233">
        <f t="shared" si="87"/>
        <v>0</v>
      </c>
      <c r="H220" s="233">
        <f t="shared" si="88"/>
        <v>0</v>
      </c>
      <c r="I220" s="233">
        <f t="shared" si="89"/>
        <v>0</v>
      </c>
      <c r="J220" s="233">
        <f t="shared" si="90"/>
        <v>0</v>
      </c>
      <c r="K220" s="233">
        <f t="shared" si="91"/>
        <v>0</v>
      </c>
      <c r="L220" s="233">
        <f t="shared" si="92"/>
        <v>0</v>
      </c>
      <c r="M220" s="233">
        <f t="shared" si="93"/>
        <v>0</v>
      </c>
      <c r="N220" s="233">
        <f t="shared" si="101"/>
        <v>0</v>
      </c>
      <c r="O220" s="233">
        <f>IFERROR(VLOOKUP(A220,TOTAL_HORAS,79,FALSE),0)</f>
        <v>0</v>
      </c>
      <c r="P220" s="233"/>
      <c r="Q220" s="233"/>
      <c r="R220" s="231">
        <f t="shared" si="94"/>
        <v>46.875</v>
      </c>
      <c r="S220" s="231">
        <f t="shared" si="118"/>
        <v>0</v>
      </c>
      <c r="T220" s="231">
        <f t="shared" si="96"/>
        <v>0</v>
      </c>
      <c r="U220" s="231">
        <f t="shared" si="97"/>
        <v>0</v>
      </c>
      <c r="V220" s="231">
        <f t="shared" si="98"/>
        <v>0</v>
      </c>
      <c r="W220" s="231">
        <f t="shared" si="111"/>
        <v>0</v>
      </c>
      <c r="X220" s="231">
        <f t="shared" si="99"/>
        <v>0</v>
      </c>
      <c r="Y220" s="231">
        <f t="shared" si="100"/>
        <v>0</v>
      </c>
      <c r="Z220" s="231">
        <f t="shared" si="108"/>
        <v>0</v>
      </c>
      <c r="AA220" s="231"/>
      <c r="AB220" s="231"/>
      <c r="AC220" s="231"/>
      <c r="AD220" s="230">
        <f t="shared" si="119"/>
        <v>1875</v>
      </c>
      <c r="AE220" s="230">
        <f t="shared" si="119"/>
        <v>0</v>
      </c>
      <c r="AF220" s="230">
        <f t="shared" si="119"/>
        <v>0</v>
      </c>
      <c r="AG220" s="230">
        <f t="shared" si="119"/>
        <v>0</v>
      </c>
      <c r="AH220" s="230">
        <f t="shared" si="119"/>
        <v>0</v>
      </c>
      <c r="AI220" s="230">
        <f t="shared" si="119"/>
        <v>0</v>
      </c>
      <c r="AJ220" s="230">
        <f t="shared" si="119"/>
        <v>0</v>
      </c>
      <c r="AK220" s="230">
        <f t="shared" si="119"/>
        <v>0</v>
      </c>
      <c r="AL220" s="230">
        <f t="shared" si="119"/>
        <v>0</v>
      </c>
      <c r="AM220" s="230">
        <f t="shared" si="119"/>
        <v>0</v>
      </c>
      <c r="AN220" s="230">
        <f t="shared" si="119"/>
        <v>0</v>
      </c>
      <c r="AO220" s="230">
        <f t="shared" si="119"/>
        <v>0</v>
      </c>
    </row>
    <row r="221" spans="1:41" x14ac:dyDescent="0.25">
      <c r="A221" s="251" t="s">
        <v>852</v>
      </c>
      <c r="B221" s="251" t="s">
        <v>426</v>
      </c>
      <c r="C221" s="251" t="s">
        <v>44</v>
      </c>
      <c r="D221" s="251" t="s">
        <v>42</v>
      </c>
      <c r="E221" s="251" t="s">
        <v>304</v>
      </c>
      <c r="F221" s="233">
        <f t="shared" si="86"/>
        <v>136</v>
      </c>
      <c r="G221" s="233">
        <f t="shared" si="87"/>
        <v>0</v>
      </c>
      <c r="H221" s="233">
        <f t="shared" si="88"/>
        <v>0</v>
      </c>
      <c r="I221" s="233">
        <f t="shared" ref="I221:I228" si="120">IFERROR(VLOOKUP(A221,TOTAL_HORAS,73,FALSE),0)</f>
        <v>0</v>
      </c>
      <c r="J221" s="233">
        <f t="shared" si="90"/>
        <v>0</v>
      </c>
      <c r="K221" s="233">
        <f t="shared" si="91"/>
        <v>0</v>
      </c>
      <c r="L221" s="233">
        <f t="shared" si="92"/>
        <v>0</v>
      </c>
      <c r="M221" s="233">
        <f t="shared" si="93"/>
        <v>0</v>
      </c>
      <c r="N221" s="233">
        <f t="shared" si="101"/>
        <v>0</v>
      </c>
      <c r="O221" s="233">
        <f>IFERROR(VLOOKUP(A221,TOTAL_HORAS,79,FALSE),0)</f>
        <v>0</v>
      </c>
      <c r="P221" s="233"/>
      <c r="Q221" s="233"/>
      <c r="R221" s="231">
        <f t="shared" si="94"/>
        <v>46.875</v>
      </c>
      <c r="S221" s="231">
        <f t="shared" si="118"/>
        <v>0</v>
      </c>
      <c r="T221" s="231">
        <f t="shared" si="96"/>
        <v>0</v>
      </c>
      <c r="U221" s="231">
        <f t="shared" si="97"/>
        <v>0</v>
      </c>
      <c r="V221" s="231">
        <f t="shared" si="98"/>
        <v>0</v>
      </c>
      <c r="W221" s="231">
        <f t="shared" si="111"/>
        <v>0</v>
      </c>
      <c r="X221" s="231">
        <f t="shared" si="99"/>
        <v>0</v>
      </c>
      <c r="Y221" s="231">
        <f t="shared" si="100"/>
        <v>0</v>
      </c>
      <c r="Z221" s="231">
        <f t="shared" si="108"/>
        <v>0</v>
      </c>
      <c r="AA221" s="231"/>
      <c r="AB221" s="231"/>
      <c r="AC221" s="231"/>
      <c r="AD221" s="230">
        <f t="shared" ref="AD221:AO222" si="121">F221*R221</f>
        <v>6375</v>
      </c>
      <c r="AE221" s="230">
        <f t="shared" si="121"/>
        <v>0</v>
      </c>
      <c r="AF221" s="230">
        <f t="shared" si="121"/>
        <v>0</v>
      </c>
      <c r="AG221" s="230">
        <f t="shared" si="121"/>
        <v>0</v>
      </c>
      <c r="AH221" s="230">
        <f t="shared" si="121"/>
        <v>0</v>
      </c>
      <c r="AI221" s="230">
        <f t="shared" si="121"/>
        <v>0</v>
      </c>
      <c r="AJ221" s="230">
        <f t="shared" si="121"/>
        <v>0</v>
      </c>
      <c r="AK221" s="230">
        <f t="shared" si="121"/>
        <v>0</v>
      </c>
      <c r="AL221" s="230">
        <f t="shared" si="121"/>
        <v>0</v>
      </c>
      <c r="AM221" s="230">
        <f t="shared" si="121"/>
        <v>0</v>
      </c>
      <c r="AN221" s="230">
        <f t="shared" si="121"/>
        <v>0</v>
      </c>
      <c r="AO221" s="230">
        <f t="shared" si="121"/>
        <v>0</v>
      </c>
    </row>
    <row r="222" spans="1:41" x14ac:dyDescent="0.25">
      <c r="A222" s="251" t="s">
        <v>932</v>
      </c>
      <c r="B222" s="251" t="s">
        <v>195</v>
      </c>
      <c r="C222" s="251" t="s">
        <v>50</v>
      </c>
      <c r="D222" s="251" t="s">
        <v>930</v>
      </c>
      <c r="E222" s="251" t="s">
        <v>409</v>
      </c>
      <c r="F222" s="233">
        <f t="shared" si="86"/>
        <v>0</v>
      </c>
      <c r="G222" s="233">
        <f t="shared" si="87"/>
        <v>0</v>
      </c>
      <c r="H222" s="233">
        <f t="shared" si="88"/>
        <v>0</v>
      </c>
      <c r="I222" s="233">
        <f t="shared" si="120"/>
        <v>0</v>
      </c>
      <c r="J222" s="233">
        <f t="shared" si="90"/>
        <v>96</v>
      </c>
      <c r="K222" s="233">
        <f t="shared" si="91"/>
        <v>168</v>
      </c>
      <c r="L222" s="233">
        <f t="shared" si="92"/>
        <v>160</v>
      </c>
      <c r="M222" s="233">
        <f t="shared" si="93"/>
        <v>176</v>
      </c>
      <c r="N222" s="233">
        <f t="shared" si="101"/>
        <v>168</v>
      </c>
      <c r="O222" s="233">
        <f>IFERROR(VLOOKUP(A222,TOTAL_HORAS,79,FALSE),0)</f>
        <v>0</v>
      </c>
      <c r="P222" s="233"/>
      <c r="Q222" s="233"/>
      <c r="R222" s="231">
        <f t="shared" si="94"/>
        <v>0</v>
      </c>
      <c r="S222" s="231">
        <f t="shared" si="118"/>
        <v>0</v>
      </c>
      <c r="T222" s="231">
        <f t="shared" si="96"/>
        <v>0</v>
      </c>
      <c r="U222" s="231">
        <f t="shared" si="97"/>
        <v>0</v>
      </c>
      <c r="V222" s="231">
        <f t="shared" si="98"/>
        <v>34.090909090909093</v>
      </c>
      <c r="W222" s="231">
        <f t="shared" si="111"/>
        <v>35.714285714285715</v>
      </c>
      <c r="X222" s="231">
        <f t="shared" si="99"/>
        <v>37.5</v>
      </c>
      <c r="Y222" s="231">
        <f t="shared" si="100"/>
        <v>34.573863636363633</v>
      </c>
      <c r="Z222" s="231">
        <f t="shared" si="108"/>
        <v>35.714285714285715</v>
      </c>
      <c r="AA222" s="231"/>
      <c r="AB222" s="231"/>
      <c r="AC222" s="231"/>
      <c r="AD222" s="230">
        <f t="shared" si="121"/>
        <v>0</v>
      </c>
      <c r="AE222" s="230">
        <f t="shared" si="121"/>
        <v>0</v>
      </c>
      <c r="AF222" s="230">
        <f t="shared" si="121"/>
        <v>0</v>
      </c>
      <c r="AG222" s="230">
        <f t="shared" si="121"/>
        <v>0</v>
      </c>
      <c r="AH222" s="230">
        <f t="shared" si="121"/>
        <v>3272.727272727273</v>
      </c>
      <c r="AI222" s="230">
        <f t="shared" si="121"/>
        <v>6000</v>
      </c>
      <c r="AJ222" s="230">
        <f t="shared" si="121"/>
        <v>6000</v>
      </c>
      <c r="AK222" s="230">
        <f t="shared" si="121"/>
        <v>6084.9999999999991</v>
      </c>
      <c r="AL222" s="230">
        <f t="shared" si="121"/>
        <v>6000</v>
      </c>
      <c r="AM222" s="230">
        <f t="shared" si="121"/>
        <v>0</v>
      </c>
      <c r="AN222" s="230">
        <f t="shared" si="121"/>
        <v>0</v>
      </c>
      <c r="AO222" s="230">
        <f t="shared" si="121"/>
        <v>0</v>
      </c>
    </row>
    <row r="223" spans="1:41" x14ac:dyDescent="0.25">
      <c r="A223" s="251" t="s">
        <v>853</v>
      </c>
      <c r="B223" s="251" t="s">
        <v>200</v>
      </c>
      <c r="C223" s="251" t="s">
        <v>45</v>
      </c>
      <c r="D223" s="251" t="s">
        <v>51</v>
      </c>
      <c r="E223" s="251" t="s">
        <v>122</v>
      </c>
      <c r="F223" s="233">
        <f t="shared" si="86"/>
        <v>0</v>
      </c>
      <c r="G223" s="233">
        <f t="shared" si="87"/>
        <v>0</v>
      </c>
      <c r="H223" s="233">
        <f t="shared" si="88"/>
        <v>0</v>
      </c>
      <c r="I223" s="233">
        <f t="shared" si="120"/>
        <v>0</v>
      </c>
      <c r="J223" s="233">
        <f t="shared" si="90"/>
        <v>0</v>
      </c>
      <c r="K223" s="233">
        <f t="shared" si="91"/>
        <v>120</v>
      </c>
      <c r="L223" s="233">
        <f t="shared" si="92"/>
        <v>0</v>
      </c>
      <c r="M223" s="233">
        <f t="shared" si="93"/>
        <v>0</v>
      </c>
      <c r="N223" s="233">
        <f t="shared" si="101"/>
        <v>0</v>
      </c>
      <c r="O223" s="233">
        <f>IFERROR(VLOOKUP(A223,TOTAL_HORAS,79,FALSE),0)</f>
        <v>0</v>
      </c>
      <c r="P223" s="233"/>
      <c r="Q223" s="233"/>
      <c r="R223" s="231">
        <f t="shared" si="94"/>
        <v>0</v>
      </c>
      <c r="S223" s="231">
        <f t="shared" si="118"/>
        <v>0</v>
      </c>
      <c r="T223" s="231">
        <f t="shared" ref="T223:T237" si="122">IFERROR(VLOOKUP(B223,MATRIZ_MARZO,2,FALSE),0)</f>
        <v>0</v>
      </c>
      <c r="U223" s="231">
        <f t="shared" si="97"/>
        <v>0</v>
      </c>
      <c r="V223" s="231">
        <f t="shared" si="98"/>
        <v>0</v>
      </c>
      <c r="W223" s="231">
        <f t="shared" si="111"/>
        <v>0</v>
      </c>
      <c r="X223" s="231">
        <f t="shared" si="99"/>
        <v>0</v>
      </c>
      <c r="Y223" s="231">
        <f t="shared" si="100"/>
        <v>0</v>
      </c>
      <c r="Z223" s="231">
        <f t="shared" si="108"/>
        <v>0</v>
      </c>
      <c r="AA223" s="231"/>
      <c r="AB223" s="231"/>
      <c r="AC223" s="231"/>
      <c r="AD223" s="230">
        <f t="shared" ref="AD223:AO223" si="123">F223*R223</f>
        <v>0</v>
      </c>
      <c r="AE223" s="230">
        <f t="shared" si="123"/>
        <v>0</v>
      </c>
      <c r="AF223" s="230">
        <f t="shared" ref="AF223:AF229" si="124">H223*T223</f>
        <v>0</v>
      </c>
      <c r="AG223" s="230">
        <f t="shared" si="123"/>
        <v>0</v>
      </c>
      <c r="AH223" s="230">
        <f t="shared" si="123"/>
        <v>0</v>
      </c>
      <c r="AI223" s="230">
        <f t="shared" si="123"/>
        <v>0</v>
      </c>
      <c r="AJ223" s="230">
        <f t="shared" si="123"/>
        <v>0</v>
      </c>
      <c r="AK223" s="230">
        <f t="shared" si="123"/>
        <v>0</v>
      </c>
      <c r="AL223" s="230">
        <f t="shared" si="123"/>
        <v>0</v>
      </c>
      <c r="AM223" s="230">
        <f t="shared" si="123"/>
        <v>0</v>
      </c>
      <c r="AN223" s="230">
        <f t="shared" si="123"/>
        <v>0</v>
      </c>
      <c r="AO223" s="230">
        <f t="shared" si="123"/>
        <v>0</v>
      </c>
    </row>
    <row r="224" spans="1:41" s="475" customFormat="1" x14ac:dyDescent="0.25">
      <c r="A224" s="251" t="s">
        <v>963</v>
      </c>
      <c r="B224" s="251" t="s">
        <v>29</v>
      </c>
      <c r="C224" s="251" t="s">
        <v>855</v>
      </c>
      <c r="D224" s="251" t="s">
        <v>855</v>
      </c>
      <c r="E224" s="251" t="s">
        <v>856</v>
      </c>
      <c r="F224" s="233">
        <f t="shared" si="86"/>
        <v>0</v>
      </c>
      <c r="G224" s="233">
        <f t="shared" si="87"/>
        <v>0</v>
      </c>
      <c r="H224" s="233">
        <f t="shared" si="88"/>
        <v>0</v>
      </c>
      <c r="I224" s="233">
        <f t="shared" si="120"/>
        <v>0</v>
      </c>
      <c r="J224" s="233">
        <f t="shared" si="90"/>
        <v>0</v>
      </c>
      <c r="K224" s="233">
        <f t="shared" si="91"/>
        <v>0</v>
      </c>
      <c r="L224" s="233">
        <f t="shared" si="92"/>
        <v>0</v>
      </c>
      <c r="M224" s="233">
        <f t="shared" si="93"/>
        <v>0</v>
      </c>
      <c r="N224" s="233">
        <f t="shared" si="101"/>
        <v>8</v>
      </c>
      <c r="O224" s="233">
        <f>IFERROR(VLOOKUP(A224,TOTAL_HORAS,79,FALSE),0)</f>
        <v>0</v>
      </c>
      <c r="P224" s="233"/>
      <c r="Q224" s="233"/>
      <c r="R224" s="231">
        <f t="shared" ref="R224:R237" si="125">IFERROR(VLOOKUP(B224,MATRIZ_ENERO,2,FALSE),0)</f>
        <v>27.272727272727273</v>
      </c>
      <c r="S224" s="231">
        <f t="shared" ref="S224:S237" si="126">IFERROR(VLOOKUP(B224,MATRIZ_FEB,2,FALSE),0)</f>
        <v>30</v>
      </c>
      <c r="T224" s="231">
        <f t="shared" si="122"/>
        <v>26.086956521739129</v>
      </c>
      <c r="U224" s="231">
        <f t="shared" si="97"/>
        <v>37.5</v>
      </c>
      <c r="V224" s="231">
        <f t="shared" si="98"/>
        <v>30.681818181818183</v>
      </c>
      <c r="W224" s="231">
        <f t="shared" si="111"/>
        <v>32.142857142857146</v>
      </c>
      <c r="X224" s="231">
        <f t="shared" si="99"/>
        <v>33.75</v>
      </c>
      <c r="Y224" s="231">
        <f t="shared" si="100"/>
        <v>30.681818181818183</v>
      </c>
      <c r="Z224" s="231">
        <f t="shared" si="108"/>
        <v>32.142857142857146</v>
      </c>
      <c r="AA224" s="231"/>
      <c r="AB224" s="231"/>
      <c r="AC224" s="231"/>
      <c r="AD224" s="230">
        <f t="shared" ref="AD224:AE226" si="127">F224*R224</f>
        <v>0</v>
      </c>
      <c r="AE224" s="230">
        <f t="shared" si="127"/>
        <v>0</v>
      </c>
      <c r="AF224" s="230">
        <f t="shared" si="124"/>
        <v>0</v>
      </c>
      <c r="AG224" s="230">
        <f t="shared" ref="AG224" si="128">I224*U224</f>
        <v>0</v>
      </c>
      <c r="AH224" s="230">
        <f t="shared" ref="AH224" si="129">J224*V224</f>
        <v>0</v>
      </c>
      <c r="AI224" s="230">
        <f t="shared" ref="AI224" si="130">K224*W224</f>
        <v>0</v>
      </c>
      <c r="AJ224" s="230">
        <f t="shared" ref="AJ224" si="131">L224*X224</f>
        <v>0</v>
      </c>
      <c r="AK224" s="230">
        <f t="shared" ref="AK224" si="132">M224*Y224</f>
        <v>0</v>
      </c>
      <c r="AL224" s="230">
        <f t="shared" ref="AL224" si="133">N224*Z224</f>
        <v>257.14285714285717</v>
      </c>
      <c r="AM224" s="230">
        <f t="shared" ref="AM224" si="134">O224*AA224</f>
        <v>0</v>
      </c>
      <c r="AN224" s="230">
        <f t="shared" ref="AN224" si="135">P224*AB224</f>
        <v>0</v>
      </c>
      <c r="AO224" s="230">
        <f t="shared" ref="AO224" si="136">Q224*AC224</f>
        <v>0</v>
      </c>
    </row>
    <row r="225" spans="1:41" x14ac:dyDescent="0.25">
      <c r="A225" s="251" t="s">
        <v>964</v>
      </c>
      <c r="B225" s="251" t="s">
        <v>34</v>
      </c>
      <c r="C225" s="251" t="s">
        <v>855</v>
      </c>
      <c r="D225" s="251" t="s">
        <v>855</v>
      </c>
      <c r="E225" s="251" t="s">
        <v>856</v>
      </c>
      <c r="F225" s="233">
        <f t="shared" si="86"/>
        <v>0</v>
      </c>
      <c r="G225" s="233">
        <f t="shared" si="87"/>
        <v>0</v>
      </c>
      <c r="H225" s="233">
        <f t="shared" si="88"/>
        <v>0</v>
      </c>
      <c r="I225" s="233">
        <f t="shared" si="120"/>
        <v>0</v>
      </c>
      <c r="J225" s="233">
        <f t="shared" si="90"/>
        <v>0</v>
      </c>
      <c r="K225" s="233">
        <f t="shared" si="91"/>
        <v>0</v>
      </c>
      <c r="L225" s="233">
        <f t="shared" si="92"/>
        <v>0</v>
      </c>
      <c r="M225" s="233">
        <f t="shared" si="93"/>
        <v>0</v>
      </c>
      <c r="N225" s="233">
        <f t="shared" si="101"/>
        <v>8</v>
      </c>
      <c r="O225" s="233">
        <f>IFERROR(VLOOKUP(A225,TOTAL_HORAS,79,FALSE),0)</f>
        <v>0</v>
      </c>
      <c r="P225" s="233"/>
      <c r="Q225" s="233"/>
      <c r="R225" s="231">
        <f t="shared" si="125"/>
        <v>53.977272727272727</v>
      </c>
      <c r="S225" s="231">
        <f t="shared" si="126"/>
        <v>59.375</v>
      </c>
      <c r="T225" s="231">
        <f t="shared" si="122"/>
        <v>51.630434782608695</v>
      </c>
      <c r="U225" s="231">
        <f t="shared" si="97"/>
        <v>65.972222222222229</v>
      </c>
      <c r="V225" s="231">
        <f t="shared" si="98"/>
        <v>53.977272727272727</v>
      </c>
      <c r="W225" s="231">
        <f t="shared" si="111"/>
        <v>56.547619047619051</v>
      </c>
      <c r="X225" s="231">
        <f t="shared" si="99"/>
        <v>59.375</v>
      </c>
      <c r="Y225" s="231">
        <f t="shared" si="100"/>
        <v>53.977272727272727</v>
      </c>
      <c r="Z225" s="231">
        <f t="shared" si="108"/>
        <v>56.547619047619051</v>
      </c>
      <c r="AA225" s="231"/>
      <c r="AB225" s="231"/>
      <c r="AC225" s="231"/>
      <c r="AD225" s="230">
        <f t="shared" si="127"/>
        <v>0</v>
      </c>
      <c r="AE225" s="230">
        <f t="shared" si="127"/>
        <v>0</v>
      </c>
      <c r="AF225" s="230">
        <f t="shared" si="124"/>
        <v>0</v>
      </c>
      <c r="AG225" s="230">
        <f t="shared" ref="AG225" si="137">I225*U225</f>
        <v>0</v>
      </c>
      <c r="AH225" s="230">
        <f t="shared" ref="AH225" si="138">J225*V225</f>
        <v>0</v>
      </c>
      <c r="AI225" s="230">
        <f t="shared" ref="AI225" si="139">K225*W225</f>
        <v>0</v>
      </c>
      <c r="AJ225" s="230">
        <f t="shared" ref="AJ225" si="140">L225*X225</f>
        <v>0</v>
      </c>
      <c r="AK225" s="230">
        <f t="shared" ref="AK225" si="141">M225*Y225</f>
        <v>0</v>
      </c>
      <c r="AL225" s="230">
        <f t="shared" ref="AL225" si="142">N225*Z225</f>
        <v>452.38095238095241</v>
      </c>
      <c r="AM225" s="230">
        <f t="shared" ref="AM225" si="143">O225*AA225</f>
        <v>0</v>
      </c>
      <c r="AN225" s="230">
        <f t="shared" ref="AN225" si="144">P225*AB225</f>
        <v>0</v>
      </c>
      <c r="AO225" s="230">
        <f t="shared" ref="AO225" si="145">Q225*AC225</f>
        <v>0</v>
      </c>
    </row>
    <row r="226" spans="1:41" x14ac:dyDescent="0.25">
      <c r="A226" s="251" t="s">
        <v>975</v>
      </c>
      <c r="B226" s="251" t="s">
        <v>974</v>
      </c>
      <c r="C226" s="251" t="s">
        <v>103</v>
      </c>
      <c r="D226" s="251" t="s">
        <v>361</v>
      </c>
      <c r="E226" s="251" t="s">
        <v>362</v>
      </c>
      <c r="F226" s="233">
        <f t="shared" si="86"/>
        <v>0</v>
      </c>
      <c r="G226" s="233">
        <f t="shared" si="87"/>
        <v>0</v>
      </c>
      <c r="H226" s="233">
        <f t="shared" si="88"/>
        <v>0</v>
      </c>
      <c r="I226" s="233">
        <f t="shared" si="120"/>
        <v>0</v>
      </c>
      <c r="J226" s="233">
        <f t="shared" si="90"/>
        <v>0</v>
      </c>
      <c r="K226" s="233">
        <f t="shared" si="91"/>
        <v>0</v>
      </c>
      <c r="L226" s="233">
        <f t="shared" si="92"/>
        <v>0</v>
      </c>
      <c r="M226" s="233">
        <f t="shared" si="93"/>
        <v>0</v>
      </c>
      <c r="N226" s="233">
        <f t="shared" si="101"/>
        <v>120</v>
      </c>
      <c r="O226" s="233">
        <f>IFERROR(VLOOKUP(A226,TOTAL_HORAS,79,FALSE),0)</f>
        <v>40</v>
      </c>
      <c r="P226" s="233"/>
      <c r="Q226" s="233"/>
      <c r="R226" s="231">
        <f t="shared" si="125"/>
        <v>0</v>
      </c>
      <c r="S226" s="231">
        <f t="shared" si="126"/>
        <v>0</v>
      </c>
      <c r="T226" s="231">
        <f t="shared" si="122"/>
        <v>0</v>
      </c>
      <c r="U226" s="231">
        <f t="shared" si="97"/>
        <v>0</v>
      </c>
      <c r="V226" s="231">
        <f t="shared" si="98"/>
        <v>0</v>
      </c>
      <c r="W226" s="231">
        <f t="shared" si="111"/>
        <v>0</v>
      </c>
      <c r="X226" s="231">
        <f t="shared" si="99"/>
        <v>0</v>
      </c>
      <c r="Y226" s="231">
        <f t="shared" si="100"/>
        <v>0</v>
      </c>
      <c r="Z226" s="231">
        <f t="shared" si="108"/>
        <v>26.785714285714285</v>
      </c>
      <c r="AA226" s="231"/>
      <c r="AB226" s="231"/>
      <c r="AC226" s="231"/>
      <c r="AD226" s="230">
        <f t="shared" si="127"/>
        <v>0</v>
      </c>
      <c r="AE226" s="230">
        <f t="shared" si="127"/>
        <v>0</v>
      </c>
      <c r="AF226" s="230">
        <f t="shared" si="124"/>
        <v>0</v>
      </c>
      <c r="AG226" s="230">
        <f t="shared" ref="AG226" si="146">I226*U226</f>
        <v>0</v>
      </c>
      <c r="AH226" s="230">
        <f t="shared" ref="AH226" si="147">J226*V226</f>
        <v>0</v>
      </c>
      <c r="AI226" s="230">
        <f t="shared" ref="AI226" si="148">K226*W226</f>
        <v>0</v>
      </c>
      <c r="AJ226" s="230">
        <f t="shared" ref="AJ226" si="149">L226*X226</f>
        <v>0</v>
      </c>
      <c r="AK226" s="230">
        <f t="shared" ref="AK226" si="150">M226*Y226</f>
        <v>0</v>
      </c>
      <c r="AL226" s="230">
        <f t="shared" ref="AL226" si="151">N226*Z226</f>
        <v>3214.2857142857142</v>
      </c>
      <c r="AM226" s="230">
        <f t="shared" ref="AM226" si="152">O226*AA226</f>
        <v>0</v>
      </c>
      <c r="AN226" s="230">
        <f t="shared" ref="AN226" si="153">P226*AB226</f>
        <v>0</v>
      </c>
      <c r="AO226" s="230">
        <f t="shared" ref="AO226" si="154">Q226*AC226</f>
        <v>0</v>
      </c>
    </row>
    <row r="227" spans="1:41" x14ac:dyDescent="0.25">
      <c r="A227" s="251" t="s">
        <v>965</v>
      </c>
      <c r="B227" s="251" t="s">
        <v>944</v>
      </c>
      <c r="C227" s="251" t="s">
        <v>103</v>
      </c>
      <c r="D227" s="251" t="s">
        <v>562</v>
      </c>
      <c r="E227" s="251" t="s">
        <v>563</v>
      </c>
      <c r="F227" s="233">
        <f t="shared" si="86"/>
        <v>0</v>
      </c>
      <c r="G227" s="233">
        <f t="shared" si="87"/>
        <v>0</v>
      </c>
      <c r="H227" s="233">
        <f t="shared" si="88"/>
        <v>0</v>
      </c>
      <c r="I227" s="233">
        <f t="shared" si="120"/>
        <v>0</v>
      </c>
      <c r="J227" s="233">
        <f t="shared" si="90"/>
        <v>0</v>
      </c>
      <c r="K227" s="233">
        <f t="shared" si="91"/>
        <v>0</v>
      </c>
      <c r="L227" s="233">
        <f t="shared" si="92"/>
        <v>0</v>
      </c>
      <c r="M227" s="233">
        <f t="shared" si="93"/>
        <v>0</v>
      </c>
      <c r="N227" s="233">
        <f t="shared" si="101"/>
        <v>4</v>
      </c>
      <c r="O227" s="233">
        <f>IFERROR(VLOOKUP(A227,TOTAL_HORAS,79,FALSE),0)</f>
        <v>0</v>
      </c>
      <c r="P227" s="233"/>
      <c r="Q227" s="233"/>
      <c r="R227" s="231">
        <f t="shared" si="125"/>
        <v>0</v>
      </c>
      <c r="S227" s="231">
        <f t="shared" si="126"/>
        <v>0</v>
      </c>
      <c r="T227" s="231">
        <f t="shared" si="122"/>
        <v>0</v>
      </c>
      <c r="U227" s="231">
        <f t="shared" si="97"/>
        <v>0</v>
      </c>
      <c r="V227" s="231">
        <f t="shared" si="98"/>
        <v>0</v>
      </c>
      <c r="W227" s="231">
        <f t="shared" si="111"/>
        <v>0</v>
      </c>
      <c r="X227" s="231">
        <f t="shared" si="99"/>
        <v>0</v>
      </c>
      <c r="Y227" s="231">
        <f t="shared" si="100"/>
        <v>0</v>
      </c>
      <c r="Z227" s="231">
        <f t="shared" si="108"/>
        <v>22.61904761904762</v>
      </c>
      <c r="AA227" s="231"/>
      <c r="AB227" s="231"/>
      <c r="AC227" s="231"/>
      <c r="AD227" s="230">
        <f t="shared" ref="AD227:AD228" si="155">F227*R227</f>
        <v>0</v>
      </c>
      <c r="AE227" s="230">
        <f t="shared" ref="AE227:AE228" si="156">G227*S227</f>
        <v>0</v>
      </c>
      <c r="AF227" s="230">
        <f t="shared" si="124"/>
        <v>0</v>
      </c>
      <c r="AG227" s="230">
        <f t="shared" ref="AG227:AG228" si="157">I227*U227</f>
        <v>0</v>
      </c>
      <c r="AH227" s="230">
        <f t="shared" ref="AH227:AH228" si="158">J227*V227</f>
        <v>0</v>
      </c>
      <c r="AI227" s="230">
        <f t="shared" ref="AI227:AI228" si="159">K227*W227</f>
        <v>0</v>
      </c>
      <c r="AJ227" s="230">
        <f t="shared" ref="AJ227:AJ228" si="160">L227*X227</f>
        <v>0</v>
      </c>
      <c r="AK227" s="230">
        <f t="shared" ref="AK227:AK228" si="161">M227*Y227</f>
        <v>0</v>
      </c>
      <c r="AL227" s="230">
        <f t="shared" ref="AL227:AL228" si="162">N227*Z227</f>
        <v>90.476190476190482</v>
      </c>
      <c r="AM227" s="230">
        <f t="shared" ref="AM227:AM228" si="163">O227*AA227</f>
        <v>0</v>
      </c>
      <c r="AN227" s="230">
        <f t="shared" ref="AN227:AN228" si="164">P227*AB227</f>
        <v>0</v>
      </c>
      <c r="AO227" s="230">
        <f t="shared" ref="AO227:AO228" si="165">Q227*AC227</f>
        <v>0</v>
      </c>
    </row>
    <row r="228" spans="1:41" x14ac:dyDescent="0.25">
      <c r="A228" s="251" t="s">
        <v>971</v>
      </c>
      <c r="B228" s="251" t="s">
        <v>944</v>
      </c>
      <c r="C228" s="251" t="s">
        <v>907</v>
      </c>
      <c r="D228" s="251" t="s">
        <v>967</v>
      </c>
      <c r="E228" s="251" t="s">
        <v>968</v>
      </c>
      <c r="F228" s="233">
        <f t="shared" si="86"/>
        <v>0</v>
      </c>
      <c r="G228" s="233">
        <f t="shared" si="87"/>
        <v>0</v>
      </c>
      <c r="H228" s="233">
        <f t="shared" si="88"/>
        <v>0</v>
      </c>
      <c r="I228" s="233">
        <f t="shared" si="120"/>
        <v>0</v>
      </c>
      <c r="J228" s="233">
        <f t="shared" si="90"/>
        <v>0</v>
      </c>
      <c r="K228" s="233">
        <f t="shared" si="91"/>
        <v>0</v>
      </c>
      <c r="L228" s="233">
        <f t="shared" si="92"/>
        <v>0</v>
      </c>
      <c r="M228" s="233">
        <f t="shared" si="93"/>
        <v>0</v>
      </c>
      <c r="N228" s="233">
        <f t="shared" si="101"/>
        <v>27</v>
      </c>
      <c r="O228" s="233">
        <f>IFERROR(VLOOKUP(A228,TOTAL_HORAS,79,FALSE),0)</f>
        <v>0</v>
      </c>
      <c r="P228" s="233"/>
      <c r="Q228" s="233"/>
      <c r="R228" s="231">
        <f t="shared" si="125"/>
        <v>0</v>
      </c>
      <c r="S228" s="231">
        <f t="shared" si="126"/>
        <v>0</v>
      </c>
      <c r="T228" s="231">
        <f t="shared" si="122"/>
        <v>0</v>
      </c>
      <c r="U228" s="231">
        <f t="shared" si="97"/>
        <v>0</v>
      </c>
      <c r="V228" s="231">
        <f t="shared" si="98"/>
        <v>0</v>
      </c>
      <c r="W228" s="231">
        <f t="shared" si="111"/>
        <v>0</v>
      </c>
      <c r="X228" s="231">
        <f t="shared" si="99"/>
        <v>0</v>
      </c>
      <c r="Y228" s="231">
        <f t="shared" si="100"/>
        <v>0</v>
      </c>
      <c r="Z228" s="231">
        <f t="shared" si="108"/>
        <v>22.61904761904762</v>
      </c>
      <c r="AA228" s="231"/>
      <c r="AB228" s="231"/>
      <c r="AC228" s="231"/>
      <c r="AD228" s="230">
        <f t="shared" si="155"/>
        <v>0</v>
      </c>
      <c r="AE228" s="230">
        <f t="shared" si="156"/>
        <v>0</v>
      </c>
      <c r="AF228" s="230">
        <f t="shared" si="124"/>
        <v>0</v>
      </c>
      <c r="AG228" s="230">
        <f t="shared" si="157"/>
        <v>0</v>
      </c>
      <c r="AH228" s="230">
        <f t="shared" si="158"/>
        <v>0</v>
      </c>
      <c r="AI228" s="230">
        <f t="shared" si="159"/>
        <v>0</v>
      </c>
      <c r="AJ228" s="230">
        <f t="shared" si="160"/>
        <v>0</v>
      </c>
      <c r="AK228" s="230">
        <f t="shared" si="161"/>
        <v>0</v>
      </c>
      <c r="AL228" s="230">
        <f t="shared" si="162"/>
        <v>610.71428571428578</v>
      </c>
      <c r="AM228" s="230">
        <f t="shared" si="163"/>
        <v>0</v>
      </c>
      <c r="AN228" s="230">
        <f t="shared" si="164"/>
        <v>0</v>
      </c>
      <c r="AO228" s="230">
        <f t="shared" si="165"/>
        <v>0</v>
      </c>
    </row>
    <row r="229" spans="1:41" x14ac:dyDescent="0.25">
      <c r="A229" s="251" t="s">
        <v>966</v>
      </c>
      <c r="B229" s="251" t="s">
        <v>37</v>
      </c>
      <c r="C229" s="251" t="s">
        <v>208</v>
      </c>
      <c r="D229" s="251" t="s">
        <v>208</v>
      </c>
      <c r="E229" s="251" t="s">
        <v>210</v>
      </c>
      <c r="F229" s="233">
        <f t="shared" si="86"/>
        <v>0</v>
      </c>
      <c r="G229" s="233">
        <f t="shared" si="87"/>
        <v>0</v>
      </c>
      <c r="H229" s="233">
        <f t="shared" si="88"/>
        <v>0</v>
      </c>
      <c r="I229" s="233">
        <f>IFERROR(VLOOKUP(A229,TOTAL_HORAS,73,FALSE),0)</f>
        <v>0</v>
      </c>
      <c r="J229" s="233">
        <f t="shared" si="90"/>
        <v>0</v>
      </c>
      <c r="K229" s="233">
        <f t="shared" si="91"/>
        <v>0</v>
      </c>
      <c r="L229" s="233">
        <f t="shared" si="92"/>
        <v>0</v>
      </c>
      <c r="M229" s="233">
        <f t="shared" si="93"/>
        <v>0</v>
      </c>
      <c r="N229" s="233">
        <f t="shared" si="101"/>
        <v>8</v>
      </c>
      <c r="O229" s="233">
        <f>IFERROR(VLOOKUP(A229,TOTAL_HORAS,79,FALSE),0)</f>
        <v>0</v>
      </c>
      <c r="P229" s="233"/>
      <c r="Q229" s="233"/>
      <c r="R229" s="231">
        <f t="shared" si="125"/>
        <v>38.06818181818182</v>
      </c>
      <c r="S229" s="231">
        <f t="shared" si="126"/>
        <v>41.875</v>
      </c>
      <c r="T229" s="231">
        <f t="shared" si="122"/>
        <v>36.413043478260867</v>
      </c>
      <c r="U229" s="231">
        <f t="shared" si="97"/>
        <v>46.527777777777779</v>
      </c>
      <c r="V229" s="231">
        <f t="shared" si="98"/>
        <v>38.06818181818182</v>
      </c>
      <c r="W229" s="231">
        <f t="shared" si="111"/>
        <v>39.88095238095238</v>
      </c>
      <c r="X229" s="231">
        <f t="shared" si="99"/>
        <v>41.875</v>
      </c>
      <c r="Y229" s="231">
        <f t="shared" si="100"/>
        <v>38.06818181818182</v>
      </c>
      <c r="Z229" s="231">
        <f t="shared" si="108"/>
        <v>39.88095238095238</v>
      </c>
      <c r="AA229" s="231"/>
      <c r="AB229" s="231"/>
      <c r="AC229" s="231"/>
      <c r="AD229" s="230">
        <f t="shared" ref="AD229" si="166">F229*R229</f>
        <v>0</v>
      </c>
      <c r="AE229" s="230">
        <f t="shared" ref="AE229" si="167">G229*S229</f>
        <v>0</v>
      </c>
      <c r="AF229" s="230">
        <f t="shared" si="124"/>
        <v>0</v>
      </c>
      <c r="AG229" s="230">
        <f>I229*U229</f>
        <v>0</v>
      </c>
      <c r="AH229" s="230">
        <f t="shared" ref="AH229" si="168">J229*V229</f>
        <v>0</v>
      </c>
      <c r="AI229" s="230">
        <f t="shared" ref="AI229" si="169">K229*W229</f>
        <v>0</v>
      </c>
      <c r="AJ229" s="230">
        <f t="shared" ref="AJ229" si="170">L229*X229</f>
        <v>0</v>
      </c>
      <c r="AK229" s="230">
        <f t="shared" ref="AK229" si="171">M229*Y229</f>
        <v>0</v>
      </c>
      <c r="AL229" s="230">
        <f t="shared" ref="AL229" si="172">N229*Z229</f>
        <v>319.04761904761904</v>
      </c>
      <c r="AM229" s="230">
        <f t="shared" ref="AM229" si="173">O229*AA229</f>
        <v>0</v>
      </c>
      <c r="AN229" s="230">
        <f t="shared" ref="AN229" si="174">P229*AB229</f>
        <v>0</v>
      </c>
      <c r="AO229" s="230">
        <f t="shared" ref="AO229" si="175">Q229*AC229</f>
        <v>0</v>
      </c>
    </row>
    <row r="230" spans="1:41" x14ac:dyDescent="0.25">
      <c r="A230" s="251" t="s">
        <v>977</v>
      </c>
      <c r="B230" s="251" t="s">
        <v>972</v>
      </c>
      <c r="C230" s="251" t="s">
        <v>86</v>
      </c>
      <c r="D230" s="251" t="s">
        <v>87</v>
      </c>
      <c r="E230" s="251" t="s">
        <v>125</v>
      </c>
      <c r="F230" s="233">
        <f t="shared" si="86"/>
        <v>0</v>
      </c>
      <c r="G230" s="233">
        <f t="shared" si="87"/>
        <v>0</v>
      </c>
      <c r="H230" s="233">
        <f t="shared" si="88"/>
        <v>0</v>
      </c>
      <c r="I230" s="233">
        <f>IFERROR(VLOOKUP(A230,TOTAL_HORAS,73,FALSE),0)</f>
        <v>0</v>
      </c>
      <c r="J230" s="233">
        <f t="shared" si="90"/>
        <v>0</v>
      </c>
      <c r="K230" s="233">
        <f t="shared" si="91"/>
        <v>0</v>
      </c>
      <c r="L230" s="233">
        <f t="shared" si="92"/>
        <v>0</v>
      </c>
      <c r="M230" s="233">
        <f t="shared" si="93"/>
        <v>0</v>
      </c>
      <c r="N230" s="233">
        <f t="shared" si="101"/>
        <v>40</v>
      </c>
      <c r="O230" s="233">
        <f>IFERROR(VLOOKUP(A230,TOTAL_HORAS,79,FALSE),0)</f>
        <v>40</v>
      </c>
      <c r="P230" s="233"/>
      <c r="Q230" s="233"/>
      <c r="R230" s="231">
        <f t="shared" si="125"/>
        <v>0</v>
      </c>
      <c r="S230" s="231">
        <f t="shared" si="126"/>
        <v>0</v>
      </c>
      <c r="T230" s="231">
        <f t="shared" si="122"/>
        <v>0</v>
      </c>
      <c r="U230" s="231">
        <f t="shared" si="97"/>
        <v>0</v>
      </c>
      <c r="V230" s="231">
        <f t="shared" si="98"/>
        <v>0</v>
      </c>
      <c r="W230" s="231">
        <f t="shared" si="111"/>
        <v>0</v>
      </c>
      <c r="X230" s="231">
        <f t="shared" si="99"/>
        <v>0</v>
      </c>
      <c r="Y230" s="231">
        <f t="shared" si="100"/>
        <v>0</v>
      </c>
      <c r="Z230" s="231">
        <f t="shared" si="108"/>
        <v>29.761904761904763</v>
      </c>
      <c r="AA230" s="231"/>
      <c r="AB230" s="231"/>
      <c r="AC230" s="231"/>
      <c r="AD230" s="230">
        <f t="shared" ref="AD230" si="176">F230*R230</f>
        <v>0</v>
      </c>
      <c r="AE230" s="230">
        <f t="shared" ref="AE230" si="177">G230*S230</f>
        <v>0</v>
      </c>
      <c r="AF230" s="230">
        <f t="shared" ref="AF230" si="178">H230*T230</f>
        <v>0</v>
      </c>
      <c r="AG230" s="230">
        <f>I230*U230</f>
        <v>0</v>
      </c>
      <c r="AH230" s="230">
        <f t="shared" ref="AH230" si="179">J230*V230</f>
        <v>0</v>
      </c>
      <c r="AI230" s="230">
        <f t="shared" ref="AI230" si="180">K230*W230</f>
        <v>0</v>
      </c>
      <c r="AJ230" s="230">
        <f t="shared" ref="AJ230" si="181">L230*X230</f>
        <v>0</v>
      </c>
      <c r="AK230" s="230">
        <f t="shared" ref="AK230" si="182">M230*Y230</f>
        <v>0</v>
      </c>
      <c r="AL230" s="230">
        <f t="shared" ref="AL230" si="183">N230*Z230</f>
        <v>1190.4761904761906</v>
      </c>
      <c r="AM230" s="230">
        <f t="shared" ref="AM230" si="184">O230*AA230</f>
        <v>0</v>
      </c>
      <c r="AN230" s="230">
        <f t="shared" ref="AN230" si="185">P230*AB230</f>
        <v>0</v>
      </c>
      <c r="AO230" s="230">
        <f t="shared" ref="AO230" si="186">Q230*AC230</f>
        <v>0</v>
      </c>
    </row>
    <row r="231" spans="1:41" x14ac:dyDescent="0.25">
      <c r="A231" s="251" t="s">
        <v>978</v>
      </c>
      <c r="B231" s="251" t="s">
        <v>431</v>
      </c>
      <c r="C231" s="251" t="s">
        <v>967</v>
      </c>
      <c r="D231" s="251" t="s">
        <v>967</v>
      </c>
      <c r="E231" s="251" t="s">
        <v>968</v>
      </c>
      <c r="F231" s="233">
        <f t="shared" si="86"/>
        <v>0</v>
      </c>
      <c r="G231" s="233">
        <f t="shared" si="87"/>
        <v>0</v>
      </c>
      <c r="H231" s="233">
        <f t="shared" si="88"/>
        <v>0</v>
      </c>
      <c r="I231" s="233">
        <f>IFERROR(VLOOKUP(A231,TOTAL_HORAS,73,FALSE),0)</f>
        <v>0</v>
      </c>
      <c r="J231" s="233">
        <f t="shared" si="90"/>
        <v>0</v>
      </c>
      <c r="K231" s="233">
        <f t="shared" si="91"/>
        <v>0</v>
      </c>
      <c r="L231" s="233">
        <f t="shared" si="92"/>
        <v>0</v>
      </c>
      <c r="M231" s="233">
        <f t="shared" si="93"/>
        <v>0</v>
      </c>
      <c r="N231" s="233">
        <f t="shared" si="101"/>
        <v>14</v>
      </c>
      <c r="O231" s="233">
        <f>IFERROR(VLOOKUP(A231,TOTAL_HORAS,79,FALSE),0)</f>
        <v>13</v>
      </c>
      <c r="P231" s="233"/>
      <c r="Q231" s="233"/>
      <c r="R231" s="231">
        <f t="shared" si="125"/>
        <v>0</v>
      </c>
      <c r="S231" s="231">
        <f t="shared" si="126"/>
        <v>0</v>
      </c>
      <c r="T231" s="231">
        <f t="shared" si="122"/>
        <v>0</v>
      </c>
      <c r="U231" s="231">
        <f t="shared" si="97"/>
        <v>0</v>
      </c>
      <c r="V231" s="231">
        <f t="shared" si="98"/>
        <v>0</v>
      </c>
      <c r="W231" s="231">
        <f t="shared" si="111"/>
        <v>0</v>
      </c>
      <c r="X231" s="231">
        <f t="shared" si="99"/>
        <v>43.75</v>
      </c>
      <c r="Y231" s="231">
        <f t="shared" si="100"/>
        <v>51.136363636363633</v>
      </c>
      <c r="Z231" s="231">
        <f t="shared" si="108"/>
        <v>53.571428571428569</v>
      </c>
      <c r="AA231" s="231"/>
      <c r="AB231" s="231"/>
      <c r="AC231" s="231"/>
      <c r="AD231" s="230">
        <f t="shared" ref="AD231" si="187">F231*R231</f>
        <v>0</v>
      </c>
      <c r="AE231" s="230">
        <f t="shared" ref="AE231" si="188">G231*S231</f>
        <v>0</v>
      </c>
      <c r="AF231" s="230">
        <f t="shared" ref="AF231" si="189">H231*T231</f>
        <v>0</v>
      </c>
      <c r="AG231" s="230">
        <f>I231*U231</f>
        <v>0</v>
      </c>
      <c r="AH231" s="230">
        <f t="shared" ref="AH231" si="190">J231*V231</f>
        <v>0</v>
      </c>
      <c r="AI231" s="230">
        <f t="shared" ref="AI231" si="191">K231*W231</f>
        <v>0</v>
      </c>
      <c r="AJ231" s="230">
        <f t="shared" ref="AJ231" si="192">L231*X231</f>
        <v>0</v>
      </c>
      <c r="AK231" s="230">
        <f t="shared" ref="AK231" si="193">M231*Y231</f>
        <v>0</v>
      </c>
      <c r="AL231" s="230">
        <f t="shared" ref="AL231" si="194">N231*Z231</f>
        <v>750</v>
      </c>
      <c r="AM231" s="230">
        <f t="shared" ref="AM231" si="195">O231*AA231</f>
        <v>0</v>
      </c>
      <c r="AN231" s="230">
        <f t="shared" ref="AN231" si="196">P231*AB231</f>
        <v>0</v>
      </c>
      <c r="AO231" s="230">
        <f t="shared" ref="AO231" si="197">Q231*AC231</f>
        <v>0</v>
      </c>
    </row>
    <row r="232" spans="1:41" x14ac:dyDescent="0.25">
      <c r="A232" s="251" t="s">
        <v>979</v>
      </c>
      <c r="B232" s="251" t="s">
        <v>944</v>
      </c>
      <c r="C232" s="251" t="s">
        <v>44</v>
      </c>
      <c r="D232" s="251" t="s">
        <v>42</v>
      </c>
      <c r="E232" s="251" t="s">
        <v>127</v>
      </c>
      <c r="F232" s="233">
        <f t="shared" si="86"/>
        <v>0</v>
      </c>
      <c r="G232" s="233">
        <f>IFERROR(VLOOKUP(A232,TOTAL_HORAS,71,FALSE),0)</f>
        <v>0</v>
      </c>
      <c r="H232" s="233">
        <f t="shared" si="88"/>
        <v>0</v>
      </c>
      <c r="I232" s="233">
        <f>IFERROR(VLOOKUP(A232,TOTAL_HORAS,73,FALSE),0)</f>
        <v>0</v>
      </c>
      <c r="J232" s="233">
        <f t="shared" si="90"/>
        <v>0</v>
      </c>
      <c r="K232" s="233">
        <f t="shared" si="91"/>
        <v>0</v>
      </c>
      <c r="L232" s="233">
        <f t="shared" si="92"/>
        <v>0</v>
      </c>
      <c r="M232" s="233">
        <f t="shared" si="93"/>
        <v>0</v>
      </c>
      <c r="N232" s="233">
        <f t="shared" si="101"/>
        <v>22</v>
      </c>
      <c r="O232" s="233">
        <f>IFERROR(VLOOKUP(A232,TOTAL_HORAS,79,FALSE),0)</f>
        <v>0</v>
      </c>
      <c r="P232" s="233"/>
      <c r="Q232" s="233"/>
      <c r="R232" s="231">
        <f t="shared" si="125"/>
        <v>0</v>
      </c>
      <c r="S232" s="231">
        <f t="shared" si="126"/>
        <v>0</v>
      </c>
      <c r="T232" s="231">
        <f t="shared" si="122"/>
        <v>0</v>
      </c>
      <c r="U232" s="231">
        <f t="shared" si="97"/>
        <v>0</v>
      </c>
      <c r="V232" s="231">
        <f t="shared" si="98"/>
        <v>0</v>
      </c>
      <c r="W232" s="231">
        <f t="shared" si="111"/>
        <v>0</v>
      </c>
      <c r="X232" s="231">
        <f t="shared" si="99"/>
        <v>0</v>
      </c>
      <c r="Y232" s="231">
        <f t="shared" si="100"/>
        <v>0</v>
      </c>
      <c r="Z232" s="231">
        <f t="shared" si="108"/>
        <v>22.61904761904762</v>
      </c>
      <c r="AA232" s="231"/>
      <c r="AB232" s="231"/>
      <c r="AC232" s="231"/>
      <c r="AD232" s="230">
        <f t="shared" ref="AD232" si="198">F232*R232</f>
        <v>0</v>
      </c>
      <c r="AE232" s="230">
        <f>G232*S232</f>
        <v>0</v>
      </c>
      <c r="AF232" s="230">
        <f t="shared" ref="AF232" si="199">H232*T232</f>
        <v>0</v>
      </c>
      <c r="AG232" s="230">
        <f>I232*U232</f>
        <v>0</v>
      </c>
      <c r="AH232" s="230">
        <f t="shared" ref="AH232" si="200">J232*V232</f>
        <v>0</v>
      </c>
      <c r="AI232" s="230">
        <f t="shared" ref="AI232" si="201">K232*W232</f>
        <v>0</v>
      </c>
      <c r="AJ232" s="230">
        <f t="shared" ref="AJ232" si="202">L232*X232</f>
        <v>0</v>
      </c>
      <c r="AK232" s="230">
        <f t="shared" ref="AK232" si="203">M232*Y232</f>
        <v>0</v>
      </c>
      <c r="AL232" s="230">
        <f t="shared" ref="AL232" si="204">N232*Z232</f>
        <v>497.61904761904765</v>
      </c>
      <c r="AM232" s="230">
        <f t="shared" ref="AM232" si="205">O232*AA232</f>
        <v>0</v>
      </c>
      <c r="AN232" s="230">
        <f t="shared" ref="AN232" si="206">P232*AB232</f>
        <v>0</v>
      </c>
      <c r="AO232" s="230">
        <f t="shared" ref="AO232" si="207">Q232*AC232</f>
        <v>0</v>
      </c>
    </row>
    <row r="233" spans="1:41" x14ac:dyDescent="0.25">
      <c r="A233" s="251" t="s">
        <v>981</v>
      </c>
      <c r="B233" s="251" t="s">
        <v>980</v>
      </c>
      <c r="C233" s="251" t="s">
        <v>44</v>
      </c>
      <c r="D233" s="251" t="s">
        <v>42</v>
      </c>
      <c r="E233" s="251" t="s">
        <v>304</v>
      </c>
      <c r="F233" s="233">
        <f t="shared" si="86"/>
        <v>0</v>
      </c>
      <c r="G233" s="233">
        <f>IFERROR(VLOOKUP(A233,TOTAL_HORAS,71,FALSE),0)</f>
        <v>0</v>
      </c>
      <c r="H233" s="233">
        <f t="shared" si="88"/>
        <v>0</v>
      </c>
      <c r="I233" s="233">
        <f>IFERROR(VLOOKUP(A233,TOTAL_HORAS,73,FALSE),0)</f>
        <v>0</v>
      </c>
      <c r="J233" s="233">
        <f t="shared" si="90"/>
        <v>0</v>
      </c>
      <c r="K233" s="233">
        <f t="shared" si="91"/>
        <v>0</v>
      </c>
      <c r="L233" s="233">
        <f t="shared" si="92"/>
        <v>0</v>
      </c>
      <c r="M233" s="233">
        <f t="shared" si="93"/>
        <v>0</v>
      </c>
      <c r="N233" s="233">
        <f t="shared" si="101"/>
        <v>24</v>
      </c>
      <c r="O233" s="233">
        <f>IFERROR(VLOOKUP(A233,TOTAL_HORAS,79,FALSE),0)</f>
        <v>40</v>
      </c>
      <c r="P233" s="233"/>
      <c r="Q233" s="233"/>
      <c r="R233" s="231">
        <f t="shared" si="125"/>
        <v>0</v>
      </c>
      <c r="S233" s="231">
        <f t="shared" si="126"/>
        <v>0</v>
      </c>
      <c r="T233" s="231">
        <f t="shared" si="122"/>
        <v>0</v>
      </c>
      <c r="U233" s="231">
        <f t="shared" si="97"/>
        <v>0</v>
      </c>
      <c r="V233" s="231">
        <f t="shared" si="98"/>
        <v>0</v>
      </c>
      <c r="W233" s="231">
        <f t="shared" si="111"/>
        <v>0</v>
      </c>
      <c r="X233" s="231">
        <f t="shared" si="99"/>
        <v>0</v>
      </c>
      <c r="Y233" s="231">
        <f t="shared" si="100"/>
        <v>0</v>
      </c>
      <c r="Z233" s="231">
        <f t="shared" si="108"/>
        <v>0</v>
      </c>
      <c r="AA233" s="231"/>
      <c r="AB233" s="231"/>
      <c r="AC233" s="231"/>
      <c r="AD233" s="230">
        <f t="shared" ref="AD233" si="208">F233*R233</f>
        <v>0</v>
      </c>
      <c r="AE233" s="230">
        <f>G233*S233</f>
        <v>0</v>
      </c>
      <c r="AF233" s="230">
        <f t="shared" ref="AF233" si="209">H233*T233</f>
        <v>0</v>
      </c>
      <c r="AG233" s="230">
        <f>I233*U233</f>
        <v>0</v>
      </c>
      <c r="AH233" s="230">
        <f t="shared" ref="AH233" si="210">J233*V233</f>
        <v>0</v>
      </c>
      <c r="AI233" s="230">
        <f t="shared" ref="AI233" si="211">K233*W233</f>
        <v>0</v>
      </c>
      <c r="AJ233" s="230">
        <f t="shared" ref="AJ233" si="212">L233*X233</f>
        <v>0</v>
      </c>
      <c r="AK233" s="230">
        <f t="shared" ref="AK233" si="213">M233*Y233</f>
        <v>0</v>
      </c>
      <c r="AL233" s="230">
        <f t="shared" ref="AL233" si="214">N233*Z233</f>
        <v>0</v>
      </c>
      <c r="AM233" s="230">
        <f t="shared" ref="AM233" si="215">O233*AA233</f>
        <v>0</v>
      </c>
      <c r="AN233" s="230">
        <f t="shared" ref="AN233" si="216">P233*AB233</f>
        <v>0</v>
      </c>
      <c r="AO233" s="230">
        <f t="shared" ref="AO233" si="217">Q233*AC233</f>
        <v>0</v>
      </c>
    </row>
    <row r="234" spans="1:41" x14ac:dyDescent="0.25">
      <c r="A234" s="251" t="s">
        <v>986</v>
      </c>
      <c r="B234" s="251" t="s">
        <v>985</v>
      </c>
      <c r="C234" s="251" t="s">
        <v>86</v>
      </c>
      <c r="D234" s="251" t="s">
        <v>87</v>
      </c>
      <c r="E234" s="251" t="s">
        <v>125</v>
      </c>
      <c r="F234" s="233">
        <f t="shared" si="86"/>
        <v>0</v>
      </c>
      <c r="G234" s="233">
        <f>IFERROR(VLOOKUP(A234,TOTAL_HORAS,71,FALSE),0)</f>
        <v>0</v>
      </c>
      <c r="H234" s="233">
        <f t="shared" si="88"/>
        <v>0</v>
      </c>
      <c r="I234" s="233">
        <f>IFERROR(VLOOKUP(A234,TOTAL_HORAS,73,FALSE),0)</f>
        <v>0</v>
      </c>
      <c r="J234" s="233">
        <f t="shared" si="90"/>
        <v>0</v>
      </c>
      <c r="K234" s="233">
        <f t="shared" si="91"/>
        <v>0</v>
      </c>
      <c r="L234" s="233">
        <f t="shared" si="92"/>
        <v>0</v>
      </c>
      <c r="M234" s="233">
        <f t="shared" si="93"/>
        <v>0</v>
      </c>
      <c r="N234" s="233">
        <f t="shared" si="101"/>
        <v>0</v>
      </c>
      <c r="O234" s="233">
        <f>IFERROR(VLOOKUP(A234,TOTAL_HORAS,79,FALSE),0)</f>
        <v>8</v>
      </c>
      <c r="P234" s="233"/>
      <c r="Q234" s="233"/>
      <c r="R234" s="231">
        <f t="shared" si="125"/>
        <v>0</v>
      </c>
      <c r="S234" s="231">
        <f t="shared" si="126"/>
        <v>0</v>
      </c>
      <c r="T234" s="231">
        <f t="shared" si="122"/>
        <v>0</v>
      </c>
      <c r="U234" s="231">
        <f t="shared" si="97"/>
        <v>0</v>
      </c>
      <c r="V234" s="231">
        <f t="shared" si="98"/>
        <v>0</v>
      </c>
      <c r="W234" s="231">
        <f t="shared" si="111"/>
        <v>0</v>
      </c>
      <c r="X234" s="231">
        <f t="shared" si="99"/>
        <v>0</v>
      </c>
      <c r="Y234" s="231">
        <f t="shared" si="100"/>
        <v>0</v>
      </c>
      <c r="Z234" s="231">
        <f t="shared" si="108"/>
        <v>0</v>
      </c>
      <c r="AA234" s="231"/>
      <c r="AB234" s="231"/>
      <c r="AC234" s="231"/>
      <c r="AD234" s="230">
        <f t="shared" ref="AD234:AD235" si="218">F234*R234</f>
        <v>0</v>
      </c>
      <c r="AE234" s="230">
        <f>G234*S234</f>
        <v>0</v>
      </c>
      <c r="AF234" s="230">
        <f t="shared" ref="AF234:AF235" si="219">H234*T234</f>
        <v>0</v>
      </c>
      <c r="AG234" s="230">
        <f>I234*U234</f>
        <v>0</v>
      </c>
      <c r="AH234" s="230">
        <f t="shared" ref="AH234:AH235" si="220">J234*V234</f>
        <v>0</v>
      </c>
      <c r="AI234" s="230">
        <f t="shared" ref="AI234:AI235" si="221">K234*W234</f>
        <v>0</v>
      </c>
      <c r="AJ234" s="230">
        <f t="shared" ref="AJ234:AJ235" si="222">L234*X234</f>
        <v>0</v>
      </c>
      <c r="AK234" s="230">
        <f t="shared" ref="AK234:AK235" si="223">M234*Y234</f>
        <v>0</v>
      </c>
      <c r="AL234" s="230">
        <f t="shared" ref="AL234:AL235" si="224">N234*Z234</f>
        <v>0</v>
      </c>
      <c r="AM234" s="230">
        <f t="shared" ref="AM234:AM235" si="225">O234*AA234</f>
        <v>0</v>
      </c>
      <c r="AN234" s="230">
        <f t="shared" ref="AN234:AN235" si="226">P234*AB234</f>
        <v>0</v>
      </c>
      <c r="AO234" s="230">
        <f t="shared" ref="AO234:AO235" si="227">Q234*AC234</f>
        <v>0</v>
      </c>
    </row>
    <row r="235" spans="1:41" x14ac:dyDescent="0.25">
      <c r="A235" s="251" t="s">
        <v>987</v>
      </c>
      <c r="B235" s="251" t="s">
        <v>985</v>
      </c>
      <c r="C235" s="251" t="s">
        <v>208</v>
      </c>
      <c r="D235" s="251" t="s">
        <v>208</v>
      </c>
      <c r="E235" s="251" t="s">
        <v>210</v>
      </c>
      <c r="F235" s="233">
        <f t="shared" si="86"/>
        <v>0</v>
      </c>
      <c r="G235" s="233">
        <f>IFERROR(VLOOKUP(A235,TOTAL_HORAS,71,FALSE),0)</f>
        <v>0</v>
      </c>
      <c r="H235" s="233">
        <f t="shared" si="88"/>
        <v>0</v>
      </c>
      <c r="I235" s="233">
        <f>IFERROR(VLOOKUP(A235,TOTAL_HORAS,73,FALSE),0)</f>
        <v>0</v>
      </c>
      <c r="J235" s="233">
        <f t="shared" si="90"/>
        <v>0</v>
      </c>
      <c r="K235" s="233">
        <f t="shared" si="91"/>
        <v>0</v>
      </c>
      <c r="L235" s="233">
        <f t="shared" si="92"/>
        <v>0</v>
      </c>
      <c r="M235" s="233">
        <f t="shared" si="93"/>
        <v>0</v>
      </c>
      <c r="N235" s="233">
        <f t="shared" si="101"/>
        <v>0</v>
      </c>
      <c r="O235" s="233">
        <f>IFERROR(VLOOKUP(A235,TOTAL_HORAS,79,FALSE),0)</f>
        <v>32</v>
      </c>
      <c r="P235" s="233"/>
      <c r="Q235" s="233"/>
      <c r="R235" s="231">
        <f t="shared" si="125"/>
        <v>0</v>
      </c>
      <c r="S235" s="231">
        <f t="shared" si="126"/>
        <v>0</v>
      </c>
      <c r="T235" s="231">
        <f t="shared" si="122"/>
        <v>0</v>
      </c>
      <c r="U235" s="231">
        <f t="shared" si="97"/>
        <v>0</v>
      </c>
      <c r="V235" s="231">
        <f t="shared" si="98"/>
        <v>0</v>
      </c>
      <c r="W235" s="231">
        <f t="shared" si="111"/>
        <v>0</v>
      </c>
      <c r="X235" s="231">
        <f t="shared" si="99"/>
        <v>0</v>
      </c>
      <c r="Y235" s="231">
        <f t="shared" si="100"/>
        <v>0</v>
      </c>
      <c r="Z235" s="231">
        <f t="shared" si="108"/>
        <v>0</v>
      </c>
      <c r="AA235" s="231"/>
      <c r="AB235" s="231"/>
      <c r="AC235" s="231"/>
      <c r="AD235" s="230">
        <f t="shared" si="218"/>
        <v>0</v>
      </c>
      <c r="AE235" s="230">
        <f>G235*S235</f>
        <v>0</v>
      </c>
      <c r="AF235" s="230">
        <f t="shared" si="219"/>
        <v>0</v>
      </c>
      <c r="AG235" s="230">
        <f>I235*U235</f>
        <v>0</v>
      </c>
      <c r="AH235" s="230">
        <f t="shared" si="220"/>
        <v>0</v>
      </c>
      <c r="AI235" s="230">
        <f t="shared" si="221"/>
        <v>0</v>
      </c>
      <c r="AJ235" s="230">
        <f t="shared" si="222"/>
        <v>0</v>
      </c>
      <c r="AK235" s="230">
        <f t="shared" si="223"/>
        <v>0</v>
      </c>
      <c r="AL235" s="230">
        <f t="shared" si="224"/>
        <v>0</v>
      </c>
      <c r="AM235" s="230">
        <f t="shared" si="225"/>
        <v>0</v>
      </c>
      <c r="AN235" s="230">
        <f t="shared" si="226"/>
        <v>0</v>
      </c>
      <c r="AO235" s="230">
        <f t="shared" si="227"/>
        <v>0</v>
      </c>
    </row>
    <row r="236" spans="1:41" x14ac:dyDescent="0.25">
      <c r="A236" s="251" t="s">
        <v>988</v>
      </c>
      <c r="B236" s="251" t="s">
        <v>195</v>
      </c>
      <c r="C236" s="251" t="s">
        <v>208</v>
      </c>
      <c r="D236" s="251" t="s">
        <v>208</v>
      </c>
      <c r="E236" s="251" t="s">
        <v>210</v>
      </c>
      <c r="F236" s="642">
        <f t="shared" si="86"/>
        <v>0</v>
      </c>
      <c r="G236" s="233">
        <f>IFERROR(VLOOKUP(A236,TOTAL_HORAS,71,FALSE),0)</f>
        <v>0</v>
      </c>
      <c r="H236" s="233">
        <f>IFERROR(VLOOKUP(A236,TOTAL_HORAS,72,FALSE),0)</f>
        <v>0</v>
      </c>
      <c r="I236" s="233">
        <f>IFERROR(VLOOKUP(A236,TOTAL_HORAS,73,FALSE),0)</f>
        <v>0</v>
      </c>
      <c r="J236" s="233">
        <f t="shared" si="90"/>
        <v>0</v>
      </c>
      <c r="K236" s="233">
        <f t="shared" si="91"/>
        <v>0</v>
      </c>
      <c r="L236" s="233">
        <f t="shared" si="92"/>
        <v>0</v>
      </c>
      <c r="M236" s="233">
        <f t="shared" si="93"/>
        <v>0</v>
      </c>
      <c r="N236" s="233">
        <f t="shared" si="101"/>
        <v>0</v>
      </c>
      <c r="O236" s="233">
        <f>IFERROR(VLOOKUP(A236,TOTAL_HORAS,79,FALSE),0)</f>
        <v>40</v>
      </c>
      <c r="P236" s="233"/>
      <c r="Q236" s="233"/>
      <c r="R236" s="231">
        <f t="shared" si="125"/>
        <v>0</v>
      </c>
      <c r="S236" s="231">
        <f t="shared" si="126"/>
        <v>0</v>
      </c>
      <c r="T236" s="231">
        <f t="shared" si="122"/>
        <v>0</v>
      </c>
      <c r="U236" s="231">
        <f t="shared" si="97"/>
        <v>0</v>
      </c>
      <c r="V236" s="231">
        <f t="shared" si="98"/>
        <v>34.090909090909093</v>
      </c>
      <c r="W236" s="231">
        <f t="shared" si="111"/>
        <v>35.714285714285715</v>
      </c>
      <c r="X236" s="231">
        <f t="shared" si="99"/>
        <v>37.5</v>
      </c>
      <c r="Y236" s="231">
        <f t="shared" si="100"/>
        <v>34.573863636363633</v>
      </c>
      <c r="Z236" s="231">
        <f t="shared" si="108"/>
        <v>35.714285714285715</v>
      </c>
      <c r="AA236" s="231"/>
      <c r="AB236" s="231"/>
      <c r="AC236" s="231"/>
      <c r="AD236" s="230">
        <f t="shared" ref="AD236" si="228">F236*R236</f>
        <v>0</v>
      </c>
      <c r="AE236" s="230">
        <f>G236*S236</f>
        <v>0</v>
      </c>
      <c r="AF236" s="230">
        <f>H236*T236</f>
        <v>0</v>
      </c>
      <c r="AG236" s="230">
        <f>I236*U236</f>
        <v>0</v>
      </c>
      <c r="AH236" s="230">
        <f t="shared" ref="AH236" si="229">J236*V236</f>
        <v>0</v>
      </c>
      <c r="AI236" s="230">
        <f t="shared" ref="AI236" si="230">K236*W236</f>
        <v>0</v>
      </c>
      <c r="AJ236" s="230">
        <f t="shared" ref="AJ236" si="231">L236*X236</f>
        <v>0</v>
      </c>
      <c r="AK236" s="230">
        <f t="shared" ref="AK236" si="232">M236*Y236</f>
        <v>0</v>
      </c>
      <c r="AL236" s="230">
        <f t="shared" ref="AL236" si="233">N236*Z236</f>
        <v>0</v>
      </c>
      <c r="AM236" s="230">
        <f t="shared" ref="AM236" si="234">O236*AA236</f>
        <v>0</v>
      </c>
      <c r="AN236" s="230">
        <f t="shared" ref="AN236" si="235">P236*AB236</f>
        <v>0</v>
      </c>
      <c r="AO236" s="230">
        <f t="shared" ref="AO236" si="236">Q236*AC236</f>
        <v>0</v>
      </c>
    </row>
    <row r="237" spans="1:41" x14ac:dyDescent="0.25">
      <c r="A237" s="251" t="s">
        <v>990</v>
      </c>
      <c r="B237" s="251" t="s">
        <v>134</v>
      </c>
      <c r="C237" s="251" t="s">
        <v>209</v>
      </c>
      <c r="D237" s="251" t="s">
        <v>209</v>
      </c>
      <c r="E237" s="251" t="s">
        <v>243</v>
      </c>
      <c r="F237" s="642">
        <f t="shared" si="86"/>
        <v>0</v>
      </c>
      <c r="G237" s="233">
        <f>IFERROR(VLOOKUP(A237,TOTAL_HORAS,71,FALSE),0)</f>
        <v>0</v>
      </c>
      <c r="H237" s="233">
        <f>IFERROR(VLOOKUP(A237,TOTAL_HORAS,72,FALSE),0)</f>
        <v>0</v>
      </c>
      <c r="I237" s="233">
        <f>IFERROR(VLOOKUP(A237,TOTAL_HORAS,73,FALSE),0)</f>
        <v>0</v>
      </c>
      <c r="J237" s="233">
        <f t="shared" si="90"/>
        <v>0</v>
      </c>
      <c r="K237" s="233">
        <f t="shared" si="91"/>
        <v>0</v>
      </c>
      <c r="L237" s="233">
        <f t="shared" si="92"/>
        <v>0</v>
      </c>
      <c r="M237" s="233">
        <f t="shared" si="93"/>
        <v>0</v>
      </c>
      <c r="N237" s="233">
        <f t="shared" si="101"/>
        <v>0</v>
      </c>
      <c r="O237" s="233">
        <f>IFERROR(VLOOKUP(A237,TOTAL_HORAS,79,FALSE),0)</f>
        <v>40</v>
      </c>
      <c r="P237" s="233"/>
      <c r="Q237" s="233"/>
      <c r="R237" s="231">
        <f t="shared" si="125"/>
        <v>0</v>
      </c>
      <c r="S237" s="231">
        <f t="shared" si="126"/>
        <v>0</v>
      </c>
      <c r="T237" s="231">
        <f t="shared" si="122"/>
        <v>0</v>
      </c>
      <c r="U237" s="231">
        <f t="shared" si="97"/>
        <v>31.597222222222221</v>
      </c>
      <c r="V237" s="231">
        <f t="shared" si="98"/>
        <v>25.852272727272727</v>
      </c>
      <c r="W237" s="231">
        <f t="shared" si="111"/>
        <v>27.741071428571427</v>
      </c>
      <c r="X237" s="231">
        <f t="shared" si="99"/>
        <v>29.128125000000001</v>
      </c>
      <c r="Y237" s="231">
        <f t="shared" si="100"/>
        <v>26.480113636363637</v>
      </c>
      <c r="Z237" s="231">
        <f t="shared" si="108"/>
        <v>27.741071428571427</v>
      </c>
      <c r="AA237" s="231"/>
      <c r="AB237" s="231"/>
      <c r="AC237" s="231"/>
      <c r="AD237" s="230">
        <f t="shared" ref="AD237" si="237">F237*R237</f>
        <v>0</v>
      </c>
      <c r="AE237" s="230">
        <f>G237*S237</f>
        <v>0</v>
      </c>
      <c r="AF237" s="230">
        <f>H237*T237</f>
        <v>0</v>
      </c>
      <c r="AG237" s="230">
        <f>I237*U237</f>
        <v>0</v>
      </c>
      <c r="AH237" s="230">
        <f t="shared" ref="AH237" si="238">J237*V237</f>
        <v>0</v>
      </c>
      <c r="AI237" s="230">
        <f t="shared" ref="AI237" si="239">K237*W237</f>
        <v>0</v>
      </c>
      <c r="AJ237" s="230">
        <f t="shared" ref="AJ237" si="240">L237*X237</f>
        <v>0</v>
      </c>
      <c r="AK237" s="230">
        <f t="shared" ref="AK237" si="241">M237*Y237</f>
        <v>0</v>
      </c>
      <c r="AL237" s="230">
        <f t="shared" ref="AL237" si="242">N237*Z237</f>
        <v>0</v>
      </c>
      <c r="AM237" s="230">
        <f t="shared" ref="AM237" si="243">O237*AA237</f>
        <v>0</v>
      </c>
      <c r="AN237" s="230">
        <f t="shared" ref="AN237" si="244">P237*AB237</f>
        <v>0</v>
      </c>
      <c r="AO237" s="230">
        <f t="shared" ref="AO237" si="245">Q237*AC237</f>
        <v>0</v>
      </c>
    </row>
    <row r="238" spans="1:41" ht="15.75" thickBot="1" x14ac:dyDescent="0.3"/>
    <row r="239" spans="1:41" ht="15.75" thickBot="1" x14ac:dyDescent="0.3">
      <c r="F239" s="673">
        <f>SUM(F3:F223)</f>
        <v>8178</v>
      </c>
      <c r="G239" s="673">
        <f>SUM(G3:G223)</f>
        <v>7448</v>
      </c>
      <c r="H239" s="673">
        <f>SUM(H3:H223)</f>
        <v>8360</v>
      </c>
      <c r="I239" s="673">
        <f>SUM(I3:I223)</f>
        <v>6520</v>
      </c>
      <c r="J239" s="673">
        <f>SUM(J3:J223)</f>
        <v>8298.5</v>
      </c>
      <c r="K239" s="673">
        <f>SUM(K3:K223)</f>
        <v>7816</v>
      </c>
      <c r="L239" s="673">
        <f>SUM(L3:L223)</f>
        <v>6688</v>
      </c>
      <c r="M239" s="673">
        <f>SUM(M3:M223)</f>
        <v>7664</v>
      </c>
      <c r="N239" s="673">
        <f>SUM(N3:N237)</f>
        <v>7376</v>
      </c>
      <c r="O239" s="673">
        <f>SUM(O3:O237)</f>
        <v>1720</v>
      </c>
    </row>
    <row r="240" spans="1:41" ht="15.75" thickBot="1" x14ac:dyDescent="0.3">
      <c r="R240" s="487">
        <f>SUM(R3:R232)</f>
        <v>6751.1164772727307</v>
      </c>
      <c r="S240" s="487">
        <f>SUM(S3:S232)</f>
        <v>7374.9968750000016</v>
      </c>
      <c r="T240" s="487">
        <f>SUM(T3:T232)</f>
        <v>6188.421195652184</v>
      </c>
      <c r="U240" s="487">
        <f>SUM(U3:U232)</f>
        <v>7597.9097222222172</v>
      </c>
      <c r="V240" s="487">
        <f>SUM(V3:V232)</f>
        <v>6458.0198863636333</v>
      </c>
      <c r="W240" s="487">
        <f>SUM(W3:W232)</f>
        <v>6646.0267857142844</v>
      </c>
      <c r="X240" s="487">
        <f>SUM(X3:X232)</f>
        <v>7039.3593750000009</v>
      </c>
      <c r="Y240" s="488">
        <f>SUM(Y3:Y232)</f>
        <v>6758.3522727272803</v>
      </c>
      <c r="Z240" s="488">
        <f>SUM(Z3:Z237)</f>
        <v>5929.8571428571422</v>
      </c>
      <c r="AD240" s="489">
        <f>SUM(AD3:AD232)</f>
        <v>287105.63636363641</v>
      </c>
      <c r="AE240" s="489">
        <f>SUM(AE3:AE232)</f>
        <v>280952.5</v>
      </c>
      <c r="AF240" s="489">
        <f>SUM(AF3:AF232)</f>
        <v>264823.69565217389</v>
      </c>
      <c r="AG240" s="489">
        <f>SUM(AG3:AG232)</f>
        <v>258256.72222222222</v>
      </c>
      <c r="AH240" s="489">
        <f>SUM(AH3:AH232)</f>
        <v>259659.72727272726</v>
      </c>
      <c r="AI240" s="489">
        <f>SUM(AI3:AI232)</f>
        <v>247648.69047619047</v>
      </c>
      <c r="AJ240" s="489">
        <f>SUM(AJ3:AJ232)</f>
        <v>237340</v>
      </c>
      <c r="AK240" s="489">
        <f>SUM(AK3:AK232)</f>
        <v>250652.31818181818</v>
      </c>
      <c r="AL240" s="489">
        <f>SUM(AL3:AL232)</f>
        <v>244819.80952380956</v>
      </c>
    </row>
    <row r="1048562" spans="34:34" x14ac:dyDescent="0.25">
      <c r="AH1048562" s="230"/>
    </row>
  </sheetData>
  <sheetProtection formatCells="0" formatColumns="0" formatRows="0" insertColumns="0" insertRows="0" insertHyperlinks="0" deleteColumns="0" deleteRows="0" pivotTables="0"/>
  <autoFilter ref="B2:AO237"/>
  <sortState ref="A3:A211">
    <sortCondition ref="A3"/>
  </sortState>
  <mergeCells count="1">
    <mergeCell ref="AD1:AO1"/>
  </mergeCell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55"/>
  <sheetViews>
    <sheetView topLeftCell="A31" workbookViewId="0">
      <selection activeCell="B33" sqref="B3:B55"/>
    </sheetView>
  </sheetViews>
  <sheetFormatPr baseColWidth="10" defaultRowHeight="15" x14ac:dyDescent="0.25"/>
  <cols>
    <col min="2" max="2" width="38.5703125" bestFit="1" customWidth="1"/>
    <col min="3" max="3" width="13.85546875" bestFit="1" customWidth="1"/>
  </cols>
  <sheetData>
    <row r="2" spans="2:3" x14ac:dyDescent="0.25">
      <c r="B2" t="s">
        <v>654</v>
      </c>
      <c r="C2" t="s">
        <v>653</v>
      </c>
    </row>
    <row r="3" spans="2:3" x14ac:dyDescent="0.25">
      <c r="B3" t="s">
        <v>0</v>
      </c>
      <c r="C3" s="347">
        <v>38.69047619047619</v>
      </c>
    </row>
    <row r="4" spans="2:3" x14ac:dyDescent="0.25">
      <c r="B4" t="s">
        <v>1</v>
      </c>
      <c r="C4" s="347">
        <v>30.178571428571427</v>
      </c>
    </row>
    <row r="5" spans="2:3" x14ac:dyDescent="0.25">
      <c r="B5" t="s">
        <v>2</v>
      </c>
      <c r="C5" s="347">
        <v>53.571428571428569</v>
      </c>
    </row>
    <row r="6" spans="2:3" x14ac:dyDescent="0.25">
      <c r="B6" t="s">
        <v>3</v>
      </c>
      <c r="C6" s="347">
        <v>38.69047619047619</v>
      </c>
    </row>
    <row r="7" spans="2:3" x14ac:dyDescent="0.25">
      <c r="B7" t="s">
        <v>4</v>
      </c>
      <c r="C7" s="347">
        <v>35.714285714285715</v>
      </c>
    </row>
    <row r="8" spans="2:3" x14ac:dyDescent="0.25">
      <c r="B8" t="s">
        <v>652</v>
      </c>
      <c r="C8" s="347">
        <v>23.80952380952381</v>
      </c>
    </row>
    <row r="9" spans="2:3" x14ac:dyDescent="0.25">
      <c r="B9" t="s">
        <v>29</v>
      </c>
      <c r="C9" s="347">
        <v>32.142857142857146</v>
      </c>
    </row>
    <row r="10" spans="2:3" x14ac:dyDescent="0.25">
      <c r="B10" t="s">
        <v>5</v>
      </c>
      <c r="C10" s="347">
        <v>50</v>
      </c>
    </row>
    <row r="11" spans="2:3" x14ac:dyDescent="0.25">
      <c r="B11" t="s">
        <v>30</v>
      </c>
      <c r="C11" s="347">
        <v>56.547619047619051</v>
      </c>
    </row>
    <row r="12" spans="2:3" x14ac:dyDescent="0.25">
      <c r="B12" t="s">
        <v>31</v>
      </c>
      <c r="C12" s="347">
        <v>19.047619047619047</v>
      </c>
    </row>
    <row r="13" spans="2:3" x14ac:dyDescent="0.25">
      <c r="B13" t="s">
        <v>651</v>
      </c>
      <c r="C13" s="347">
        <v>3.5714285714285716</v>
      </c>
    </row>
    <row r="14" spans="2:3" x14ac:dyDescent="0.25">
      <c r="B14" t="s">
        <v>650</v>
      </c>
      <c r="C14" s="347">
        <v>14.470238095238095</v>
      </c>
    </row>
    <row r="15" spans="2:3" x14ac:dyDescent="0.25">
      <c r="B15" t="s">
        <v>944</v>
      </c>
      <c r="C15" s="347">
        <v>22.61904761904762</v>
      </c>
    </row>
    <row r="16" spans="2:3" x14ac:dyDescent="0.25">
      <c r="B16" t="s">
        <v>195</v>
      </c>
      <c r="C16" s="347">
        <v>35.714285714285715</v>
      </c>
    </row>
    <row r="17" spans="2:3" x14ac:dyDescent="0.25">
      <c r="B17" t="s">
        <v>442</v>
      </c>
      <c r="C17" s="347">
        <v>5.6547619047619051</v>
      </c>
    </row>
    <row r="18" spans="2:3" x14ac:dyDescent="0.25">
      <c r="B18" t="s">
        <v>134</v>
      </c>
      <c r="C18" s="347">
        <v>27.741071428571427</v>
      </c>
    </row>
    <row r="19" spans="2:3" x14ac:dyDescent="0.25">
      <c r="B19" t="s">
        <v>7</v>
      </c>
      <c r="C19" s="347">
        <v>30.178571428571427</v>
      </c>
    </row>
    <row r="20" spans="2:3" x14ac:dyDescent="0.25">
      <c r="B20" t="s">
        <v>8</v>
      </c>
      <c r="C20" s="347">
        <v>37.663690476190474</v>
      </c>
    </row>
    <row r="21" spans="2:3" x14ac:dyDescent="0.25">
      <c r="B21" t="s">
        <v>9</v>
      </c>
      <c r="C21" s="347">
        <v>27.741071428571427</v>
      </c>
    </row>
    <row r="22" spans="2:3" x14ac:dyDescent="0.25">
      <c r="B22" t="s">
        <v>897</v>
      </c>
      <c r="C22" s="347">
        <v>38.69047619047619</v>
      </c>
    </row>
    <row r="23" spans="2:3" x14ac:dyDescent="0.25">
      <c r="B23" t="s">
        <v>10</v>
      </c>
      <c r="C23" s="347">
        <v>44.642857142857146</v>
      </c>
    </row>
    <row r="24" spans="2:3" x14ac:dyDescent="0.25">
      <c r="B24" t="s">
        <v>11</v>
      </c>
      <c r="C24" s="347">
        <v>42.544642857142854</v>
      </c>
    </row>
    <row r="25" spans="2:3" x14ac:dyDescent="0.25">
      <c r="B25" t="s">
        <v>12</v>
      </c>
      <c r="C25" s="347">
        <v>49.866071428571431</v>
      </c>
    </row>
    <row r="26" spans="2:3" x14ac:dyDescent="0.25">
      <c r="B26" t="s">
        <v>13</v>
      </c>
      <c r="C26" s="347">
        <v>23.214285714285715</v>
      </c>
    </row>
    <row r="27" spans="2:3" x14ac:dyDescent="0.25">
      <c r="B27" t="s">
        <v>14</v>
      </c>
      <c r="C27" s="347">
        <v>32.738095238095241</v>
      </c>
    </row>
    <row r="28" spans="2:3" x14ac:dyDescent="0.25">
      <c r="B28" t="s">
        <v>33</v>
      </c>
      <c r="C28" s="347">
        <v>17.708333333333332</v>
      </c>
    </row>
    <row r="29" spans="2:3" x14ac:dyDescent="0.25">
      <c r="B29" t="s">
        <v>16</v>
      </c>
      <c r="C29" s="347">
        <v>35.714285714285715</v>
      </c>
    </row>
    <row r="30" spans="2:3" x14ac:dyDescent="0.25">
      <c r="B30" t="s">
        <v>34</v>
      </c>
      <c r="C30" s="347">
        <v>56.547619047619051</v>
      </c>
    </row>
    <row r="31" spans="2:3" x14ac:dyDescent="0.25">
      <c r="B31" t="s">
        <v>18</v>
      </c>
      <c r="C31" s="347">
        <v>42.425595238095241</v>
      </c>
    </row>
    <row r="32" spans="2:3" x14ac:dyDescent="0.25">
      <c r="B32" t="s">
        <v>19</v>
      </c>
      <c r="C32" s="347">
        <v>31.25</v>
      </c>
    </row>
    <row r="33" spans="2:3" x14ac:dyDescent="0.25">
      <c r="B33" t="s">
        <v>20</v>
      </c>
      <c r="C33" s="347">
        <v>27.738095238095237</v>
      </c>
    </row>
    <row r="34" spans="2:3" x14ac:dyDescent="0.25">
      <c r="B34" t="s">
        <v>21</v>
      </c>
      <c r="C34" s="347">
        <v>40.833333333333336</v>
      </c>
    </row>
    <row r="35" spans="2:3" x14ac:dyDescent="0.25">
      <c r="B35" t="s">
        <v>649</v>
      </c>
      <c r="C35" s="347">
        <v>164.34821428571428</v>
      </c>
    </row>
    <row r="36" spans="2:3" x14ac:dyDescent="0.25">
      <c r="B36" t="s">
        <v>648</v>
      </c>
      <c r="C36" s="347">
        <v>164.34821428571428</v>
      </c>
    </row>
    <row r="37" spans="2:3" x14ac:dyDescent="0.25">
      <c r="B37" t="s">
        <v>22</v>
      </c>
      <c r="C37" s="347">
        <v>27.083333333333332</v>
      </c>
    </row>
    <row r="38" spans="2:3" x14ac:dyDescent="0.25">
      <c r="B38" t="s">
        <v>430</v>
      </c>
      <c r="C38" s="347">
        <v>38.69047619047619</v>
      </c>
    </row>
    <row r="39" spans="2:3" x14ac:dyDescent="0.25">
      <c r="B39" t="s">
        <v>423</v>
      </c>
      <c r="C39" s="347">
        <v>39.345238095238095</v>
      </c>
    </row>
    <row r="40" spans="2:3" x14ac:dyDescent="0.25">
      <c r="B40" t="s">
        <v>35</v>
      </c>
      <c r="C40" s="347">
        <v>22.61904761904762</v>
      </c>
    </row>
    <row r="41" spans="2:3" x14ac:dyDescent="0.25">
      <c r="B41" t="s">
        <v>647</v>
      </c>
      <c r="C41" s="347">
        <v>19.047619047619047</v>
      </c>
    </row>
    <row r="42" spans="2:3" x14ac:dyDescent="0.25">
      <c r="B42" t="s">
        <v>36</v>
      </c>
      <c r="C42" s="347">
        <v>37.5</v>
      </c>
    </row>
    <row r="43" spans="2:3" x14ac:dyDescent="0.25">
      <c r="B43" t="s">
        <v>646</v>
      </c>
      <c r="C43" s="347">
        <v>70.833333333333329</v>
      </c>
    </row>
    <row r="44" spans="2:3" x14ac:dyDescent="0.25">
      <c r="B44" t="s">
        <v>37</v>
      </c>
      <c r="C44" s="347">
        <v>39.88095238095238</v>
      </c>
    </row>
    <row r="45" spans="2:3" x14ac:dyDescent="0.25">
      <c r="B45" t="s">
        <v>614</v>
      </c>
      <c r="C45" s="347">
        <v>11.904761904761905</v>
      </c>
    </row>
    <row r="46" spans="2:3" x14ac:dyDescent="0.25">
      <c r="B46" t="s">
        <v>197</v>
      </c>
      <c r="C46" s="347">
        <v>35.714285714285715</v>
      </c>
    </row>
    <row r="47" spans="2:3" x14ac:dyDescent="0.25">
      <c r="B47" t="s">
        <v>972</v>
      </c>
      <c r="C47" s="347">
        <v>29.761904761904763</v>
      </c>
    </row>
    <row r="48" spans="2:3" x14ac:dyDescent="0.25">
      <c r="B48" t="s">
        <v>431</v>
      </c>
      <c r="C48" s="347">
        <v>53.571428571428569</v>
      </c>
    </row>
    <row r="49" spans="2:3" x14ac:dyDescent="0.25">
      <c r="B49" t="s">
        <v>432</v>
      </c>
      <c r="C49" s="347">
        <v>29.761904761904763</v>
      </c>
    </row>
    <row r="50" spans="2:3" x14ac:dyDescent="0.25">
      <c r="B50" t="s">
        <v>973</v>
      </c>
      <c r="C50" s="347">
        <v>36.904761904761905</v>
      </c>
    </row>
    <row r="51" spans="2:3" x14ac:dyDescent="0.25">
      <c r="B51" t="s">
        <v>25</v>
      </c>
      <c r="C51" s="347">
        <v>23.214285714285715</v>
      </c>
    </row>
    <row r="52" spans="2:3" x14ac:dyDescent="0.25">
      <c r="B52" t="s">
        <v>645</v>
      </c>
      <c r="C52" s="347">
        <v>12.939940476190475</v>
      </c>
    </row>
    <row r="53" spans="2:3" x14ac:dyDescent="0.25">
      <c r="B53" t="s">
        <v>974</v>
      </c>
      <c r="C53" s="347">
        <v>26.785714285714285</v>
      </c>
    </row>
    <row r="54" spans="2:3" x14ac:dyDescent="0.25">
      <c r="B54" t="s">
        <v>26</v>
      </c>
      <c r="C54" s="347">
        <v>31.25</v>
      </c>
    </row>
    <row r="55" spans="2:3" x14ac:dyDescent="0.25">
      <c r="B55" t="s">
        <v>644</v>
      </c>
      <c r="C55" s="347">
        <v>13.095238095238095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"/>
  <dimension ref="B1:C56"/>
  <sheetViews>
    <sheetView topLeftCell="A50" workbookViewId="0">
      <selection activeCell="B2" sqref="B2:C56"/>
    </sheetView>
  </sheetViews>
  <sheetFormatPr baseColWidth="10" defaultRowHeight="15" x14ac:dyDescent="0.25"/>
  <cols>
    <col min="2" max="2" width="39.42578125" bestFit="1" customWidth="1"/>
  </cols>
  <sheetData>
    <row r="1" spans="2:3" x14ac:dyDescent="0.25">
      <c r="C1">
        <v>176</v>
      </c>
    </row>
    <row r="2" spans="2:3" x14ac:dyDescent="0.25">
      <c r="B2" t="s">
        <v>654</v>
      </c>
      <c r="C2" t="s">
        <v>653</v>
      </c>
    </row>
    <row r="3" spans="2:3" x14ac:dyDescent="0.25">
      <c r="B3" t="s">
        <v>28</v>
      </c>
      <c r="C3" s="347">
        <v>56.81818181818182</v>
      </c>
    </row>
    <row r="4" spans="2:3" x14ac:dyDescent="0.25">
      <c r="B4" t="s">
        <v>0</v>
      </c>
      <c r="C4" s="347">
        <v>36.93181818181818</v>
      </c>
    </row>
    <row r="5" spans="2:3" x14ac:dyDescent="0.25">
      <c r="B5" t="s">
        <v>1</v>
      </c>
      <c r="C5" s="347">
        <v>28.806818181818183</v>
      </c>
    </row>
    <row r="6" spans="2:3" x14ac:dyDescent="0.25">
      <c r="B6" t="s">
        <v>2</v>
      </c>
      <c r="C6" s="347">
        <v>51.136363636363633</v>
      </c>
    </row>
    <row r="7" spans="2:3" x14ac:dyDescent="0.25">
      <c r="B7" t="s">
        <v>3</v>
      </c>
      <c r="C7" s="347">
        <v>36.93181818181818</v>
      </c>
    </row>
    <row r="8" spans="2:3" x14ac:dyDescent="0.25">
      <c r="B8" t="s">
        <v>4</v>
      </c>
      <c r="C8" s="347">
        <v>34.090909090909093</v>
      </c>
    </row>
    <row r="9" spans="2:3" x14ac:dyDescent="0.25">
      <c r="B9" t="s">
        <v>652</v>
      </c>
      <c r="C9" s="347">
        <v>22.727272727272727</v>
      </c>
    </row>
    <row r="10" spans="2:3" x14ac:dyDescent="0.25">
      <c r="B10" t="s">
        <v>29</v>
      </c>
      <c r="C10" s="347">
        <v>30.681818181818183</v>
      </c>
    </row>
    <row r="11" spans="2:3" x14ac:dyDescent="0.25">
      <c r="B11" t="s">
        <v>5</v>
      </c>
      <c r="C11" s="347">
        <v>47.727272727272727</v>
      </c>
    </row>
    <row r="12" spans="2:3" x14ac:dyDescent="0.25">
      <c r="B12" t="s">
        <v>30</v>
      </c>
      <c r="C12" s="347">
        <v>53.977272727272727</v>
      </c>
    </row>
    <row r="13" spans="2:3" x14ac:dyDescent="0.25">
      <c r="B13" t="s">
        <v>31</v>
      </c>
      <c r="C13" s="347">
        <v>18.664772727272727</v>
      </c>
    </row>
    <row r="14" spans="2:3" x14ac:dyDescent="0.25">
      <c r="B14" t="s">
        <v>651</v>
      </c>
      <c r="C14" s="347">
        <v>3.4090909090909092</v>
      </c>
    </row>
    <row r="15" spans="2:3" x14ac:dyDescent="0.25">
      <c r="B15" t="s">
        <v>650</v>
      </c>
      <c r="C15" s="347">
        <v>13.088068181818182</v>
      </c>
    </row>
    <row r="16" spans="2:3" x14ac:dyDescent="0.25">
      <c r="B16" t="s">
        <v>195</v>
      </c>
      <c r="C16" s="347">
        <v>34.573863636363633</v>
      </c>
    </row>
    <row r="17" spans="2:3" x14ac:dyDescent="0.25">
      <c r="B17" t="s">
        <v>442</v>
      </c>
      <c r="C17" s="347">
        <v>5.3977272727272725</v>
      </c>
    </row>
    <row r="18" spans="2:3" x14ac:dyDescent="0.25">
      <c r="B18" t="s">
        <v>134</v>
      </c>
      <c r="C18" s="347">
        <v>26.480113636363637</v>
      </c>
    </row>
    <row r="19" spans="2:3" x14ac:dyDescent="0.25">
      <c r="B19" t="s">
        <v>7</v>
      </c>
      <c r="C19" s="347">
        <v>28.806818181818183</v>
      </c>
    </row>
    <row r="20" spans="2:3" x14ac:dyDescent="0.25">
      <c r="B20" t="s">
        <v>8</v>
      </c>
      <c r="C20" s="347">
        <v>35.227272727272727</v>
      </c>
    </row>
    <row r="21" spans="2:3" x14ac:dyDescent="0.25">
      <c r="B21" t="s">
        <v>9</v>
      </c>
      <c r="C21" s="347">
        <v>25.852272727272727</v>
      </c>
    </row>
    <row r="22" spans="2:3" x14ac:dyDescent="0.25">
      <c r="B22" t="s">
        <v>897</v>
      </c>
      <c r="C22" s="347">
        <v>37.414772727272727</v>
      </c>
    </row>
    <row r="23" spans="2:3" x14ac:dyDescent="0.25">
      <c r="B23" t="s">
        <v>10</v>
      </c>
      <c r="C23" s="347">
        <v>42.613636363636367</v>
      </c>
    </row>
    <row r="24" spans="2:3" x14ac:dyDescent="0.25">
      <c r="B24" t="s">
        <v>11</v>
      </c>
      <c r="C24" s="347">
        <v>40.610795454545453</v>
      </c>
    </row>
    <row r="25" spans="2:3" x14ac:dyDescent="0.25">
      <c r="B25" t="s">
        <v>12</v>
      </c>
      <c r="C25" s="347">
        <v>46.875</v>
      </c>
    </row>
    <row r="26" spans="2:3" x14ac:dyDescent="0.25">
      <c r="B26" t="s">
        <v>13</v>
      </c>
      <c r="C26" s="347">
        <v>22.15909090909091</v>
      </c>
    </row>
    <row r="27" spans="2:3" x14ac:dyDescent="0.25">
      <c r="B27" t="s">
        <v>107</v>
      </c>
      <c r="C27" s="347">
        <v>38.409090909090907</v>
      </c>
    </row>
    <row r="28" spans="2:3" x14ac:dyDescent="0.25">
      <c r="B28" t="s">
        <v>14</v>
      </c>
      <c r="C28" s="347">
        <v>31.25</v>
      </c>
    </row>
    <row r="29" spans="2:3" x14ac:dyDescent="0.25">
      <c r="B29" t="s">
        <v>33</v>
      </c>
      <c r="C29" s="347">
        <v>16.90340909090909</v>
      </c>
    </row>
    <row r="30" spans="2:3" x14ac:dyDescent="0.25">
      <c r="B30" t="s">
        <v>864</v>
      </c>
      <c r="C30" s="347">
        <v>26.051136363636363</v>
      </c>
    </row>
    <row r="31" spans="2:3" x14ac:dyDescent="0.25">
      <c r="B31" t="s">
        <v>16</v>
      </c>
      <c r="C31" s="347">
        <v>34.090909090909093</v>
      </c>
    </row>
    <row r="32" spans="2:3" x14ac:dyDescent="0.25">
      <c r="B32" t="s">
        <v>34</v>
      </c>
      <c r="C32" s="347">
        <v>53.977272727272727</v>
      </c>
    </row>
    <row r="33" spans="2:3" x14ac:dyDescent="0.25">
      <c r="B33" t="s">
        <v>428</v>
      </c>
      <c r="C33" s="347">
        <v>31.25</v>
      </c>
    </row>
    <row r="34" spans="2:3" x14ac:dyDescent="0.25">
      <c r="B34" t="s">
        <v>18</v>
      </c>
      <c r="C34" s="347">
        <v>40.497159090909093</v>
      </c>
    </row>
    <row r="35" spans="2:3" x14ac:dyDescent="0.25">
      <c r="B35" t="s">
        <v>19</v>
      </c>
      <c r="C35" s="347">
        <v>30.553977272727273</v>
      </c>
    </row>
    <row r="36" spans="2:3" x14ac:dyDescent="0.25">
      <c r="B36" t="s">
        <v>20</v>
      </c>
      <c r="C36" s="347">
        <v>26.477272727272727</v>
      </c>
    </row>
    <row r="37" spans="2:3" x14ac:dyDescent="0.25">
      <c r="B37" t="s">
        <v>21</v>
      </c>
      <c r="C37" s="347">
        <v>38.977272727272727</v>
      </c>
    </row>
    <row r="38" spans="2:3" x14ac:dyDescent="0.25">
      <c r="B38" t="s">
        <v>649</v>
      </c>
      <c r="C38" s="347">
        <v>156.25</v>
      </c>
    </row>
    <row r="39" spans="2:3" x14ac:dyDescent="0.25">
      <c r="B39" t="s">
        <v>648</v>
      </c>
      <c r="C39" s="347">
        <v>156.87784090909091</v>
      </c>
    </row>
    <row r="40" spans="2:3" x14ac:dyDescent="0.25">
      <c r="B40" t="s">
        <v>22</v>
      </c>
      <c r="C40" s="347">
        <v>25.852272727272727</v>
      </c>
    </row>
    <row r="41" spans="2:3" x14ac:dyDescent="0.25">
      <c r="B41" t="s">
        <v>430</v>
      </c>
      <c r="C41" s="347">
        <v>36.93181818181818</v>
      </c>
    </row>
    <row r="42" spans="2:3" x14ac:dyDescent="0.25">
      <c r="B42" t="s">
        <v>423</v>
      </c>
      <c r="C42" s="347">
        <v>39.772727272727273</v>
      </c>
    </row>
    <row r="43" spans="2:3" x14ac:dyDescent="0.25">
      <c r="B43" t="s">
        <v>35</v>
      </c>
      <c r="C43" s="347">
        <v>21.59090909090909</v>
      </c>
    </row>
    <row r="44" spans="2:3" x14ac:dyDescent="0.25">
      <c r="B44" t="s">
        <v>647</v>
      </c>
      <c r="C44" s="347">
        <v>18.181818181818183</v>
      </c>
    </row>
    <row r="45" spans="2:3" x14ac:dyDescent="0.25">
      <c r="B45" t="s">
        <v>36</v>
      </c>
      <c r="C45" s="347">
        <v>35.795454545454547</v>
      </c>
    </row>
    <row r="46" spans="2:3" x14ac:dyDescent="0.25">
      <c r="B46" t="s">
        <v>646</v>
      </c>
      <c r="C46" s="347">
        <v>67.61363636363636</v>
      </c>
    </row>
    <row r="47" spans="2:3" x14ac:dyDescent="0.25">
      <c r="B47" t="s">
        <v>37</v>
      </c>
      <c r="C47" s="347">
        <v>38.06818181818182</v>
      </c>
    </row>
    <row r="48" spans="2:3" x14ac:dyDescent="0.25">
      <c r="B48" t="s">
        <v>614</v>
      </c>
      <c r="C48" s="347">
        <v>11.363636363636363</v>
      </c>
    </row>
    <row r="49" spans="2:3" x14ac:dyDescent="0.25">
      <c r="B49" t="s">
        <v>197</v>
      </c>
      <c r="C49" s="347">
        <v>34.090909090909093</v>
      </c>
    </row>
    <row r="50" spans="2:3" x14ac:dyDescent="0.25">
      <c r="B50" t="s">
        <v>431</v>
      </c>
      <c r="C50" s="347">
        <v>51.136363636363633</v>
      </c>
    </row>
    <row r="51" spans="2:3" x14ac:dyDescent="0.25">
      <c r="B51" t="s">
        <v>432</v>
      </c>
      <c r="C51" s="347">
        <v>28.068181818181817</v>
      </c>
    </row>
    <row r="52" spans="2:3" x14ac:dyDescent="0.25">
      <c r="B52" t="s">
        <v>39</v>
      </c>
      <c r="C52" s="347">
        <v>33.977272727272727</v>
      </c>
    </row>
    <row r="53" spans="2:3" x14ac:dyDescent="0.25">
      <c r="B53" t="s">
        <v>25</v>
      </c>
      <c r="C53" s="347">
        <v>22.15909090909091</v>
      </c>
    </row>
    <row r="54" spans="2:3" x14ac:dyDescent="0.25">
      <c r="B54" t="s">
        <v>645</v>
      </c>
      <c r="C54" s="347">
        <v>12.351761363636363</v>
      </c>
    </row>
    <row r="55" spans="2:3" x14ac:dyDescent="0.25">
      <c r="B55" t="s">
        <v>26</v>
      </c>
      <c r="C55" s="347">
        <v>29.829545454545453</v>
      </c>
    </row>
    <row r="56" spans="2:3" x14ac:dyDescent="0.25">
      <c r="B56" t="s">
        <v>644</v>
      </c>
      <c r="C56" s="347">
        <v>12.5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B1:F64"/>
  <sheetViews>
    <sheetView workbookViewId="0">
      <selection activeCell="C2" sqref="C2"/>
    </sheetView>
  </sheetViews>
  <sheetFormatPr baseColWidth="10" defaultRowHeight="15" x14ac:dyDescent="0.25"/>
  <cols>
    <col min="1" max="1" width="11.42578125" style="247"/>
    <col min="2" max="2" width="39.42578125" style="247" bestFit="1" customWidth="1"/>
    <col min="3" max="3" width="13.85546875" style="247" bestFit="1" customWidth="1"/>
    <col min="4" max="4" width="11.42578125" style="247"/>
    <col min="5" max="5" width="39.42578125" style="247" bestFit="1" customWidth="1"/>
    <col min="6" max="16384" width="11.42578125" style="247"/>
  </cols>
  <sheetData>
    <row r="1" spans="2:6" x14ac:dyDescent="0.25">
      <c r="C1" s="247">
        <v>176</v>
      </c>
    </row>
    <row r="2" spans="2:6" x14ac:dyDescent="0.25">
      <c r="B2" s="247" t="s">
        <v>654</v>
      </c>
      <c r="C2" s="247" t="s">
        <v>653</v>
      </c>
      <c r="D2" s="347"/>
    </row>
    <row r="3" spans="2:6" x14ac:dyDescent="0.25">
      <c r="B3" s="247" t="s">
        <v>28</v>
      </c>
      <c r="C3" s="347">
        <v>56.81818181818182</v>
      </c>
      <c r="F3" s="347"/>
    </row>
    <row r="4" spans="2:6" x14ac:dyDescent="0.25">
      <c r="B4" s="247" t="s">
        <v>0</v>
      </c>
      <c r="C4" s="347">
        <v>44.946022727272727</v>
      </c>
      <c r="D4" s="347"/>
      <c r="F4" s="347"/>
    </row>
    <row r="5" spans="2:6" x14ac:dyDescent="0.25">
      <c r="B5" s="247" t="s">
        <v>1</v>
      </c>
      <c r="C5" s="347">
        <v>28.806818181818183</v>
      </c>
      <c r="D5" s="347"/>
      <c r="F5" s="347"/>
    </row>
    <row r="6" spans="2:6" x14ac:dyDescent="0.25">
      <c r="B6" s="247" t="s">
        <v>2</v>
      </c>
      <c r="C6" s="347">
        <v>51.136363636363633</v>
      </c>
      <c r="D6" s="347"/>
      <c r="F6" s="347"/>
    </row>
    <row r="7" spans="2:6" x14ac:dyDescent="0.25">
      <c r="B7" s="247" t="s">
        <v>3</v>
      </c>
      <c r="C7" s="347">
        <v>36.93181818181818</v>
      </c>
      <c r="D7" s="347"/>
      <c r="F7" s="347"/>
    </row>
    <row r="8" spans="2:6" x14ac:dyDescent="0.25">
      <c r="B8" s="247" t="s">
        <v>652</v>
      </c>
      <c r="C8" s="347">
        <v>22.727272727272727</v>
      </c>
      <c r="D8" s="347"/>
      <c r="F8" s="347"/>
    </row>
    <row r="9" spans="2:6" x14ac:dyDescent="0.25">
      <c r="B9" s="247" t="s">
        <v>29</v>
      </c>
      <c r="C9" s="347">
        <v>27.272727272727273</v>
      </c>
      <c r="D9" s="347"/>
      <c r="F9" s="347"/>
    </row>
    <row r="10" spans="2:6" x14ac:dyDescent="0.25">
      <c r="B10" s="247" t="s">
        <v>5</v>
      </c>
      <c r="C10" s="347">
        <v>47.727272727272727</v>
      </c>
      <c r="D10" s="347"/>
      <c r="F10" s="347"/>
    </row>
    <row r="11" spans="2:6" x14ac:dyDescent="0.25">
      <c r="B11" s="247" t="s">
        <v>30</v>
      </c>
      <c r="C11" s="347">
        <v>63.06818181818182</v>
      </c>
      <c r="D11" s="347"/>
      <c r="F11" s="347"/>
    </row>
    <row r="12" spans="2:6" x14ac:dyDescent="0.25">
      <c r="B12" s="247" t="s">
        <v>417</v>
      </c>
      <c r="C12" s="347">
        <v>44.31818181818182</v>
      </c>
      <c r="D12" s="347"/>
      <c r="F12" s="347"/>
    </row>
    <row r="13" spans="2:6" x14ac:dyDescent="0.25">
      <c r="B13" s="247" t="s">
        <v>31</v>
      </c>
      <c r="C13" s="347">
        <v>16.988636363636363</v>
      </c>
      <c r="D13" s="347"/>
      <c r="F13" s="347"/>
    </row>
    <row r="14" spans="2:6" x14ac:dyDescent="0.25">
      <c r="B14" s="247" t="s">
        <v>418</v>
      </c>
      <c r="C14" s="347">
        <v>22.15909090909091</v>
      </c>
      <c r="D14" s="347"/>
      <c r="F14" s="347"/>
    </row>
    <row r="15" spans="2:6" x14ac:dyDescent="0.25">
      <c r="B15" s="247" t="s">
        <v>651</v>
      </c>
      <c r="C15" s="347">
        <v>3.4090909090909092</v>
      </c>
      <c r="D15" s="347"/>
      <c r="F15" s="347"/>
    </row>
    <row r="16" spans="2:6" x14ac:dyDescent="0.25">
      <c r="B16" s="247" t="s">
        <v>650</v>
      </c>
      <c r="C16" s="347">
        <v>12.514204545454545</v>
      </c>
      <c r="D16" s="347"/>
      <c r="F16" s="347"/>
    </row>
    <row r="17" spans="2:6" x14ac:dyDescent="0.25">
      <c r="B17" s="247" t="s">
        <v>7</v>
      </c>
      <c r="C17" s="347">
        <v>28.806818181818183</v>
      </c>
      <c r="D17" s="347"/>
      <c r="F17" s="347"/>
    </row>
    <row r="18" spans="2:6" x14ac:dyDescent="0.25">
      <c r="B18" s="247" t="s">
        <v>8</v>
      </c>
      <c r="C18" s="347">
        <v>35.951704545454547</v>
      </c>
      <c r="D18" s="347"/>
      <c r="F18" s="347"/>
    </row>
    <row r="19" spans="2:6" x14ac:dyDescent="0.25">
      <c r="B19" s="247" t="s">
        <v>9</v>
      </c>
      <c r="C19" s="347">
        <v>19.886363636363637</v>
      </c>
      <c r="D19" s="347"/>
      <c r="F19" s="347"/>
    </row>
    <row r="20" spans="2:6" x14ac:dyDescent="0.25">
      <c r="B20" s="247" t="s">
        <v>419</v>
      </c>
      <c r="C20" s="347">
        <v>63.920454545454547</v>
      </c>
      <c r="D20" s="347"/>
      <c r="F20" s="347"/>
    </row>
    <row r="21" spans="2:6" x14ac:dyDescent="0.25">
      <c r="B21" s="247" t="s">
        <v>662</v>
      </c>
      <c r="C21" s="347">
        <v>39.772727272727273</v>
      </c>
      <c r="D21" s="347"/>
      <c r="F21" s="347"/>
    </row>
    <row r="22" spans="2:6" x14ac:dyDescent="0.25">
      <c r="B22" s="247" t="s">
        <v>10</v>
      </c>
      <c r="C22" s="347">
        <v>32.670454545454547</v>
      </c>
      <c r="D22" s="347"/>
      <c r="F22" s="347"/>
    </row>
    <row r="23" spans="2:6" x14ac:dyDescent="0.25">
      <c r="B23" s="247" t="s">
        <v>11</v>
      </c>
      <c r="C23" s="347">
        <v>40.625</v>
      </c>
      <c r="D23" s="347"/>
      <c r="F23" s="347"/>
    </row>
    <row r="24" spans="2:6" x14ac:dyDescent="0.25">
      <c r="B24" s="247" t="s">
        <v>659</v>
      </c>
      <c r="C24" s="347">
        <v>11.363636363636363</v>
      </c>
      <c r="D24" s="347"/>
      <c r="F24" s="347"/>
    </row>
    <row r="25" spans="2:6" x14ac:dyDescent="0.25">
      <c r="B25" s="247" t="s">
        <v>12</v>
      </c>
      <c r="C25" s="347">
        <v>39.076704545454547</v>
      </c>
      <c r="D25" s="347"/>
      <c r="F25" s="347"/>
    </row>
    <row r="26" spans="2:6" x14ac:dyDescent="0.25">
      <c r="B26" s="247" t="s">
        <v>32</v>
      </c>
      <c r="C26" s="347">
        <v>28.125</v>
      </c>
      <c r="D26" s="347"/>
      <c r="F26" s="347"/>
    </row>
    <row r="27" spans="2:6" x14ac:dyDescent="0.25">
      <c r="B27" s="247" t="s">
        <v>13</v>
      </c>
      <c r="C27" s="347">
        <v>22.15909090909091</v>
      </c>
      <c r="D27" s="347"/>
      <c r="F27" s="347"/>
    </row>
    <row r="28" spans="2:6" x14ac:dyDescent="0.25">
      <c r="B28" s="247" t="s">
        <v>14</v>
      </c>
      <c r="C28" s="347">
        <v>31.25</v>
      </c>
      <c r="D28" s="347"/>
      <c r="F28" s="347"/>
    </row>
    <row r="29" spans="2:6" x14ac:dyDescent="0.25">
      <c r="B29" s="247" t="s">
        <v>33</v>
      </c>
      <c r="C29" s="347">
        <v>14.0625</v>
      </c>
      <c r="D29" s="347"/>
      <c r="F29" s="347"/>
    </row>
    <row r="30" spans="2:6" x14ac:dyDescent="0.25">
      <c r="B30" s="247" t="s">
        <v>658</v>
      </c>
      <c r="C30" s="347">
        <v>11.363636363636363</v>
      </c>
      <c r="D30" s="347"/>
      <c r="F30" s="347"/>
    </row>
    <row r="31" spans="2:6" x14ac:dyDescent="0.25">
      <c r="B31" s="247" t="s">
        <v>420</v>
      </c>
      <c r="C31" s="347">
        <v>42.613636363636367</v>
      </c>
      <c r="D31" s="347"/>
      <c r="F31" s="347"/>
    </row>
    <row r="32" spans="2:6" x14ac:dyDescent="0.25">
      <c r="B32" s="247" t="s">
        <v>16</v>
      </c>
      <c r="C32" s="347">
        <v>34.090909090909093</v>
      </c>
      <c r="D32" s="347"/>
      <c r="F32" s="347"/>
    </row>
    <row r="33" spans="2:6" x14ac:dyDescent="0.25">
      <c r="B33" s="247" t="s">
        <v>34</v>
      </c>
      <c r="C33" s="347">
        <v>53.977272727272727</v>
      </c>
      <c r="D33" s="347"/>
      <c r="F33" s="347"/>
    </row>
    <row r="34" spans="2:6" x14ac:dyDescent="0.25">
      <c r="B34" s="247" t="s">
        <v>18</v>
      </c>
      <c r="C34" s="347">
        <v>40.497159090909093</v>
      </c>
      <c r="D34" s="347"/>
      <c r="F34" s="347"/>
    </row>
    <row r="35" spans="2:6" x14ac:dyDescent="0.25">
      <c r="B35" s="247" t="s">
        <v>661</v>
      </c>
      <c r="C35" s="347">
        <v>25</v>
      </c>
      <c r="D35" s="347"/>
      <c r="F35" s="347"/>
    </row>
    <row r="36" spans="2:6" x14ac:dyDescent="0.25">
      <c r="B36" s="247" t="s">
        <v>19</v>
      </c>
      <c r="C36" s="347">
        <v>29.829545454545453</v>
      </c>
      <c r="D36" s="347"/>
      <c r="F36" s="347"/>
    </row>
    <row r="37" spans="2:6" x14ac:dyDescent="0.25">
      <c r="B37" s="247" t="s">
        <v>421</v>
      </c>
      <c r="C37" s="347">
        <v>74.346590909090907</v>
      </c>
      <c r="D37" s="347"/>
      <c r="F37" s="347"/>
    </row>
    <row r="38" spans="2:6" x14ac:dyDescent="0.25">
      <c r="B38" s="247" t="s">
        <v>20</v>
      </c>
      <c r="C38" s="347">
        <v>26.477272727272727</v>
      </c>
      <c r="D38" s="347"/>
      <c r="F38" s="347"/>
    </row>
    <row r="39" spans="2:6" x14ac:dyDescent="0.25">
      <c r="B39" s="247" t="s">
        <v>21</v>
      </c>
      <c r="C39" s="347">
        <v>39.863636363636367</v>
      </c>
      <c r="D39" s="347"/>
      <c r="F39" s="347"/>
    </row>
    <row r="40" spans="2:6" x14ac:dyDescent="0.25">
      <c r="B40" s="247" t="s">
        <v>649</v>
      </c>
      <c r="C40" s="347">
        <v>179.70170454545453</v>
      </c>
      <c r="D40" s="347"/>
      <c r="F40" s="347"/>
    </row>
    <row r="41" spans="2:6" x14ac:dyDescent="0.25">
      <c r="B41" s="247" t="s">
        <v>648</v>
      </c>
      <c r="C41" s="347">
        <v>179.70170454545453</v>
      </c>
      <c r="D41" s="347"/>
      <c r="F41" s="347"/>
    </row>
    <row r="42" spans="2:6" x14ac:dyDescent="0.25">
      <c r="B42" s="247" t="s">
        <v>657</v>
      </c>
      <c r="C42" s="347">
        <v>107.25852272727273</v>
      </c>
      <c r="D42" s="347"/>
      <c r="F42" s="347"/>
    </row>
    <row r="43" spans="2:6" x14ac:dyDescent="0.25">
      <c r="B43" s="247" t="s">
        <v>22</v>
      </c>
      <c r="C43" s="347">
        <v>25.852272727272727</v>
      </c>
      <c r="D43" s="347"/>
      <c r="F43" s="347"/>
    </row>
    <row r="44" spans="2:6" x14ac:dyDescent="0.25">
      <c r="B44" s="247" t="s">
        <v>422</v>
      </c>
      <c r="C44" s="347">
        <v>27.556818181818183</v>
      </c>
      <c r="D44" s="347"/>
      <c r="F44" s="347"/>
    </row>
    <row r="45" spans="2:6" x14ac:dyDescent="0.25">
      <c r="B45" s="247" t="s">
        <v>23</v>
      </c>
      <c r="C45" s="347">
        <v>53.977272727272727</v>
      </c>
      <c r="D45" s="347"/>
      <c r="F45" s="347"/>
    </row>
    <row r="46" spans="2:6" x14ac:dyDescent="0.25">
      <c r="B46" s="247" t="s">
        <v>660</v>
      </c>
      <c r="C46" s="347">
        <v>28.40909090909091</v>
      </c>
      <c r="D46" s="347"/>
      <c r="F46" s="347"/>
    </row>
    <row r="47" spans="2:6" x14ac:dyDescent="0.25">
      <c r="B47" s="247" t="s">
        <v>423</v>
      </c>
      <c r="C47" s="347">
        <v>40.497159090909093</v>
      </c>
      <c r="D47" s="347"/>
      <c r="F47" s="347"/>
    </row>
    <row r="48" spans="2:6" x14ac:dyDescent="0.25">
      <c r="B48" s="247" t="s">
        <v>35</v>
      </c>
      <c r="C48" s="347">
        <v>19.886363636363637</v>
      </c>
      <c r="D48" s="347"/>
      <c r="F48" s="347"/>
    </row>
    <row r="49" spans="2:6" x14ac:dyDescent="0.25">
      <c r="B49" s="247" t="s">
        <v>647</v>
      </c>
      <c r="C49" s="347">
        <v>18.181818181818183</v>
      </c>
      <c r="D49" s="347"/>
      <c r="F49" s="347"/>
    </row>
    <row r="50" spans="2:6" x14ac:dyDescent="0.25">
      <c r="B50" s="247" t="s">
        <v>36</v>
      </c>
      <c r="C50" s="347">
        <v>35.795454545454547</v>
      </c>
      <c r="D50" s="347"/>
      <c r="F50" s="347"/>
    </row>
    <row r="51" spans="2:6" x14ac:dyDescent="0.25">
      <c r="B51" s="247" t="s">
        <v>646</v>
      </c>
      <c r="C51" s="347">
        <v>76.704545454545453</v>
      </c>
      <c r="D51" s="347"/>
      <c r="F51" s="347"/>
    </row>
    <row r="52" spans="2:6" x14ac:dyDescent="0.25">
      <c r="B52" s="247" t="s">
        <v>37</v>
      </c>
      <c r="C52" s="347">
        <v>38.06818181818182</v>
      </c>
      <c r="D52" s="347"/>
      <c r="F52" s="347"/>
    </row>
    <row r="53" spans="2:6" x14ac:dyDescent="0.25">
      <c r="B53" s="247" t="s">
        <v>424</v>
      </c>
      <c r="C53" s="347">
        <v>34.090909090909093</v>
      </c>
      <c r="D53" s="347"/>
      <c r="F53" s="347"/>
    </row>
    <row r="54" spans="2:6" x14ac:dyDescent="0.25">
      <c r="B54" s="247" t="s">
        <v>38</v>
      </c>
      <c r="C54" s="347">
        <v>26.196022727272727</v>
      </c>
      <c r="D54" s="347"/>
      <c r="F54" s="347"/>
    </row>
    <row r="55" spans="2:6" x14ac:dyDescent="0.25">
      <c r="B55" s="247" t="s">
        <v>425</v>
      </c>
      <c r="C55" s="347">
        <v>22.15909090909091</v>
      </c>
      <c r="D55" s="347"/>
      <c r="F55" s="347"/>
    </row>
    <row r="56" spans="2:6" x14ac:dyDescent="0.25">
      <c r="B56" s="247" t="s">
        <v>39</v>
      </c>
      <c r="C56" s="347">
        <v>42.613636363636367</v>
      </c>
      <c r="D56" s="347"/>
      <c r="F56" s="347"/>
    </row>
    <row r="57" spans="2:6" x14ac:dyDescent="0.25">
      <c r="B57" s="247" t="s">
        <v>25</v>
      </c>
      <c r="C57" s="347">
        <v>22.15909090909091</v>
      </c>
      <c r="D57" s="347"/>
      <c r="F57" s="347"/>
    </row>
    <row r="58" spans="2:6" x14ac:dyDescent="0.25">
      <c r="B58" s="247" t="s">
        <v>426</v>
      </c>
      <c r="C58" s="347">
        <v>46.875</v>
      </c>
      <c r="D58" s="347"/>
      <c r="F58" s="347"/>
    </row>
    <row r="59" spans="2:6" x14ac:dyDescent="0.25">
      <c r="B59" s="247" t="s">
        <v>645</v>
      </c>
      <c r="C59" s="347">
        <v>12.351761363636363</v>
      </c>
      <c r="D59" s="347"/>
      <c r="F59" s="347"/>
    </row>
    <row r="60" spans="2:6" x14ac:dyDescent="0.25">
      <c r="B60" s="247" t="s">
        <v>26</v>
      </c>
      <c r="C60" s="347">
        <v>29.829545454545453</v>
      </c>
      <c r="D60" s="347"/>
      <c r="F60" s="347"/>
    </row>
    <row r="61" spans="2:6" x14ac:dyDescent="0.25">
      <c r="B61" s="247" t="s">
        <v>644</v>
      </c>
      <c r="C61" s="347">
        <v>11.363636363636363</v>
      </c>
      <c r="D61" s="347"/>
      <c r="F61" s="347"/>
    </row>
    <row r="62" spans="2:6" x14ac:dyDescent="0.25">
      <c r="B62" s="247" t="s">
        <v>643</v>
      </c>
      <c r="C62" s="347">
        <v>76.704545454545453</v>
      </c>
      <c r="D62" s="347"/>
      <c r="F62" s="347"/>
    </row>
    <row r="63" spans="2:6" x14ac:dyDescent="0.25">
      <c r="B63" s="247" t="s">
        <v>656</v>
      </c>
      <c r="C63" s="347">
        <v>28.40909090909091</v>
      </c>
      <c r="D63" s="347"/>
      <c r="F63" s="347"/>
    </row>
    <row r="64" spans="2:6" x14ac:dyDescent="0.25">
      <c r="B64" s="247" t="s">
        <v>427</v>
      </c>
      <c r="C64" s="347">
        <v>19.886363636363637</v>
      </c>
      <c r="D64" s="347"/>
      <c r="F64" s="347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B1:F62"/>
  <sheetViews>
    <sheetView workbookViewId="0">
      <selection activeCell="C1" sqref="C1"/>
    </sheetView>
  </sheetViews>
  <sheetFormatPr baseColWidth="10" defaultRowHeight="15" x14ac:dyDescent="0.25"/>
  <cols>
    <col min="1" max="1" width="11.42578125" style="247"/>
    <col min="2" max="2" width="39.42578125" style="247" bestFit="1" customWidth="1"/>
    <col min="3" max="3" width="13.85546875" style="247" bestFit="1" customWidth="1"/>
    <col min="4" max="4" width="11.42578125" style="247"/>
    <col min="5" max="5" width="39.42578125" style="247" bestFit="1" customWidth="1"/>
    <col min="6" max="16384" width="11.42578125" style="247"/>
  </cols>
  <sheetData>
    <row r="1" spans="2:6" x14ac:dyDescent="0.25">
      <c r="C1" s="247">
        <v>160</v>
      </c>
    </row>
    <row r="2" spans="2:6" x14ac:dyDescent="0.25">
      <c r="B2" s="247" t="s">
        <v>654</v>
      </c>
      <c r="C2" s="247" t="s">
        <v>653</v>
      </c>
    </row>
    <row r="3" spans="2:6" x14ac:dyDescent="0.25">
      <c r="B3" s="247" t="s">
        <v>28</v>
      </c>
      <c r="C3" s="347">
        <v>62.5</v>
      </c>
      <c r="F3" s="347"/>
    </row>
    <row r="4" spans="2:6" x14ac:dyDescent="0.25">
      <c r="B4" s="247" t="s">
        <v>0</v>
      </c>
      <c r="C4" s="347">
        <v>49.440624999999997</v>
      </c>
      <c r="F4" s="347"/>
    </row>
    <row r="5" spans="2:6" x14ac:dyDescent="0.25">
      <c r="B5" s="247" t="s">
        <v>1</v>
      </c>
      <c r="C5" s="347">
        <v>31.6875</v>
      </c>
      <c r="F5" s="347"/>
    </row>
    <row r="6" spans="2:6" x14ac:dyDescent="0.25">
      <c r="B6" s="247" t="s">
        <v>2</v>
      </c>
      <c r="C6" s="347">
        <v>56.25</v>
      </c>
      <c r="F6" s="347"/>
    </row>
    <row r="7" spans="2:6" x14ac:dyDescent="0.25">
      <c r="B7" s="247" t="s">
        <v>3</v>
      </c>
      <c r="C7" s="347">
        <v>40.625</v>
      </c>
      <c r="F7" s="347"/>
    </row>
    <row r="8" spans="2:6" x14ac:dyDescent="0.25">
      <c r="B8" s="247" t="s">
        <v>4</v>
      </c>
      <c r="C8" s="347">
        <v>37.5</v>
      </c>
      <c r="F8" s="347"/>
    </row>
    <row r="9" spans="2:6" x14ac:dyDescent="0.25">
      <c r="B9" s="247" t="s">
        <v>652</v>
      </c>
      <c r="C9" s="347">
        <v>25</v>
      </c>
      <c r="F9" s="347"/>
    </row>
    <row r="10" spans="2:6" x14ac:dyDescent="0.25">
      <c r="B10" s="247" t="s">
        <v>29</v>
      </c>
      <c r="C10" s="347">
        <v>30</v>
      </c>
      <c r="F10" s="347"/>
    </row>
    <row r="11" spans="2:6" x14ac:dyDescent="0.25">
      <c r="B11" s="247" t="s">
        <v>5</v>
      </c>
      <c r="C11" s="347">
        <v>52.5</v>
      </c>
      <c r="F11" s="347"/>
    </row>
    <row r="12" spans="2:6" x14ac:dyDescent="0.25">
      <c r="B12" s="247" t="s">
        <v>30</v>
      </c>
      <c r="C12" s="347">
        <v>70.065624999999997</v>
      </c>
      <c r="F12" s="347"/>
    </row>
    <row r="13" spans="2:6" x14ac:dyDescent="0.25">
      <c r="B13" s="247" t="s">
        <v>417</v>
      </c>
      <c r="C13" s="347">
        <v>48.75</v>
      </c>
      <c r="F13" s="347"/>
    </row>
    <row r="14" spans="2:6" x14ac:dyDescent="0.25">
      <c r="B14" s="247" t="s">
        <v>31</v>
      </c>
      <c r="C14" s="347">
        <v>18.6875</v>
      </c>
      <c r="F14" s="347"/>
    </row>
    <row r="15" spans="2:6" x14ac:dyDescent="0.25">
      <c r="B15" s="247" t="s">
        <v>418</v>
      </c>
      <c r="C15" s="347">
        <v>24.375</v>
      </c>
      <c r="F15" s="347"/>
    </row>
    <row r="16" spans="2:6" x14ac:dyDescent="0.25">
      <c r="B16" s="247" t="s">
        <v>651</v>
      </c>
      <c r="C16" s="347">
        <v>3.75</v>
      </c>
      <c r="F16" s="347"/>
    </row>
    <row r="17" spans="2:6" x14ac:dyDescent="0.25">
      <c r="B17" s="247" t="s">
        <v>650</v>
      </c>
      <c r="C17" s="347">
        <v>13.765625</v>
      </c>
      <c r="F17" s="347"/>
    </row>
    <row r="18" spans="2:6" x14ac:dyDescent="0.25">
      <c r="B18" s="247" t="s">
        <v>7</v>
      </c>
      <c r="C18" s="347">
        <v>31.6875</v>
      </c>
      <c r="F18" s="347"/>
    </row>
    <row r="19" spans="2:6" x14ac:dyDescent="0.25">
      <c r="B19" s="247" t="s">
        <v>8</v>
      </c>
      <c r="C19" s="347">
        <v>39.546875</v>
      </c>
      <c r="F19" s="347"/>
    </row>
    <row r="20" spans="2:6" x14ac:dyDescent="0.25">
      <c r="B20" s="247" t="s">
        <v>9</v>
      </c>
      <c r="C20" s="347">
        <v>21.875</v>
      </c>
      <c r="F20" s="347"/>
    </row>
    <row r="21" spans="2:6" x14ac:dyDescent="0.25">
      <c r="B21" s="247" t="s">
        <v>419</v>
      </c>
      <c r="C21" s="347">
        <v>71.109375</v>
      </c>
      <c r="F21" s="347"/>
    </row>
    <row r="22" spans="2:6" x14ac:dyDescent="0.25">
      <c r="B22" s="247" t="s">
        <v>10</v>
      </c>
      <c r="C22" s="347">
        <v>35.9375</v>
      </c>
      <c r="F22" s="347"/>
    </row>
    <row r="23" spans="2:6" x14ac:dyDescent="0.25">
      <c r="B23" s="247" t="s">
        <v>11</v>
      </c>
      <c r="C23" s="347">
        <v>44.6875</v>
      </c>
      <c r="F23" s="347"/>
    </row>
    <row r="24" spans="2:6" x14ac:dyDescent="0.25">
      <c r="B24" s="247" t="s">
        <v>659</v>
      </c>
      <c r="C24" s="347">
        <v>12.5</v>
      </c>
      <c r="F24" s="347"/>
    </row>
    <row r="25" spans="2:6" x14ac:dyDescent="0.25">
      <c r="B25" s="247" t="s">
        <v>12</v>
      </c>
      <c r="C25" s="347">
        <v>42.984375</v>
      </c>
      <c r="F25" s="347"/>
    </row>
    <row r="26" spans="2:6" x14ac:dyDescent="0.25">
      <c r="B26" s="247" t="s">
        <v>32</v>
      </c>
      <c r="C26" s="347">
        <v>30.9375</v>
      </c>
      <c r="F26" s="347"/>
    </row>
    <row r="27" spans="2:6" x14ac:dyDescent="0.25">
      <c r="B27" s="247" t="s">
        <v>13</v>
      </c>
      <c r="C27" s="347">
        <v>24.375</v>
      </c>
      <c r="F27" s="347"/>
    </row>
    <row r="28" spans="2:6" x14ac:dyDescent="0.25">
      <c r="B28" s="247" t="s">
        <v>14</v>
      </c>
      <c r="C28" s="347">
        <v>34.375</v>
      </c>
      <c r="F28" s="347"/>
    </row>
    <row r="29" spans="2:6" x14ac:dyDescent="0.25">
      <c r="B29" s="247" t="s">
        <v>33</v>
      </c>
      <c r="C29" s="347">
        <v>15.46875</v>
      </c>
      <c r="F29" s="347"/>
    </row>
    <row r="30" spans="2:6" x14ac:dyDescent="0.25">
      <c r="B30" s="247" t="s">
        <v>658</v>
      </c>
      <c r="C30" s="347">
        <v>12.5</v>
      </c>
      <c r="F30" s="347"/>
    </row>
    <row r="31" spans="2:6" x14ac:dyDescent="0.25">
      <c r="B31" s="247" t="s">
        <v>420</v>
      </c>
      <c r="C31" s="347">
        <v>46.875</v>
      </c>
      <c r="F31" s="347"/>
    </row>
    <row r="32" spans="2:6" x14ac:dyDescent="0.25">
      <c r="B32" s="247" t="s">
        <v>16</v>
      </c>
      <c r="C32" s="347">
        <v>37.5</v>
      </c>
      <c r="F32" s="347"/>
    </row>
    <row r="33" spans="2:6" x14ac:dyDescent="0.25">
      <c r="B33" s="247" t="s">
        <v>34</v>
      </c>
      <c r="C33" s="347">
        <v>59.375</v>
      </c>
      <c r="F33" s="347"/>
    </row>
    <row r="34" spans="2:6" x14ac:dyDescent="0.25">
      <c r="B34" s="247" t="s">
        <v>18</v>
      </c>
      <c r="C34" s="347">
        <v>44.546875</v>
      </c>
      <c r="F34" s="347"/>
    </row>
    <row r="35" spans="2:6" x14ac:dyDescent="0.25">
      <c r="B35" s="247" t="s">
        <v>19</v>
      </c>
      <c r="C35" s="347">
        <v>32.8125</v>
      </c>
      <c r="F35" s="347"/>
    </row>
    <row r="36" spans="2:6" x14ac:dyDescent="0.25">
      <c r="B36" s="247" t="s">
        <v>421</v>
      </c>
      <c r="C36" s="347">
        <v>81.78125</v>
      </c>
      <c r="F36" s="347"/>
    </row>
    <row r="37" spans="2:6" x14ac:dyDescent="0.25">
      <c r="B37" s="247" t="s">
        <v>20</v>
      </c>
      <c r="C37" s="347">
        <v>29.125</v>
      </c>
      <c r="F37" s="347"/>
    </row>
    <row r="38" spans="2:6" x14ac:dyDescent="0.25">
      <c r="B38" s="247" t="s">
        <v>21</v>
      </c>
      <c r="C38" s="347">
        <v>43.85</v>
      </c>
      <c r="F38" s="347"/>
    </row>
    <row r="39" spans="2:6" x14ac:dyDescent="0.25">
      <c r="B39" s="247" t="s">
        <v>649</v>
      </c>
      <c r="C39" s="347">
        <v>172.56562500000001</v>
      </c>
      <c r="F39" s="347"/>
    </row>
    <row r="40" spans="2:6" x14ac:dyDescent="0.25">
      <c r="B40" s="247" t="s">
        <v>648</v>
      </c>
      <c r="C40" s="347">
        <v>172.56562500000001</v>
      </c>
      <c r="F40" s="347"/>
    </row>
    <row r="41" spans="2:6" x14ac:dyDescent="0.25">
      <c r="B41" s="247" t="s">
        <v>657</v>
      </c>
      <c r="C41" s="347">
        <v>117.984375</v>
      </c>
      <c r="F41" s="347"/>
    </row>
    <row r="42" spans="2:6" x14ac:dyDescent="0.25">
      <c r="B42" s="247" t="s">
        <v>22</v>
      </c>
      <c r="C42" s="347">
        <v>28.4375</v>
      </c>
      <c r="F42" s="347"/>
    </row>
    <row r="43" spans="2:6" x14ac:dyDescent="0.25">
      <c r="B43" s="247" t="s">
        <v>422</v>
      </c>
      <c r="C43" s="347">
        <v>30.3125</v>
      </c>
      <c r="F43" s="347"/>
    </row>
    <row r="44" spans="2:6" x14ac:dyDescent="0.25">
      <c r="B44" s="247" t="s">
        <v>23</v>
      </c>
      <c r="C44" s="347">
        <v>59.375</v>
      </c>
      <c r="F44" s="347"/>
    </row>
    <row r="45" spans="2:6" x14ac:dyDescent="0.25">
      <c r="B45" s="247" t="s">
        <v>660</v>
      </c>
      <c r="C45" s="347">
        <v>31.25</v>
      </c>
      <c r="F45" s="347"/>
    </row>
    <row r="46" spans="2:6" x14ac:dyDescent="0.25">
      <c r="B46" s="247" t="s">
        <v>423</v>
      </c>
      <c r="C46" s="347">
        <v>44.546875</v>
      </c>
      <c r="F46" s="347"/>
    </row>
    <row r="47" spans="2:6" x14ac:dyDescent="0.25">
      <c r="B47" s="247" t="s">
        <v>35</v>
      </c>
      <c r="C47" s="347">
        <v>21.875</v>
      </c>
      <c r="F47" s="347"/>
    </row>
    <row r="48" spans="2:6" x14ac:dyDescent="0.25">
      <c r="B48" s="247" t="s">
        <v>647</v>
      </c>
      <c r="C48" s="347">
        <v>20</v>
      </c>
      <c r="F48" s="347"/>
    </row>
    <row r="49" spans="2:6" x14ac:dyDescent="0.25">
      <c r="B49" s="247" t="s">
        <v>36</v>
      </c>
      <c r="C49" s="347">
        <v>39.375</v>
      </c>
      <c r="F49" s="347"/>
    </row>
    <row r="50" spans="2:6" x14ac:dyDescent="0.25">
      <c r="B50" s="247" t="s">
        <v>646</v>
      </c>
      <c r="C50" s="347">
        <v>74.375</v>
      </c>
      <c r="F50" s="347"/>
    </row>
    <row r="51" spans="2:6" x14ac:dyDescent="0.25">
      <c r="B51" s="247" t="s">
        <v>37</v>
      </c>
      <c r="C51" s="347">
        <v>41.875</v>
      </c>
      <c r="F51" s="347"/>
    </row>
    <row r="52" spans="2:6" x14ac:dyDescent="0.25">
      <c r="B52" s="247" t="s">
        <v>424</v>
      </c>
      <c r="C52" s="347">
        <v>37.5</v>
      </c>
      <c r="F52" s="347"/>
    </row>
    <row r="53" spans="2:6" x14ac:dyDescent="0.25">
      <c r="B53" s="247" t="s">
        <v>38</v>
      </c>
      <c r="C53" s="347">
        <v>30.315625000000001</v>
      </c>
      <c r="F53" s="347"/>
    </row>
    <row r="54" spans="2:6" x14ac:dyDescent="0.25">
      <c r="B54" s="247" t="s">
        <v>425</v>
      </c>
      <c r="C54" s="347">
        <v>24.375</v>
      </c>
      <c r="F54" s="347"/>
    </row>
    <row r="55" spans="2:6" x14ac:dyDescent="0.25">
      <c r="B55" s="247" t="s">
        <v>39</v>
      </c>
      <c r="C55" s="347">
        <v>46.875</v>
      </c>
      <c r="F55" s="347"/>
    </row>
    <row r="56" spans="2:6" x14ac:dyDescent="0.25">
      <c r="B56" s="247" t="s">
        <v>25</v>
      </c>
      <c r="C56" s="347">
        <v>24.375</v>
      </c>
      <c r="F56" s="347"/>
    </row>
    <row r="57" spans="2:6" x14ac:dyDescent="0.25">
      <c r="B57" s="247" t="s">
        <v>645</v>
      </c>
      <c r="C57" s="347">
        <v>13.586937499999999</v>
      </c>
      <c r="F57" s="347"/>
    </row>
    <row r="58" spans="2:6" x14ac:dyDescent="0.25">
      <c r="B58" s="247" t="s">
        <v>26</v>
      </c>
      <c r="C58" s="347">
        <v>32.8125</v>
      </c>
      <c r="F58" s="347"/>
    </row>
    <row r="59" spans="2:6" x14ac:dyDescent="0.25">
      <c r="B59" s="247" t="s">
        <v>644</v>
      </c>
      <c r="C59" s="347">
        <v>12.5</v>
      </c>
      <c r="F59" s="347"/>
    </row>
    <row r="60" spans="2:6" x14ac:dyDescent="0.25">
      <c r="B60" s="247" t="s">
        <v>643</v>
      </c>
      <c r="C60" s="347">
        <v>74.375</v>
      </c>
      <c r="F60" s="347"/>
    </row>
    <row r="61" spans="2:6" x14ac:dyDescent="0.25">
      <c r="B61" s="247" t="s">
        <v>656</v>
      </c>
      <c r="C61" s="347">
        <v>31.25</v>
      </c>
      <c r="F61" s="347"/>
    </row>
    <row r="62" spans="2:6" x14ac:dyDescent="0.25">
      <c r="B62" s="247" t="s">
        <v>427</v>
      </c>
      <c r="C62" s="347">
        <v>21.875</v>
      </c>
      <c r="F62" s="347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B1:F62"/>
  <sheetViews>
    <sheetView workbookViewId="0">
      <selection activeCell="C1" sqref="C1"/>
    </sheetView>
  </sheetViews>
  <sheetFormatPr baseColWidth="10" defaultRowHeight="15" x14ac:dyDescent="0.25"/>
  <cols>
    <col min="1" max="1" width="11.42578125" style="247"/>
    <col min="2" max="2" width="39.42578125" style="247" bestFit="1" customWidth="1"/>
    <col min="3" max="3" width="13.85546875" style="247" bestFit="1" customWidth="1"/>
    <col min="4" max="4" width="11.42578125" style="247"/>
    <col min="5" max="5" width="39.42578125" style="247" bestFit="1" customWidth="1"/>
    <col min="6" max="16384" width="11.42578125" style="247"/>
  </cols>
  <sheetData>
    <row r="1" spans="2:6" x14ac:dyDescent="0.25">
      <c r="C1" s="247">
        <v>184</v>
      </c>
    </row>
    <row r="2" spans="2:6" x14ac:dyDescent="0.25">
      <c r="B2" s="247" t="s">
        <v>654</v>
      </c>
      <c r="C2" s="247" t="s">
        <v>653</v>
      </c>
    </row>
    <row r="3" spans="2:6" x14ac:dyDescent="0.25">
      <c r="B3" s="247" t="s">
        <v>28</v>
      </c>
      <c r="C3" s="347">
        <v>54.347826086956523</v>
      </c>
      <c r="F3" s="347"/>
    </row>
    <row r="4" spans="2:6" x14ac:dyDescent="0.25">
      <c r="B4" s="247" t="s">
        <v>0</v>
      </c>
      <c r="C4" s="347">
        <v>42.991847826086953</v>
      </c>
      <c r="F4" s="347"/>
    </row>
    <row r="5" spans="2:6" x14ac:dyDescent="0.25">
      <c r="B5" s="247" t="s">
        <v>1</v>
      </c>
      <c r="C5" s="347">
        <v>27.554347826086957</v>
      </c>
      <c r="F5" s="347"/>
    </row>
    <row r="6" spans="2:6" x14ac:dyDescent="0.25">
      <c r="B6" s="247" t="s">
        <v>2</v>
      </c>
      <c r="C6" s="347">
        <v>48.913043478260867</v>
      </c>
      <c r="F6" s="347"/>
    </row>
    <row r="7" spans="2:6" x14ac:dyDescent="0.25">
      <c r="B7" s="247" t="s">
        <v>3</v>
      </c>
      <c r="C7" s="347">
        <v>35.326086956521742</v>
      </c>
      <c r="F7" s="347"/>
    </row>
    <row r="8" spans="2:6" x14ac:dyDescent="0.25">
      <c r="B8" s="247" t="s">
        <v>4</v>
      </c>
      <c r="C8" s="347">
        <v>32.608695652173914</v>
      </c>
      <c r="F8" s="347"/>
    </row>
    <row r="9" spans="2:6" x14ac:dyDescent="0.25">
      <c r="B9" s="247" t="s">
        <v>652</v>
      </c>
      <c r="C9" s="347">
        <v>21.739130434782609</v>
      </c>
      <c r="F9" s="347"/>
    </row>
    <row r="10" spans="2:6" x14ac:dyDescent="0.25">
      <c r="B10" s="247" t="s">
        <v>29</v>
      </c>
      <c r="C10" s="347">
        <v>26.086956521739129</v>
      </c>
      <c r="F10" s="347"/>
    </row>
    <row r="11" spans="2:6" x14ac:dyDescent="0.25">
      <c r="B11" s="247" t="s">
        <v>5</v>
      </c>
      <c r="C11" s="347">
        <v>45.652173913043477</v>
      </c>
      <c r="F11" s="347"/>
    </row>
    <row r="12" spans="2:6" x14ac:dyDescent="0.25">
      <c r="B12" s="247" t="s">
        <v>30</v>
      </c>
      <c r="C12" s="347">
        <v>60.926630434782609</v>
      </c>
      <c r="F12" s="347"/>
    </row>
    <row r="13" spans="2:6" x14ac:dyDescent="0.25">
      <c r="B13" s="247" t="s">
        <v>417</v>
      </c>
      <c r="C13" s="347">
        <v>42.391304347826086</v>
      </c>
      <c r="F13" s="347"/>
    </row>
    <row r="14" spans="2:6" x14ac:dyDescent="0.25">
      <c r="B14" s="247" t="s">
        <v>31</v>
      </c>
      <c r="C14" s="347">
        <v>16.25</v>
      </c>
      <c r="F14" s="347"/>
    </row>
    <row r="15" spans="2:6" x14ac:dyDescent="0.25">
      <c r="B15" s="247" t="s">
        <v>418</v>
      </c>
      <c r="C15" s="347">
        <v>21.195652173913043</v>
      </c>
      <c r="F15" s="347"/>
    </row>
    <row r="16" spans="2:6" x14ac:dyDescent="0.25">
      <c r="B16" s="247" t="s">
        <v>651</v>
      </c>
      <c r="C16" s="347">
        <v>3.2608695652173911</v>
      </c>
      <c r="F16" s="347"/>
    </row>
    <row r="17" spans="2:6" x14ac:dyDescent="0.25">
      <c r="B17" s="247" t="s">
        <v>650</v>
      </c>
      <c r="C17" s="347">
        <v>11.970108695652174</v>
      </c>
      <c r="F17" s="347"/>
    </row>
    <row r="18" spans="2:6" x14ac:dyDescent="0.25">
      <c r="B18" s="247" t="s">
        <v>6</v>
      </c>
      <c r="C18" s="347">
        <v>5.1630434782608692</v>
      </c>
      <c r="F18" s="347"/>
    </row>
    <row r="19" spans="2:6" x14ac:dyDescent="0.25">
      <c r="B19" s="247" t="s">
        <v>7</v>
      </c>
      <c r="C19" s="347">
        <v>27.554347826086957</v>
      </c>
      <c r="F19" s="347"/>
    </row>
    <row r="20" spans="2:6" x14ac:dyDescent="0.25">
      <c r="B20" s="247" t="s">
        <v>8</v>
      </c>
      <c r="C20" s="347">
        <v>34.388586956521742</v>
      </c>
      <c r="F20" s="347"/>
    </row>
    <row r="21" spans="2:6" x14ac:dyDescent="0.25">
      <c r="B21" s="247" t="s">
        <v>9</v>
      </c>
      <c r="C21" s="347">
        <v>19.021739130434781</v>
      </c>
      <c r="F21" s="347"/>
    </row>
    <row r="22" spans="2:6" x14ac:dyDescent="0.25">
      <c r="B22" s="247" t="s">
        <v>419</v>
      </c>
      <c r="C22" s="347">
        <v>61.834239130434781</v>
      </c>
      <c r="F22" s="347"/>
    </row>
    <row r="23" spans="2:6" x14ac:dyDescent="0.25">
      <c r="B23" s="247" t="s">
        <v>10</v>
      </c>
      <c r="C23" s="347">
        <v>31.25</v>
      </c>
      <c r="F23" s="347"/>
    </row>
    <row r="24" spans="2:6" x14ac:dyDescent="0.25">
      <c r="B24" s="247" t="s">
        <v>11</v>
      </c>
      <c r="C24" s="347">
        <v>38.858695652173914</v>
      </c>
      <c r="F24" s="347"/>
    </row>
    <row r="25" spans="2:6" x14ac:dyDescent="0.25">
      <c r="B25" s="247" t="s">
        <v>659</v>
      </c>
      <c r="C25" s="347">
        <v>10.869565217391305</v>
      </c>
      <c r="F25" s="347"/>
    </row>
    <row r="26" spans="2:6" x14ac:dyDescent="0.25">
      <c r="B26" s="247" t="s">
        <v>12</v>
      </c>
      <c r="C26" s="347">
        <v>37.377717391304351</v>
      </c>
      <c r="F26" s="347"/>
    </row>
    <row r="27" spans="2:6" x14ac:dyDescent="0.25">
      <c r="B27" s="247" t="s">
        <v>32</v>
      </c>
      <c r="C27" s="347">
        <v>26.902173913043477</v>
      </c>
      <c r="F27" s="347"/>
    </row>
    <row r="28" spans="2:6" x14ac:dyDescent="0.25">
      <c r="B28" s="247" t="s">
        <v>13</v>
      </c>
      <c r="C28" s="347">
        <v>21.195652173913043</v>
      </c>
      <c r="F28" s="347"/>
    </row>
    <row r="29" spans="2:6" x14ac:dyDescent="0.25">
      <c r="B29" s="247" t="s">
        <v>14</v>
      </c>
      <c r="C29" s="347">
        <v>29.891304347826086</v>
      </c>
      <c r="F29" s="347"/>
    </row>
    <row r="30" spans="2:6" x14ac:dyDescent="0.25">
      <c r="B30" s="247" t="s">
        <v>33</v>
      </c>
      <c r="C30" s="347">
        <v>16.168478260869566</v>
      </c>
      <c r="F30" s="347"/>
    </row>
    <row r="31" spans="2:6" x14ac:dyDescent="0.25">
      <c r="B31" s="247" t="s">
        <v>658</v>
      </c>
      <c r="C31" s="347">
        <v>10.869565217391305</v>
      </c>
      <c r="F31" s="347"/>
    </row>
    <row r="32" spans="2:6" x14ac:dyDescent="0.25">
      <c r="B32" s="247" t="s">
        <v>15</v>
      </c>
      <c r="C32" s="347">
        <v>17.663043478260871</v>
      </c>
      <c r="F32" s="347"/>
    </row>
    <row r="33" spans="2:6" x14ac:dyDescent="0.25">
      <c r="B33" s="247" t="s">
        <v>16</v>
      </c>
      <c r="C33" s="347">
        <v>32.608695652173914</v>
      </c>
      <c r="F33" s="347"/>
    </row>
    <row r="34" spans="2:6" x14ac:dyDescent="0.25">
      <c r="B34" s="247" t="s">
        <v>34</v>
      </c>
      <c r="C34" s="347">
        <v>51.630434782608695</v>
      </c>
      <c r="F34" s="347"/>
    </row>
    <row r="35" spans="2:6" x14ac:dyDescent="0.25">
      <c r="B35" s="247" t="s">
        <v>18</v>
      </c>
      <c r="C35" s="347">
        <v>38.736413043478258</v>
      </c>
      <c r="F35" s="347"/>
    </row>
    <row r="36" spans="2:6" x14ac:dyDescent="0.25">
      <c r="B36" s="247" t="s">
        <v>19</v>
      </c>
      <c r="C36" s="347">
        <v>28.532608695652176</v>
      </c>
      <c r="F36" s="347"/>
    </row>
    <row r="37" spans="2:6" x14ac:dyDescent="0.25">
      <c r="B37" s="247" t="s">
        <v>421</v>
      </c>
      <c r="C37" s="347">
        <v>71.114130434782609</v>
      </c>
      <c r="F37" s="347"/>
    </row>
    <row r="38" spans="2:6" x14ac:dyDescent="0.25">
      <c r="B38" s="247" t="s">
        <v>20</v>
      </c>
      <c r="C38" s="347">
        <v>25.326086956521738</v>
      </c>
      <c r="F38" s="347"/>
    </row>
    <row r="39" spans="2:6" x14ac:dyDescent="0.25">
      <c r="B39" s="247" t="s">
        <v>21</v>
      </c>
      <c r="C39" s="347">
        <v>38.130434782608695</v>
      </c>
      <c r="F39" s="347"/>
    </row>
    <row r="40" spans="2:6" x14ac:dyDescent="0.25">
      <c r="B40" s="247" t="s">
        <v>649</v>
      </c>
      <c r="C40" s="347">
        <v>150.05706521739131</v>
      </c>
      <c r="F40" s="347"/>
    </row>
    <row r="41" spans="2:6" x14ac:dyDescent="0.25">
      <c r="B41" s="247" t="s">
        <v>648</v>
      </c>
      <c r="C41" s="347">
        <v>150.05706521739131</v>
      </c>
      <c r="F41" s="347"/>
    </row>
    <row r="42" spans="2:6" x14ac:dyDescent="0.25">
      <c r="B42" s="247" t="s">
        <v>657</v>
      </c>
      <c r="C42" s="347">
        <v>102.59510869565217</v>
      </c>
      <c r="F42" s="347"/>
    </row>
    <row r="43" spans="2:6" x14ac:dyDescent="0.25">
      <c r="B43" s="247" t="s">
        <v>22</v>
      </c>
      <c r="C43" s="347">
        <v>24.728260869565219</v>
      </c>
      <c r="F43" s="347"/>
    </row>
    <row r="44" spans="2:6" x14ac:dyDescent="0.25">
      <c r="B44" s="247" t="s">
        <v>23</v>
      </c>
      <c r="C44" s="347">
        <v>51.630434782608695</v>
      </c>
      <c r="F44" s="347"/>
    </row>
    <row r="45" spans="2:6" x14ac:dyDescent="0.25">
      <c r="B45" s="247" t="s">
        <v>423</v>
      </c>
      <c r="C45" s="347">
        <v>38.736413043478258</v>
      </c>
      <c r="F45" s="347"/>
    </row>
    <row r="46" spans="2:6" x14ac:dyDescent="0.25">
      <c r="B46" s="247" t="s">
        <v>35</v>
      </c>
      <c r="C46" s="347">
        <v>19.021739130434781</v>
      </c>
      <c r="F46" s="347"/>
    </row>
    <row r="47" spans="2:6" x14ac:dyDescent="0.25">
      <c r="B47" s="247" t="s">
        <v>647</v>
      </c>
      <c r="C47" s="347">
        <v>17.391304347826086</v>
      </c>
      <c r="F47" s="347"/>
    </row>
    <row r="48" spans="2:6" x14ac:dyDescent="0.25">
      <c r="B48" s="247" t="s">
        <v>36</v>
      </c>
      <c r="C48" s="347">
        <v>34.239130434782609</v>
      </c>
      <c r="F48" s="347"/>
    </row>
    <row r="49" spans="2:6" x14ac:dyDescent="0.25">
      <c r="B49" s="247" t="s">
        <v>646</v>
      </c>
      <c r="C49" s="347">
        <v>64.673913043478265</v>
      </c>
      <c r="F49" s="347"/>
    </row>
    <row r="50" spans="2:6" x14ac:dyDescent="0.25">
      <c r="B50" s="247" t="s">
        <v>37</v>
      </c>
      <c r="C50" s="347">
        <v>36.413043478260867</v>
      </c>
      <c r="F50" s="347"/>
    </row>
    <row r="51" spans="2:6" x14ac:dyDescent="0.25">
      <c r="B51" s="247" t="s">
        <v>424</v>
      </c>
      <c r="C51" s="347">
        <v>32.608695652173914</v>
      </c>
      <c r="F51" s="347"/>
    </row>
    <row r="52" spans="2:6" x14ac:dyDescent="0.25">
      <c r="B52" s="247" t="s">
        <v>614</v>
      </c>
      <c r="C52" s="347">
        <v>10.869565217391305</v>
      </c>
      <c r="F52" s="347"/>
    </row>
    <row r="53" spans="2:6" x14ac:dyDescent="0.25">
      <c r="B53" s="247" t="s">
        <v>38</v>
      </c>
      <c r="C53" s="347">
        <v>26.361413043478262</v>
      </c>
      <c r="F53" s="347"/>
    </row>
    <row r="54" spans="2:6" x14ac:dyDescent="0.25">
      <c r="B54" s="247" t="s">
        <v>425</v>
      </c>
      <c r="C54" s="347">
        <v>21.195652173913043</v>
      </c>
      <c r="F54" s="347"/>
    </row>
    <row r="55" spans="2:6" x14ac:dyDescent="0.25">
      <c r="B55" s="247" t="s">
        <v>39</v>
      </c>
      <c r="C55" s="347">
        <v>32.5</v>
      </c>
      <c r="F55" s="347"/>
    </row>
    <row r="56" spans="2:6" x14ac:dyDescent="0.25">
      <c r="B56" s="247" t="s">
        <v>25</v>
      </c>
      <c r="C56" s="347">
        <v>21.195652173913043</v>
      </c>
      <c r="F56" s="347"/>
    </row>
    <row r="57" spans="2:6" x14ac:dyDescent="0.25">
      <c r="B57" s="247" t="s">
        <v>645</v>
      </c>
      <c r="C57" s="347">
        <v>11.814728260869565</v>
      </c>
      <c r="F57" s="347"/>
    </row>
    <row r="58" spans="2:6" x14ac:dyDescent="0.25">
      <c r="B58" s="247" t="s">
        <v>26</v>
      </c>
      <c r="C58" s="347">
        <v>28.532608695652176</v>
      </c>
      <c r="F58" s="347"/>
    </row>
    <row r="59" spans="2:6" x14ac:dyDescent="0.25">
      <c r="B59" s="247" t="s">
        <v>644</v>
      </c>
      <c r="C59" s="347">
        <v>10.869565217391305</v>
      </c>
      <c r="F59" s="347"/>
    </row>
    <row r="60" spans="2:6" x14ac:dyDescent="0.25">
      <c r="B60" s="247" t="s">
        <v>643</v>
      </c>
      <c r="C60" s="347">
        <v>64.673913043478265</v>
      </c>
      <c r="F60" s="347"/>
    </row>
    <row r="61" spans="2:6" x14ac:dyDescent="0.25">
      <c r="B61" s="247" t="s">
        <v>656</v>
      </c>
      <c r="C61" s="347">
        <v>27.173913043478262</v>
      </c>
      <c r="F61" s="347"/>
    </row>
    <row r="62" spans="2:6" x14ac:dyDescent="0.25">
      <c r="B62" s="247" t="s">
        <v>427</v>
      </c>
      <c r="C62" s="347">
        <v>19.021739130434781</v>
      </c>
      <c r="F62" s="347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B1:F57"/>
  <sheetViews>
    <sheetView topLeftCell="A31" workbookViewId="0">
      <selection activeCell="E3" sqref="E3:F58"/>
    </sheetView>
  </sheetViews>
  <sheetFormatPr baseColWidth="10" defaultRowHeight="15" x14ac:dyDescent="0.25"/>
  <cols>
    <col min="1" max="1" width="11.42578125" style="247"/>
    <col min="2" max="2" width="39.42578125" style="247" bestFit="1" customWidth="1"/>
    <col min="3" max="3" width="13.85546875" style="247" bestFit="1" customWidth="1"/>
    <col min="4" max="4" width="11.42578125" style="247"/>
    <col min="5" max="5" width="39.42578125" style="247" bestFit="1" customWidth="1"/>
    <col min="6" max="16384" width="11.42578125" style="247"/>
  </cols>
  <sheetData>
    <row r="1" spans="2:6" x14ac:dyDescent="0.25">
      <c r="C1" s="247">
        <v>144</v>
      </c>
    </row>
    <row r="2" spans="2:6" x14ac:dyDescent="0.25">
      <c r="B2" s="247" t="s">
        <v>654</v>
      </c>
      <c r="C2" s="247" t="s">
        <v>653</v>
      </c>
    </row>
    <row r="3" spans="2:6" x14ac:dyDescent="0.25">
      <c r="B3" s="247" t="s">
        <v>28</v>
      </c>
      <c r="C3" s="347">
        <v>69.444444444444443</v>
      </c>
      <c r="F3" s="347"/>
    </row>
    <row r="4" spans="2:6" x14ac:dyDescent="0.25">
      <c r="B4" s="247" t="s">
        <v>0</v>
      </c>
      <c r="C4" s="347">
        <v>54.934027777777779</v>
      </c>
      <c r="F4" s="347"/>
    </row>
    <row r="5" spans="2:6" x14ac:dyDescent="0.25">
      <c r="B5" s="247" t="s">
        <v>1</v>
      </c>
      <c r="C5" s="347">
        <v>35.208333333333336</v>
      </c>
      <c r="F5" s="347"/>
    </row>
    <row r="6" spans="2:6" x14ac:dyDescent="0.25">
      <c r="B6" s="247" t="s">
        <v>2</v>
      </c>
      <c r="C6" s="347">
        <v>62.5</v>
      </c>
      <c r="F6" s="347"/>
    </row>
    <row r="7" spans="2:6" x14ac:dyDescent="0.25">
      <c r="B7" s="247" t="s">
        <v>3</v>
      </c>
      <c r="C7" s="347">
        <v>45.138888888888886</v>
      </c>
      <c r="F7" s="347"/>
    </row>
    <row r="8" spans="2:6" x14ac:dyDescent="0.25">
      <c r="B8" s="247" t="s">
        <v>4</v>
      </c>
      <c r="C8" s="347">
        <v>41.666666666666664</v>
      </c>
      <c r="F8" s="347"/>
    </row>
    <row r="9" spans="2:6" x14ac:dyDescent="0.25">
      <c r="B9" s="247" t="s">
        <v>652</v>
      </c>
      <c r="C9" s="347">
        <v>27.777777777777779</v>
      </c>
      <c r="F9" s="347"/>
    </row>
    <row r="10" spans="2:6" x14ac:dyDescent="0.25">
      <c r="B10" s="247" t="s">
        <v>29</v>
      </c>
      <c r="C10" s="347">
        <v>37.5</v>
      </c>
      <c r="F10" s="347"/>
    </row>
    <row r="11" spans="2:6" x14ac:dyDescent="0.25">
      <c r="B11" s="247" t="s">
        <v>5</v>
      </c>
      <c r="C11" s="347">
        <v>58.333333333333336</v>
      </c>
      <c r="F11" s="347"/>
    </row>
    <row r="12" spans="2:6" x14ac:dyDescent="0.25">
      <c r="B12" s="247" t="s">
        <v>30</v>
      </c>
      <c r="C12" s="347">
        <v>65.972222222222229</v>
      </c>
      <c r="F12" s="347"/>
    </row>
    <row r="13" spans="2:6" x14ac:dyDescent="0.25">
      <c r="B13" s="247" t="s">
        <v>417</v>
      </c>
      <c r="C13" s="347">
        <v>54.166666666666664</v>
      </c>
      <c r="F13" s="347"/>
    </row>
    <row r="14" spans="2:6" x14ac:dyDescent="0.25">
      <c r="B14" s="247" t="s">
        <v>31</v>
      </c>
      <c r="C14" s="347">
        <v>20.763888888888889</v>
      </c>
      <c r="F14" s="347"/>
    </row>
    <row r="15" spans="2:6" x14ac:dyDescent="0.25">
      <c r="B15" s="247" t="s">
        <v>418</v>
      </c>
      <c r="C15" s="347">
        <v>27.083333333333332</v>
      </c>
      <c r="F15" s="347"/>
    </row>
    <row r="16" spans="2:6" x14ac:dyDescent="0.25">
      <c r="B16" s="247" t="s">
        <v>651</v>
      </c>
      <c r="C16" s="347">
        <v>4.166666666666667</v>
      </c>
      <c r="F16" s="347"/>
    </row>
    <row r="17" spans="2:6" x14ac:dyDescent="0.25">
      <c r="B17" s="247" t="s">
        <v>650</v>
      </c>
      <c r="C17" s="347">
        <v>15.295138888888889</v>
      </c>
      <c r="F17" s="347"/>
    </row>
    <row r="18" spans="2:6" x14ac:dyDescent="0.25">
      <c r="B18" s="247" t="s">
        <v>134</v>
      </c>
      <c r="C18" s="347">
        <v>31.597222222222221</v>
      </c>
      <c r="F18" s="347"/>
    </row>
    <row r="19" spans="2:6" x14ac:dyDescent="0.25">
      <c r="B19" s="247" t="s">
        <v>6</v>
      </c>
      <c r="C19" s="347">
        <v>6.5972222222222223</v>
      </c>
      <c r="F19" s="347"/>
    </row>
    <row r="20" spans="2:6" x14ac:dyDescent="0.25">
      <c r="B20" s="247" t="s">
        <v>7</v>
      </c>
      <c r="C20" s="347">
        <v>35.208333333333336</v>
      </c>
      <c r="F20" s="347"/>
    </row>
    <row r="21" spans="2:6" x14ac:dyDescent="0.25">
      <c r="B21" s="247" t="s">
        <v>8</v>
      </c>
      <c r="C21" s="347">
        <v>43.940972222222221</v>
      </c>
      <c r="F21" s="347"/>
    </row>
    <row r="22" spans="2:6" x14ac:dyDescent="0.25">
      <c r="B22" s="247" t="s">
        <v>9</v>
      </c>
      <c r="C22" s="347">
        <v>24.305555555555557</v>
      </c>
      <c r="F22" s="347"/>
    </row>
    <row r="23" spans="2:6" x14ac:dyDescent="0.25">
      <c r="B23" s="247" t="s">
        <v>419</v>
      </c>
      <c r="C23" s="347">
        <v>79.010416666666671</v>
      </c>
      <c r="F23" s="347"/>
    </row>
    <row r="24" spans="2:6" x14ac:dyDescent="0.25">
      <c r="B24" s="247" t="s">
        <v>10</v>
      </c>
      <c r="C24" s="347">
        <v>39.930555555555557</v>
      </c>
      <c r="F24" s="347"/>
    </row>
    <row r="25" spans="2:6" x14ac:dyDescent="0.25">
      <c r="B25" s="247" t="s">
        <v>11</v>
      </c>
      <c r="C25" s="347">
        <v>49.652777777777779</v>
      </c>
      <c r="F25" s="347"/>
    </row>
    <row r="26" spans="2:6" x14ac:dyDescent="0.25">
      <c r="B26" s="247" t="s">
        <v>12</v>
      </c>
      <c r="C26" s="347">
        <v>47.760416666666664</v>
      </c>
      <c r="F26" s="347"/>
    </row>
    <row r="27" spans="2:6" x14ac:dyDescent="0.25">
      <c r="B27" s="247" t="s">
        <v>32</v>
      </c>
      <c r="C27" s="347">
        <v>34.375</v>
      </c>
      <c r="F27" s="347"/>
    </row>
    <row r="28" spans="2:6" x14ac:dyDescent="0.25">
      <c r="B28" s="247" t="s">
        <v>13</v>
      </c>
      <c r="C28" s="347">
        <v>27.083333333333332</v>
      </c>
      <c r="F28" s="347"/>
    </row>
    <row r="29" spans="2:6" x14ac:dyDescent="0.25">
      <c r="B29" s="247" t="s">
        <v>14</v>
      </c>
      <c r="C29" s="347">
        <v>38.194444444444443</v>
      </c>
      <c r="F29" s="347"/>
    </row>
    <row r="30" spans="2:6" x14ac:dyDescent="0.25">
      <c r="B30" s="247" t="s">
        <v>33</v>
      </c>
      <c r="C30" s="347">
        <v>20.659722222222221</v>
      </c>
      <c r="F30" s="347"/>
    </row>
    <row r="31" spans="2:6" x14ac:dyDescent="0.25">
      <c r="B31" s="247" t="s">
        <v>15</v>
      </c>
      <c r="C31" s="347">
        <v>22.569444444444443</v>
      </c>
      <c r="F31" s="347"/>
    </row>
    <row r="32" spans="2:6" x14ac:dyDescent="0.25">
      <c r="B32" s="247" t="s">
        <v>16</v>
      </c>
      <c r="C32" s="347">
        <v>41.666666666666664</v>
      </c>
      <c r="F32" s="347"/>
    </row>
    <row r="33" spans="2:6" x14ac:dyDescent="0.25">
      <c r="B33" s="247" t="s">
        <v>34</v>
      </c>
      <c r="C33" s="347">
        <v>65.972222222222229</v>
      </c>
      <c r="F33" s="347"/>
    </row>
    <row r="34" spans="2:6" x14ac:dyDescent="0.25">
      <c r="B34" s="247" t="s">
        <v>17</v>
      </c>
      <c r="C34" s="347">
        <v>40.625</v>
      </c>
      <c r="F34" s="347"/>
    </row>
    <row r="35" spans="2:6" x14ac:dyDescent="0.25">
      <c r="B35" s="247" t="s">
        <v>18</v>
      </c>
      <c r="C35" s="347">
        <v>49.496527777777779</v>
      </c>
      <c r="F35" s="347"/>
    </row>
    <row r="36" spans="2:6" x14ac:dyDescent="0.25">
      <c r="B36" s="247" t="s">
        <v>19</v>
      </c>
      <c r="C36" s="347">
        <v>36.458333333333336</v>
      </c>
      <c r="F36" s="347"/>
    </row>
    <row r="37" spans="2:6" x14ac:dyDescent="0.25">
      <c r="B37" s="247" t="s">
        <v>20</v>
      </c>
      <c r="C37" s="347">
        <v>32.361111111111114</v>
      </c>
      <c r="F37" s="347"/>
    </row>
    <row r="38" spans="2:6" x14ac:dyDescent="0.25">
      <c r="B38" s="247" t="s">
        <v>21</v>
      </c>
      <c r="C38" s="347">
        <v>48.722222222222221</v>
      </c>
      <c r="F38" s="347"/>
    </row>
    <row r="39" spans="2:6" x14ac:dyDescent="0.25">
      <c r="B39" s="247" t="s">
        <v>649</v>
      </c>
      <c r="C39" s="347">
        <v>191.73958333333334</v>
      </c>
      <c r="F39" s="347"/>
    </row>
    <row r="40" spans="2:6" x14ac:dyDescent="0.25">
      <c r="B40" s="247" t="s">
        <v>648</v>
      </c>
      <c r="C40" s="347">
        <v>191.73958333333334</v>
      </c>
      <c r="F40" s="347"/>
    </row>
    <row r="41" spans="2:6" x14ac:dyDescent="0.25">
      <c r="B41" s="247" t="s">
        <v>22</v>
      </c>
      <c r="C41" s="347">
        <v>31.597222222222221</v>
      </c>
      <c r="F41" s="347"/>
    </row>
    <row r="42" spans="2:6" x14ac:dyDescent="0.25">
      <c r="B42" s="247" t="s">
        <v>23</v>
      </c>
      <c r="C42" s="347">
        <v>65.972222222222229</v>
      </c>
      <c r="F42" s="347"/>
    </row>
    <row r="43" spans="2:6" x14ac:dyDescent="0.25">
      <c r="B43" s="247" t="s">
        <v>423</v>
      </c>
      <c r="C43" s="347">
        <v>49.496527777777779</v>
      </c>
      <c r="F43" s="347"/>
    </row>
    <row r="44" spans="2:6" x14ac:dyDescent="0.25">
      <c r="B44" s="247" t="s">
        <v>35</v>
      </c>
      <c r="C44" s="347">
        <v>24.305555555555557</v>
      </c>
      <c r="F44" s="347"/>
    </row>
    <row r="45" spans="2:6" x14ac:dyDescent="0.25">
      <c r="B45" s="247" t="s">
        <v>647</v>
      </c>
      <c r="C45" s="347">
        <v>22.222222222222221</v>
      </c>
      <c r="F45" s="347"/>
    </row>
    <row r="46" spans="2:6" x14ac:dyDescent="0.25">
      <c r="B46" s="247" t="s">
        <v>36</v>
      </c>
      <c r="C46" s="347">
        <v>43.75</v>
      </c>
      <c r="F46" s="347"/>
    </row>
    <row r="47" spans="2:6" x14ac:dyDescent="0.25">
      <c r="B47" s="247" t="s">
        <v>655</v>
      </c>
      <c r="C47" s="347">
        <v>48.611111111111114</v>
      </c>
      <c r="F47" s="347"/>
    </row>
    <row r="48" spans="2:6" x14ac:dyDescent="0.25">
      <c r="B48" s="247" t="s">
        <v>646</v>
      </c>
      <c r="C48" s="347">
        <v>82.638888888888886</v>
      </c>
      <c r="F48" s="347"/>
    </row>
    <row r="49" spans="2:6" x14ac:dyDescent="0.25">
      <c r="B49" s="247" t="s">
        <v>37</v>
      </c>
      <c r="C49" s="347">
        <v>46.527777777777779</v>
      </c>
      <c r="F49" s="347"/>
    </row>
    <row r="50" spans="2:6" x14ac:dyDescent="0.25">
      <c r="B50" s="247" t="s">
        <v>424</v>
      </c>
      <c r="C50" s="347">
        <v>41.666666666666664</v>
      </c>
      <c r="F50" s="347"/>
    </row>
    <row r="51" spans="2:6" x14ac:dyDescent="0.25">
      <c r="B51" s="247" t="s">
        <v>614</v>
      </c>
      <c r="C51" s="347">
        <v>13.888888888888889</v>
      </c>
      <c r="F51" s="347"/>
    </row>
    <row r="52" spans="2:6" x14ac:dyDescent="0.25">
      <c r="B52" s="247" t="s">
        <v>38</v>
      </c>
      <c r="C52" s="347">
        <v>33.684027777777779</v>
      </c>
      <c r="F52" s="347"/>
    </row>
    <row r="53" spans="2:6" x14ac:dyDescent="0.25">
      <c r="B53" s="247" t="s">
        <v>39</v>
      </c>
      <c r="C53" s="347">
        <v>41.527777777777779</v>
      </c>
      <c r="F53" s="347"/>
    </row>
    <row r="54" spans="2:6" x14ac:dyDescent="0.25">
      <c r="B54" s="247" t="s">
        <v>25</v>
      </c>
      <c r="C54" s="347">
        <v>27.083333333333332</v>
      </c>
      <c r="F54" s="347"/>
    </row>
    <row r="55" spans="2:6" x14ac:dyDescent="0.25">
      <c r="B55" s="247" t="s">
        <v>645</v>
      </c>
      <c r="C55" s="347">
        <v>15.096597222222222</v>
      </c>
      <c r="F55" s="347"/>
    </row>
    <row r="56" spans="2:6" x14ac:dyDescent="0.25">
      <c r="B56" s="247" t="s">
        <v>26</v>
      </c>
      <c r="C56" s="347">
        <v>36.458333333333336</v>
      </c>
      <c r="F56" s="347"/>
    </row>
    <row r="57" spans="2:6" x14ac:dyDescent="0.25">
      <c r="B57" s="247" t="s">
        <v>644</v>
      </c>
      <c r="C57" s="347">
        <v>13.888888888888889</v>
      </c>
      <c r="F57" s="347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B1:F57"/>
  <sheetViews>
    <sheetView topLeftCell="A37" workbookViewId="0">
      <selection activeCell="I21" sqref="I21"/>
    </sheetView>
  </sheetViews>
  <sheetFormatPr baseColWidth="10" defaultRowHeight="15" x14ac:dyDescent="0.25"/>
  <cols>
    <col min="1" max="1" width="11.42578125" style="247"/>
    <col min="2" max="2" width="39.42578125" style="247" bestFit="1" customWidth="1"/>
    <col min="3" max="3" width="13.85546875" style="247" bestFit="1" customWidth="1"/>
    <col min="4" max="4" width="11.42578125" style="247"/>
    <col min="5" max="5" width="39.42578125" style="247" bestFit="1" customWidth="1"/>
    <col min="6" max="16384" width="11.42578125" style="247"/>
  </cols>
  <sheetData>
    <row r="1" spans="2:6" x14ac:dyDescent="0.25">
      <c r="C1" s="247">
        <v>176</v>
      </c>
    </row>
    <row r="2" spans="2:6" x14ac:dyDescent="0.25">
      <c r="B2" s="247" t="s">
        <v>654</v>
      </c>
      <c r="C2" s="247" t="s">
        <v>653</v>
      </c>
    </row>
    <row r="3" spans="2:6" x14ac:dyDescent="0.25">
      <c r="B3" s="247" t="s">
        <v>28</v>
      </c>
      <c r="C3" s="347">
        <v>56.81818181818182</v>
      </c>
      <c r="F3" s="347"/>
    </row>
    <row r="4" spans="2:6" x14ac:dyDescent="0.25">
      <c r="B4" s="247" t="s">
        <v>0</v>
      </c>
      <c r="C4" s="347">
        <v>44.946022727272727</v>
      </c>
      <c r="F4" s="347"/>
    </row>
    <row r="5" spans="2:6" x14ac:dyDescent="0.25">
      <c r="B5" s="247" t="s">
        <v>1</v>
      </c>
      <c r="C5" s="347">
        <v>28.806818181818183</v>
      </c>
      <c r="F5" s="347"/>
    </row>
    <row r="6" spans="2:6" x14ac:dyDescent="0.25">
      <c r="B6" s="247" t="s">
        <v>2</v>
      </c>
      <c r="C6" s="347">
        <v>51.136363636363633</v>
      </c>
      <c r="F6" s="347"/>
    </row>
    <row r="7" spans="2:6" x14ac:dyDescent="0.25">
      <c r="B7" s="247" t="s">
        <v>3</v>
      </c>
      <c r="C7" s="347">
        <v>36.93181818181818</v>
      </c>
      <c r="F7" s="347"/>
    </row>
    <row r="8" spans="2:6" x14ac:dyDescent="0.25">
      <c r="B8" s="247" t="s">
        <v>4</v>
      </c>
      <c r="C8" s="347">
        <v>34.090909090909093</v>
      </c>
      <c r="F8" s="347"/>
    </row>
    <row r="9" spans="2:6" x14ac:dyDescent="0.25">
      <c r="B9" s="247" t="s">
        <v>652</v>
      </c>
      <c r="C9" s="347">
        <v>22.727272727272727</v>
      </c>
      <c r="F9" s="347"/>
    </row>
    <row r="10" spans="2:6" x14ac:dyDescent="0.25">
      <c r="B10" s="247" t="s">
        <v>29</v>
      </c>
      <c r="C10" s="347">
        <v>30.681818181818183</v>
      </c>
      <c r="F10" s="347"/>
    </row>
    <row r="11" spans="2:6" x14ac:dyDescent="0.25">
      <c r="B11" s="247" t="s">
        <v>5</v>
      </c>
      <c r="C11" s="347">
        <v>47.727272727272727</v>
      </c>
      <c r="F11" s="347"/>
    </row>
    <row r="12" spans="2:6" x14ac:dyDescent="0.25">
      <c r="B12" s="247" t="s">
        <v>30</v>
      </c>
      <c r="C12" s="347">
        <v>53.977272727272727</v>
      </c>
      <c r="F12" s="347"/>
    </row>
    <row r="13" spans="2:6" x14ac:dyDescent="0.25">
      <c r="B13" s="247" t="s">
        <v>31</v>
      </c>
      <c r="C13" s="347">
        <v>16.988636363636363</v>
      </c>
      <c r="F13" s="347"/>
    </row>
    <row r="14" spans="2:6" x14ac:dyDescent="0.25">
      <c r="B14" s="247" t="s">
        <v>651</v>
      </c>
      <c r="C14" s="347">
        <v>3.4090909090909092</v>
      </c>
      <c r="F14" s="347"/>
    </row>
    <row r="15" spans="2:6" x14ac:dyDescent="0.25">
      <c r="B15" s="247" t="s">
        <v>650</v>
      </c>
      <c r="C15" s="347">
        <v>12.514204545454545</v>
      </c>
      <c r="F15" s="347"/>
    </row>
    <row r="16" spans="2:6" x14ac:dyDescent="0.25">
      <c r="B16" s="247" t="s">
        <v>195</v>
      </c>
      <c r="C16" s="347">
        <v>34.090909090909093</v>
      </c>
      <c r="F16" s="347"/>
    </row>
    <row r="17" spans="2:6" x14ac:dyDescent="0.25">
      <c r="B17" s="247" t="s">
        <v>134</v>
      </c>
      <c r="C17" s="347">
        <v>25.852272727272727</v>
      </c>
      <c r="F17" s="347"/>
    </row>
    <row r="18" spans="2:6" x14ac:dyDescent="0.25">
      <c r="B18" s="247" t="s">
        <v>6</v>
      </c>
      <c r="C18" s="347">
        <v>5.3977272727272725</v>
      </c>
      <c r="F18" s="347"/>
    </row>
    <row r="19" spans="2:6" x14ac:dyDescent="0.25">
      <c r="B19" s="247" t="s">
        <v>7</v>
      </c>
      <c r="C19" s="347">
        <v>28.806818181818183</v>
      </c>
      <c r="F19" s="347"/>
    </row>
    <row r="20" spans="2:6" x14ac:dyDescent="0.25">
      <c r="B20" s="247" t="s">
        <v>8</v>
      </c>
      <c r="C20" s="347">
        <v>35.951704545454547</v>
      </c>
      <c r="F20" s="347"/>
    </row>
    <row r="21" spans="2:6" x14ac:dyDescent="0.25">
      <c r="B21" s="247" t="s">
        <v>9</v>
      </c>
      <c r="C21" s="347">
        <v>19.886363636363637</v>
      </c>
      <c r="F21" s="347"/>
    </row>
    <row r="22" spans="2:6" x14ac:dyDescent="0.25">
      <c r="B22" s="247" t="s">
        <v>10</v>
      </c>
      <c r="C22" s="347">
        <v>32.670454545454547</v>
      </c>
      <c r="F22" s="347"/>
    </row>
    <row r="23" spans="2:6" x14ac:dyDescent="0.25">
      <c r="B23" s="247" t="s">
        <v>11</v>
      </c>
      <c r="C23" s="347">
        <v>40.625</v>
      </c>
      <c r="F23" s="347"/>
    </row>
    <row r="24" spans="2:6" x14ac:dyDescent="0.25">
      <c r="B24" s="247" t="s">
        <v>12</v>
      </c>
      <c r="C24" s="347">
        <v>39.076704545454547</v>
      </c>
      <c r="F24" s="347"/>
    </row>
    <row r="25" spans="2:6" x14ac:dyDescent="0.25">
      <c r="B25" s="247" t="s">
        <v>32</v>
      </c>
      <c r="C25" s="347">
        <v>28.125</v>
      </c>
      <c r="F25" s="347"/>
    </row>
    <row r="26" spans="2:6" x14ac:dyDescent="0.25">
      <c r="B26" s="247" t="s">
        <v>13</v>
      </c>
      <c r="C26" s="347">
        <v>22.15909090909091</v>
      </c>
      <c r="F26" s="347"/>
    </row>
    <row r="27" spans="2:6" x14ac:dyDescent="0.25">
      <c r="B27" s="247" t="s">
        <v>107</v>
      </c>
      <c r="C27" s="347">
        <v>38.409090909090907</v>
      </c>
      <c r="F27" s="347"/>
    </row>
    <row r="28" spans="2:6" x14ac:dyDescent="0.25">
      <c r="B28" s="247" t="s">
        <v>14</v>
      </c>
      <c r="C28" s="347">
        <v>31.25</v>
      </c>
      <c r="F28" s="347"/>
    </row>
    <row r="29" spans="2:6" x14ac:dyDescent="0.25">
      <c r="B29" s="247" t="s">
        <v>33</v>
      </c>
      <c r="C29" s="347">
        <v>16.90340909090909</v>
      </c>
      <c r="F29" s="347"/>
    </row>
    <row r="30" spans="2:6" x14ac:dyDescent="0.25">
      <c r="B30" s="247" t="s">
        <v>15</v>
      </c>
      <c r="C30" s="347">
        <v>18.46590909090909</v>
      </c>
      <c r="F30" s="347"/>
    </row>
    <row r="31" spans="2:6" x14ac:dyDescent="0.25">
      <c r="B31" s="247" t="s">
        <v>420</v>
      </c>
      <c r="C31" s="347">
        <v>36.93181818181818</v>
      </c>
      <c r="F31" s="347"/>
    </row>
    <row r="32" spans="2:6" x14ac:dyDescent="0.25">
      <c r="B32" s="247" t="s">
        <v>16</v>
      </c>
      <c r="C32" s="347">
        <v>34.090909090909093</v>
      </c>
      <c r="F32" s="347"/>
    </row>
    <row r="33" spans="2:6" x14ac:dyDescent="0.25">
      <c r="B33" s="247" t="s">
        <v>34</v>
      </c>
      <c r="C33" s="347">
        <v>53.977272727272727</v>
      </c>
      <c r="F33" s="347"/>
    </row>
    <row r="34" spans="2:6" x14ac:dyDescent="0.25">
      <c r="B34" s="247" t="s">
        <v>17</v>
      </c>
      <c r="C34" s="347">
        <v>33.238636363636367</v>
      </c>
      <c r="F34" s="347"/>
    </row>
    <row r="35" spans="2:6" x14ac:dyDescent="0.25">
      <c r="B35" s="247" t="s">
        <v>428</v>
      </c>
      <c r="C35" s="347">
        <v>33.238636363636367</v>
      </c>
      <c r="F35" s="347"/>
    </row>
    <row r="36" spans="2:6" x14ac:dyDescent="0.25">
      <c r="B36" s="247" t="s">
        <v>18</v>
      </c>
      <c r="C36" s="347">
        <v>40.497159090909093</v>
      </c>
      <c r="F36" s="347"/>
    </row>
    <row r="37" spans="2:6" x14ac:dyDescent="0.25">
      <c r="B37" s="247" t="s">
        <v>19</v>
      </c>
      <c r="C37" s="347">
        <v>29.829545454545453</v>
      </c>
      <c r="F37" s="347"/>
    </row>
    <row r="38" spans="2:6" x14ac:dyDescent="0.25">
      <c r="B38" s="247" t="s">
        <v>20</v>
      </c>
      <c r="C38" s="347">
        <v>26.477272727272727</v>
      </c>
      <c r="F38" s="347"/>
    </row>
    <row r="39" spans="2:6" x14ac:dyDescent="0.25">
      <c r="B39" s="247" t="s">
        <v>21</v>
      </c>
      <c r="C39" s="347">
        <v>39.863636363636367</v>
      </c>
      <c r="F39" s="347"/>
    </row>
    <row r="40" spans="2:6" x14ac:dyDescent="0.25">
      <c r="B40" s="247" t="s">
        <v>649</v>
      </c>
      <c r="C40" s="347">
        <v>156.87784090909091</v>
      </c>
      <c r="F40" s="347"/>
    </row>
    <row r="41" spans="2:6" x14ac:dyDescent="0.25">
      <c r="B41" s="247" t="s">
        <v>648</v>
      </c>
      <c r="C41" s="347">
        <v>156.87784090909091</v>
      </c>
      <c r="F41" s="347"/>
    </row>
    <row r="42" spans="2:6" x14ac:dyDescent="0.25">
      <c r="B42" s="247" t="s">
        <v>22</v>
      </c>
      <c r="C42" s="347">
        <v>25.852272727272727</v>
      </c>
      <c r="F42" s="347"/>
    </row>
    <row r="43" spans="2:6" x14ac:dyDescent="0.25">
      <c r="B43" s="247" t="s">
        <v>23</v>
      </c>
      <c r="C43" s="347">
        <v>53.977272727272727</v>
      </c>
      <c r="F43" s="347"/>
    </row>
    <row r="44" spans="2:6" x14ac:dyDescent="0.25">
      <c r="B44" s="247" t="s">
        <v>423</v>
      </c>
      <c r="C44" s="347">
        <v>40.497159090909093</v>
      </c>
      <c r="F44" s="347"/>
    </row>
    <row r="45" spans="2:6" x14ac:dyDescent="0.25">
      <c r="B45" s="247" t="s">
        <v>35</v>
      </c>
      <c r="C45" s="347">
        <v>21.59090909090909</v>
      </c>
      <c r="F45" s="347"/>
    </row>
    <row r="46" spans="2:6" x14ac:dyDescent="0.25">
      <c r="B46" s="247" t="s">
        <v>647</v>
      </c>
      <c r="C46" s="347">
        <v>18.181818181818183</v>
      </c>
      <c r="F46" s="347"/>
    </row>
    <row r="47" spans="2:6" x14ac:dyDescent="0.25">
      <c r="B47" s="247" t="s">
        <v>36</v>
      </c>
      <c r="C47" s="347">
        <v>35.795454545454547</v>
      </c>
      <c r="F47" s="347"/>
    </row>
    <row r="48" spans="2:6" x14ac:dyDescent="0.25">
      <c r="B48" s="247" t="s">
        <v>646</v>
      </c>
      <c r="C48" s="347">
        <v>67.61363636363636</v>
      </c>
      <c r="F48" s="347"/>
    </row>
    <row r="49" spans="2:6" x14ac:dyDescent="0.25">
      <c r="B49" s="247" t="s">
        <v>37</v>
      </c>
      <c r="C49" s="347">
        <v>38.06818181818182</v>
      </c>
      <c r="F49" s="347"/>
    </row>
    <row r="50" spans="2:6" x14ac:dyDescent="0.25">
      <c r="B50" s="247" t="s">
        <v>614</v>
      </c>
      <c r="C50" s="347">
        <v>11.363636363636363</v>
      </c>
      <c r="F50" s="347"/>
    </row>
    <row r="51" spans="2:6" x14ac:dyDescent="0.25">
      <c r="B51" s="247" t="s">
        <v>38</v>
      </c>
      <c r="C51" s="347">
        <v>27.55965909090909</v>
      </c>
      <c r="F51" s="347"/>
    </row>
    <row r="52" spans="2:6" x14ac:dyDescent="0.25">
      <c r="B52" s="247" t="s">
        <v>39</v>
      </c>
      <c r="C52" s="347">
        <v>33.977272727272727</v>
      </c>
      <c r="F52" s="347"/>
    </row>
    <row r="53" spans="2:6" x14ac:dyDescent="0.25">
      <c r="B53" s="247" t="s">
        <v>25</v>
      </c>
      <c r="C53" s="347">
        <v>22.15909090909091</v>
      </c>
      <c r="F53" s="347"/>
    </row>
    <row r="54" spans="2:6" x14ac:dyDescent="0.25">
      <c r="B54" s="247" t="s">
        <v>429</v>
      </c>
      <c r="C54" s="347">
        <v>34.090909090909093</v>
      </c>
      <c r="F54" s="347"/>
    </row>
    <row r="55" spans="2:6" x14ac:dyDescent="0.25">
      <c r="B55" s="247" t="s">
        <v>645</v>
      </c>
      <c r="C55" s="347">
        <v>12.351761363636363</v>
      </c>
      <c r="F55" s="347"/>
    </row>
    <row r="56" spans="2:6" x14ac:dyDescent="0.25">
      <c r="B56" s="247" t="s">
        <v>26</v>
      </c>
      <c r="C56" s="347">
        <v>29.829545454545453</v>
      </c>
      <c r="F56" s="347"/>
    </row>
    <row r="57" spans="2:6" x14ac:dyDescent="0.25">
      <c r="B57" s="247" t="s">
        <v>644</v>
      </c>
      <c r="C57" s="347">
        <v>12.5</v>
      </c>
      <c r="F57" s="347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B1:F56"/>
  <sheetViews>
    <sheetView topLeftCell="A29" workbookViewId="0">
      <selection activeCell="B50" sqref="B50"/>
    </sheetView>
  </sheetViews>
  <sheetFormatPr baseColWidth="10" defaultRowHeight="15" x14ac:dyDescent="0.25"/>
  <cols>
    <col min="1" max="1" width="11.42578125" style="247"/>
    <col min="2" max="2" width="39.42578125" style="247" bestFit="1" customWidth="1"/>
    <col min="3" max="3" width="13.85546875" style="247" bestFit="1" customWidth="1"/>
    <col min="4" max="4" width="11.42578125" style="247"/>
    <col min="5" max="5" width="39.42578125" style="247" bestFit="1" customWidth="1"/>
    <col min="6" max="16384" width="11.42578125" style="247"/>
  </cols>
  <sheetData>
    <row r="1" spans="2:6" x14ac:dyDescent="0.25">
      <c r="C1" s="247">
        <v>168</v>
      </c>
    </row>
    <row r="2" spans="2:6" x14ac:dyDescent="0.25">
      <c r="B2" s="247" t="s">
        <v>654</v>
      </c>
      <c r="C2" s="247" t="s">
        <v>653</v>
      </c>
    </row>
    <row r="3" spans="2:6" x14ac:dyDescent="0.25">
      <c r="B3" s="247" t="s">
        <v>28</v>
      </c>
      <c r="C3" s="347">
        <v>59.523809523809526</v>
      </c>
      <c r="F3" s="347"/>
    </row>
    <row r="4" spans="2:6" x14ac:dyDescent="0.25">
      <c r="B4" s="247" t="s">
        <v>1</v>
      </c>
      <c r="C4" s="347">
        <v>30.178571428571427</v>
      </c>
      <c r="F4" s="347"/>
    </row>
    <row r="5" spans="2:6" x14ac:dyDescent="0.25">
      <c r="B5" s="247" t="s">
        <v>2</v>
      </c>
      <c r="C5" s="347">
        <v>53.571428571428569</v>
      </c>
      <c r="F5" s="347"/>
    </row>
    <row r="6" spans="2:6" x14ac:dyDescent="0.25">
      <c r="B6" s="247" t="s">
        <v>3</v>
      </c>
      <c r="C6" s="347">
        <v>38.69047619047619</v>
      </c>
      <c r="F6" s="347"/>
    </row>
    <row r="7" spans="2:6" x14ac:dyDescent="0.25">
      <c r="B7" s="247" t="s">
        <v>4</v>
      </c>
      <c r="C7" s="347">
        <v>35.714285714285715</v>
      </c>
      <c r="F7" s="347"/>
    </row>
    <row r="8" spans="2:6" x14ac:dyDescent="0.25">
      <c r="B8" s="247" t="s">
        <v>652</v>
      </c>
      <c r="C8" s="347">
        <v>23.80952380952381</v>
      </c>
      <c r="F8" s="347"/>
    </row>
    <row r="9" spans="2:6" x14ac:dyDescent="0.25">
      <c r="B9" s="247" t="s">
        <v>29</v>
      </c>
      <c r="C9" s="347">
        <v>32.142857142857146</v>
      </c>
      <c r="F9" s="347"/>
    </row>
    <row r="10" spans="2:6" x14ac:dyDescent="0.25">
      <c r="B10" s="247" t="s">
        <v>5</v>
      </c>
      <c r="C10" s="347">
        <v>50</v>
      </c>
      <c r="F10" s="347"/>
    </row>
    <row r="11" spans="2:6" x14ac:dyDescent="0.25">
      <c r="B11" s="247" t="s">
        <v>30</v>
      </c>
      <c r="C11" s="347">
        <v>56.547619047619051</v>
      </c>
      <c r="F11" s="347"/>
    </row>
    <row r="12" spans="2:6" x14ac:dyDescent="0.25">
      <c r="B12" s="247" t="s">
        <v>31</v>
      </c>
      <c r="C12" s="347">
        <v>18.988095238095237</v>
      </c>
      <c r="F12" s="347"/>
    </row>
    <row r="13" spans="2:6" x14ac:dyDescent="0.25">
      <c r="B13" s="247" t="s">
        <v>651</v>
      </c>
      <c r="C13" s="347">
        <v>3.5714285714285716</v>
      </c>
      <c r="F13" s="347"/>
    </row>
    <row r="14" spans="2:6" x14ac:dyDescent="0.25">
      <c r="B14" s="247" t="s">
        <v>650</v>
      </c>
      <c r="C14" s="347">
        <v>13.110119047619047</v>
      </c>
      <c r="F14" s="347"/>
    </row>
    <row r="15" spans="2:6" x14ac:dyDescent="0.25">
      <c r="B15" s="247" t="s">
        <v>195</v>
      </c>
      <c r="C15" s="347">
        <v>35.714285714285715</v>
      </c>
      <c r="F15" s="347"/>
    </row>
    <row r="16" spans="2:6" x14ac:dyDescent="0.25">
      <c r="B16" s="247" t="s">
        <v>134</v>
      </c>
      <c r="C16" s="347">
        <v>27.741071428571427</v>
      </c>
      <c r="F16" s="347"/>
    </row>
    <row r="17" spans="2:6" x14ac:dyDescent="0.25">
      <c r="B17" s="247" t="s">
        <v>6</v>
      </c>
      <c r="C17" s="347">
        <v>5.6547619047619051</v>
      </c>
      <c r="F17" s="347"/>
    </row>
    <row r="18" spans="2:6" x14ac:dyDescent="0.25">
      <c r="B18" s="247" t="s">
        <v>7</v>
      </c>
      <c r="C18" s="347">
        <v>30.178571428571427</v>
      </c>
      <c r="F18" s="347"/>
    </row>
    <row r="19" spans="2:6" x14ac:dyDescent="0.25">
      <c r="B19" s="247" t="s">
        <v>8</v>
      </c>
      <c r="C19" s="347">
        <v>37.663690476190474</v>
      </c>
      <c r="F19" s="347"/>
    </row>
    <row r="20" spans="2:6" x14ac:dyDescent="0.25">
      <c r="B20" s="247" t="s">
        <v>9</v>
      </c>
      <c r="C20" s="347">
        <v>20.833333333333332</v>
      </c>
      <c r="F20" s="347"/>
    </row>
    <row r="21" spans="2:6" x14ac:dyDescent="0.25">
      <c r="B21" s="247" t="s">
        <v>10</v>
      </c>
      <c r="C21" s="347">
        <v>34.226190476190474</v>
      </c>
      <c r="F21" s="347"/>
    </row>
    <row r="22" spans="2:6" x14ac:dyDescent="0.25">
      <c r="B22" s="247" t="s">
        <v>11</v>
      </c>
      <c r="C22" s="347">
        <v>42.55952380952381</v>
      </c>
      <c r="F22" s="347"/>
    </row>
    <row r="23" spans="2:6" x14ac:dyDescent="0.25">
      <c r="B23" s="247" t="s">
        <v>12</v>
      </c>
      <c r="C23" s="347">
        <v>40.9375</v>
      </c>
      <c r="F23" s="347"/>
    </row>
    <row r="24" spans="2:6" x14ac:dyDescent="0.25">
      <c r="B24" s="247" t="s">
        <v>13</v>
      </c>
      <c r="C24" s="347">
        <v>23.214285714285715</v>
      </c>
      <c r="F24" s="347"/>
    </row>
    <row r="25" spans="2:6" x14ac:dyDescent="0.25">
      <c r="B25" s="247" t="s">
        <v>107</v>
      </c>
      <c r="C25" s="347">
        <v>40.238095238095241</v>
      </c>
      <c r="F25" s="347"/>
    </row>
    <row r="26" spans="2:6" x14ac:dyDescent="0.25">
      <c r="B26" s="247" t="s">
        <v>14</v>
      </c>
      <c r="C26" s="347">
        <v>32.738095238095241</v>
      </c>
      <c r="F26" s="347"/>
    </row>
    <row r="27" spans="2:6" x14ac:dyDescent="0.25">
      <c r="B27" s="247" t="s">
        <v>33</v>
      </c>
      <c r="C27" s="347">
        <v>17.708333333333332</v>
      </c>
      <c r="F27" s="347"/>
    </row>
    <row r="28" spans="2:6" x14ac:dyDescent="0.25">
      <c r="B28" s="247" t="s">
        <v>15</v>
      </c>
      <c r="C28" s="347">
        <v>19.345238095238095</v>
      </c>
      <c r="F28" s="347"/>
    </row>
    <row r="29" spans="2:6" x14ac:dyDescent="0.25">
      <c r="B29" s="247" t="s">
        <v>420</v>
      </c>
      <c r="C29" s="347">
        <v>38.69047619047619</v>
      </c>
      <c r="F29" s="347"/>
    </row>
    <row r="30" spans="2:6" x14ac:dyDescent="0.25">
      <c r="B30" s="247" t="s">
        <v>16</v>
      </c>
      <c r="C30" s="347">
        <v>35.714285714285715</v>
      </c>
      <c r="F30" s="347"/>
    </row>
    <row r="31" spans="2:6" x14ac:dyDescent="0.25">
      <c r="B31" s="247" t="s">
        <v>34</v>
      </c>
      <c r="C31" s="347">
        <v>56.547619047619051</v>
      </c>
      <c r="F31" s="347"/>
    </row>
    <row r="32" spans="2:6" x14ac:dyDescent="0.25">
      <c r="B32" s="247" t="s">
        <v>17</v>
      </c>
      <c r="C32" s="347">
        <v>34.821428571428569</v>
      </c>
      <c r="F32" s="347"/>
    </row>
    <row r="33" spans="2:6" x14ac:dyDescent="0.25">
      <c r="B33" s="247" t="s">
        <v>428</v>
      </c>
      <c r="C33" s="347">
        <v>34.821428571428569</v>
      </c>
      <c r="F33" s="347"/>
    </row>
    <row r="34" spans="2:6" x14ac:dyDescent="0.25">
      <c r="B34" s="247" t="s">
        <v>18</v>
      </c>
      <c r="C34" s="347">
        <v>42.425595238095241</v>
      </c>
      <c r="F34" s="347"/>
    </row>
    <row r="35" spans="2:6" x14ac:dyDescent="0.25">
      <c r="B35" s="247" t="s">
        <v>19</v>
      </c>
      <c r="C35" s="347">
        <v>31.25</v>
      </c>
      <c r="F35" s="347"/>
    </row>
    <row r="36" spans="2:6" x14ac:dyDescent="0.25">
      <c r="B36" s="247" t="s">
        <v>20</v>
      </c>
      <c r="C36" s="347">
        <v>27.738095238095237</v>
      </c>
      <c r="F36" s="347"/>
    </row>
    <row r="37" spans="2:6" x14ac:dyDescent="0.25">
      <c r="B37" s="247" t="s">
        <v>21</v>
      </c>
      <c r="C37" s="347">
        <v>41.761904761904759</v>
      </c>
      <c r="F37" s="347"/>
    </row>
    <row r="38" spans="2:6" x14ac:dyDescent="0.25">
      <c r="B38" s="247" t="s">
        <v>649</v>
      </c>
      <c r="C38" s="347">
        <v>164.34821428571428</v>
      </c>
      <c r="F38" s="347"/>
    </row>
    <row r="39" spans="2:6" x14ac:dyDescent="0.25">
      <c r="B39" s="247" t="s">
        <v>648</v>
      </c>
      <c r="C39" s="347">
        <v>164.34821428571428</v>
      </c>
      <c r="F39" s="347"/>
    </row>
    <row r="40" spans="2:6" x14ac:dyDescent="0.25">
      <c r="B40" s="247" t="s">
        <v>22</v>
      </c>
      <c r="C40" s="347">
        <v>27.083333333333332</v>
      </c>
      <c r="F40" s="347"/>
    </row>
    <row r="41" spans="2:6" x14ac:dyDescent="0.25">
      <c r="B41" s="247" t="s">
        <v>23</v>
      </c>
      <c r="C41" s="347">
        <v>56.547619047619051</v>
      </c>
      <c r="F41" s="347"/>
    </row>
    <row r="42" spans="2:6" x14ac:dyDescent="0.25">
      <c r="B42" s="247" t="s">
        <v>423</v>
      </c>
      <c r="C42" s="347">
        <v>42.425595238095241</v>
      </c>
      <c r="F42" s="347"/>
    </row>
    <row r="43" spans="2:6" x14ac:dyDescent="0.25">
      <c r="B43" s="247" t="s">
        <v>35</v>
      </c>
      <c r="C43" s="347">
        <v>22.61904761904762</v>
      </c>
      <c r="F43" s="347"/>
    </row>
    <row r="44" spans="2:6" x14ac:dyDescent="0.25">
      <c r="B44" s="247" t="s">
        <v>647</v>
      </c>
      <c r="C44" s="347">
        <v>19.047619047619047</v>
      </c>
      <c r="F44" s="347"/>
    </row>
    <row r="45" spans="2:6" x14ac:dyDescent="0.25">
      <c r="B45" s="247" t="s">
        <v>36</v>
      </c>
      <c r="C45" s="347">
        <v>37.5</v>
      </c>
      <c r="F45" s="347"/>
    </row>
    <row r="46" spans="2:6" x14ac:dyDescent="0.25">
      <c r="B46" s="247" t="s">
        <v>646</v>
      </c>
      <c r="C46" s="347">
        <v>70.833333333333329</v>
      </c>
      <c r="F46" s="347"/>
    </row>
    <row r="47" spans="2:6" x14ac:dyDescent="0.25">
      <c r="B47" s="247" t="s">
        <v>37</v>
      </c>
      <c r="C47" s="347">
        <v>39.88095238095238</v>
      </c>
      <c r="F47" s="347"/>
    </row>
    <row r="48" spans="2:6" x14ac:dyDescent="0.25">
      <c r="B48" s="247" t="s">
        <v>614</v>
      </c>
      <c r="C48" s="347">
        <v>11.904761904761905</v>
      </c>
      <c r="F48" s="347"/>
    </row>
    <row r="49" spans="2:6" x14ac:dyDescent="0.25">
      <c r="B49" s="247" t="s">
        <v>38</v>
      </c>
      <c r="C49" s="347">
        <v>28.87202380952381</v>
      </c>
      <c r="F49" s="347"/>
    </row>
    <row r="50" spans="2:6" x14ac:dyDescent="0.25">
      <c r="B50" s="247" t="s">
        <v>197</v>
      </c>
      <c r="C50" s="347">
        <v>35.714285714285715</v>
      </c>
      <c r="F50" s="347"/>
    </row>
    <row r="51" spans="2:6" x14ac:dyDescent="0.25">
      <c r="B51" s="247" t="s">
        <v>39</v>
      </c>
      <c r="C51" s="347">
        <v>35.595238095238095</v>
      </c>
      <c r="F51" s="347"/>
    </row>
    <row r="52" spans="2:6" x14ac:dyDescent="0.25">
      <c r="B52" s="247" t="s">
        <v>25</v>
      </c>
      <c r="C52" s="347">
        <v>23.214285714285715</v>
      </c>
      <c r="F52" s="347"/>
    </row>
    <row r="53" spans="2:6" x14ac:dyDescent="0.25">
      <c r="B53" s="247" t="s">
        <v>429</v>
      </c>
      <c r="C53" s="347">
        <v>35.714285714285715</v>
      </c>
      <c r="F53" s="347"/>
    </row>
    <row r="54" spans="2:6" x14ac:dyDescent="0.25">
      <c r="B54" s="247" t="s">
        <v>645</v>
      </c>
      <c r="C54" s="347">
        <v>12.939940476190475</v>
      </c>
      <c r="F54" s="347"/>
    </row>
    <row r="55" spans="2:6" x14ac:dyDescent="0.25">
      <c r="B55" s="247" t="s">
        <v>26</v>
      </c>
      <c r="C55" s="347">
        <v>31.25</v>
      </c>
      <c r="F55" s="347"/>
    </row>
    <row r="56" spans="2:6" x14ac:dyDescent="0.25">
      <c r="B56" s="247" t="s">
        <v>644</v>
      </c>
      <c r="C56" s="347">
        <v>13.095238095238095</v>
      </c>
      <c r="F56" s="347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B1:F53"/>
  <sheetViews>
    <sheetView topLeftCell="A7" workbookViewId="0">
      <selection activeCell="C11" sqref="C11"/>
    </sheetView>
  </sheetViews>
  <sheetFormatPr baseColWidth="10" defaultRowHeight="15" x14ac:dyDescent="0.25"/>
  <cols>
    <col min="1" max="1" width="11.42578125" style="247"/>
    <col min="2" max="2" width="39.42578125" style="247" bestFit="1" customWidth="1"/>
    <col min="3" max="4" width="11.42578125" style="247"/>
    <col min="5" max="5" width="39.42578125" style="247" bestFit="1" customWidth="1"/>
    <col min="6" max="16384" width="11.42578125" style="247"/>
  </cols>
  <sheetData>
    <row r="1" spans="2:6" x14ac:dyDescent="0.25">
      <c r="C1" s="247">
        <v>160</v>
      </c>
    </row>
    <row r="2" spans="2:6" x14ac:dyDescent="0.25">
      <c r="B2" s="247" t="s">
        <v>654</v>
      </c>
      <c r="C2" s="247" t="s">
        <v>653</v>
      </c>
    </row>
    <row r="3" spans="2:6" x14ac:dyDescent="0.25">
      <c r="B3" s="247" t="s">
        <v>28</v>
      </c>
      <c r="C3" s="347">
        <v>62.5</v>
      </c>
      <c r="F3" s="347"/>
    </row>
    <row r="4" spans="2:6" x14ac:dyDescent="0.25">
      <c r="B4" s="247" t="s">
        <v>1</v>
      </c>
      <c r="C4" s="347">
        <v>31.6875</v>
      </c>
      <c r="F4" s="347"/>
    </row>
    <row r="5" spans="2:6" x14ac:dyDescent="0.25">
      <c r="B5" s="247" t="s">
        <v>2</v>
      </c>
      <c r="C5" s="347">
        <v>56.25</v>
      </c>
      <c r="F5" s="347"/>
    </row>
    <row r="6" spans="2:6" x14ac:dyDescent="0.25">
      <c r="B6" s="247" t="s">
        <v>3</v>
      </c>
      <c r="C6" s="347">
        <v>40.625</v>
      </c>
      <c r="F6" s="347"/>
    </row>
    <row r="7" spans="2:6" x14ac:dyDescent="0.25">
      <c r="B7" s="247" t="s">
        <v>4</v>
      </c>
      <c r="C7" s="347">
        <v>37.5</v>
      </c>
      <c r="F7" s="347"/>
    </row>
    <row r="8" spans="2:6" x14ac:dyDescent="0.25">
      <c r="B8" s="247" t="s">
        <v>652</v>
      </c>
      <c r="C8" s="347">
        <v>25</v>
      </c>
      <c r="F8" s="347"/>
    </row>
    <row r="9" spans="2:6" x14ac:dyDescent="0.25">
      <c r="B9" s="247" t="s">
        <v>29</v>
      </c>
      <c r="C9" s="347">
        <v>33.75</v>
      </c>
      <c r="F9" s="347"/>
    </row>
    <row r="10" spans="2:6" x14ac:dyDescent="0.25">
      <c r="B10" s="247" t="s">
        <v>5</v>
      </c>
      <c r="C10" s="347">
        <v>52.5</v>
      </c>
      <c r="F10" s="347"/>
    </row>
    <row r="11" spans="2:6" x14ac:dyDescent="0.25">
      <c r="B11" s="247" t="s">
        <v>30</v>
      </c>
      <c r="C11" s="347">
        <v>59.375</v>
      </c>
      <c r="F11" s="347"/>
    </row>
    <row r="12" spans="2:6" x14ac:dyDescent="0.25">
      <c r="B12" s="247" t="s">
        <v>651</v>
      </c>
      <c r="C12" s="347">
        <v>3.75</v>
      </c>
      <c r="F12" s="347"/>
    </row>
    <row r="13" spans="2:6" x14ac:dyDescent="0.25">
      <c r="B13" s="247" t="s">
        <v>650</v>
      </c>
      <c r="C13" s="347">
        <v>15.19375</v>
      </c>
      <c r="F13" s="347"/>
    </row>
    <row r="14" spans="2:6" x14ac:dyDescent="0.25">
      <c r="B14" s="247" t="s">
        <v>195</v>
      </c>
      <c r="C14" s="347">
        <v>37.5</v>
      </c>
      <c r="F14" s="347"/>
    </row>
    <row r="15" spans="2:6" x14ac:dyDescent="0.25">
      <c r="B15" s="247" t="s">
        <v>442</v>
      </c>
      <c r="C15" s="347">
        <v>5.9375</v>
      </c>
      <c r="F15" s="347"/>
    </row>
    <row r="16" spans="2:6" x14ac:dyDescent="0.25">
      <c r="B16" s="247" t="s">
        <v>134</v>
      </c>
      <c r="C16" s="347">
        <v>29.128125000000001</v>
      </c>
      <c r="F16" s="347"/>
    </row>
    <row r="17" spans="2:6" x14ac:dyDescent="0.25">
      <c r="B17" s="247" t="s">
        <v>7</v>
      </c>
      <c r="C17" s="347">
        <v>31.6875</v>
      </c>
      <c r="F17" s="347"/>
    </row>
    <row r="18" spans="2:6" x14ac:dyDescent="0.25">
      <c r="B18" s="247" t="s">
        <v>8</v>
      </c>
      <c r="C18" s="347">
        <v>39.546875</v>
      </c>
      <c r="F18" s="347"/>
    </row>
    <row r="19" spans="2:6" x14ac:dyDescent="0.25">
      <c r="B19" s="247" t="s">
        <v>9</v>
      </c>
      <c r="C19" s="347">
        <v>21.875</v>
      </c>
      <c r="F19" s="347"/>
    </row>
    <row r="20" spans="2:6" x14ac:dyDescent="0.25">
      <c r="B20" s="247" t="s">
        <v>10</v>
      </c>
      <c r="C20" s="347">
        <v>46.875</v>
      </c>
      <c r="F20" s="347"/>
    </row>
    <row r="21" spans="2:6" x14ac:dyDescent="0.25">
      <c r="B21" s="247" t="s">
        <v>11</v>
      </c>
      <c r="C21" s="347">
        <v>44.671875</v>
      </c>
      <c r="F21" s="347"/>
    </row>
    <row r="22" spans="2:6" x14ac:dyDescent="0.25">
      <c r="B22" s="247" t="s">
        <v>12</v>
      </c>
      <c r="C22" s="347">
        <v>42.984375</v>
      </c>
      <c r="F22" s="347"/>
    </row>
    <row r="23" spans="2:6" x14ac:dyDescent="0.25">
      <c r="B23" s="247" t="s">
        <v>13</v>
      </c>
      <c r="C23" s="347">
        <v>24.375</v>
      </c>
      <c r="F23" s="347"/>
    </row>
    <row r="24" spans="2:6" x14ac:dyDescent="0.25">
      <c r="B24" s="247" t="s">
        <v>107</v>
      </c>
      <c r="C24" s="347">
        <v>42.25</v>
      </c>
      <c r="F24" s="347"/>
    </row>
    <row r="25" spans="2:6" x14ac:dyDescent="0.25">
      <c r="B25" s="247" t="s">
        <v>14</v>
      </c>
      <c r="C25" s="347">
        <v>34.375</v>
      </c>
      <c r="F25" s="347"/>
    </row>
    <row r="26" spans="2:6" x14ac:dyDescent="0.25">
      <c r="B26" s="247" t="s">
        <v>33</v>
      </c>
      <c r="C26" s="347">
        <v>18.59375</v>
      </c>
      <c r="F26" s="347"/>
    </row>
    <row r="27" spans="2:6" x14ac:dyDescent="0.25">
      <c r="B27" s="247" t="s">
        <v>16</v>
      </c>
      <c r="C27" s="347">
        <v>37.5</v>
      </c>
      <c r="F27" s="347"/>
    </row>
    <row r="28" spans="2:6" x14ac:dyDescent="0.25">
      <c r="B28" s="247" t="s">
        <v>34</v>
      </c>
      <c r="C28" s="347">
        <v>59.375</v>
      </c>
      <c r="F28" s="347"/>
    </row>
    <row r="29" spans="2:6" x14ac:dyDescent="0.25">
      <c r="B29" s="247" t="s">
        <v>428</v>
      </c>
      <c r="C29" s="347">
        <v>36.5625</v>
      </c>
      <c r="F29" s="347"/>
    </row>
    <row r="30" spans="2:6" x14ac:dyDescent="0.25">
      <c r="B30" s="247" t="s">
        <v>18</v>
      </c>
      <c r="C30" s="347">
        <v>44.546875</v>
      </c>
      <c r="F30" s="347"/>
    </row>
    <row r="31" spans="2:6" x14ac:dyDescent="0.25">
      <c r="B31" s="247" t="s">
        <v>19</v>
      </c>
      <c r="C31" s="347">
        <v>32.8125</v>
      </c>
      <c r="F31" s="347"/>
    </row>
    <row r="32" spans="2:6" x14ac:dyDescent="0.25">
      <c r="B32" s="247" t="s">
        <v>20</v>
      </c>
      <c r="C32" s="347">
        <v>29.125</v>
      </c>
      <c r="F32" s="347"/>
    </row>
    <row r="33" spans="2:6" x14ac:dyDescent="0.25">
      <c r="B33" s="247" t="s">
        <v>21</v>
      </c>
      <c r="C33" s="347">
        <v>42.875</v>
      </c>
      <c r="F33" s="347"/>
    </row>
    <row r="34" spans="2:6" x14ac:dyDescent="0.25">
      <c r="B34" s="247" t="s">
        <v>649</v>
      </c>
      <c r="C34" s="347">
        <v>172.56562500000001</v>
      </c>
      <c r="F34" s="347"/>
    </row>
    <row r="35" spans="2:6" x14ac:dyDescent="0.25">
      <c r="B35" s="247" t="s">
        <v>648</v>
      </c>
      <c r="C35" s="347">
        <v>172.56562500000001</v>
      </c>
      <c r="F35" s="347"/>
    </row>
    <row r="36" spans="2:6" x14ac:dyDescent="0.25">
      <c r="B36" s="247" t="s">
        <v>22</v>
      </c>
      <c r="C36" s="347">
        <v>28.4375</v>
      </c>
      <c r="F36" s="347"/>
    </row>
    <row r="37" spans="2:6" x14ac:dyDescent="0.25">
      <c r="B37" s="247" t="s">
        <v>430</v>
      </c>
      <c r="C37" s="347">
        <v>40.625</v>
      </c>
      <c r="F37" s="347"/>
    </row>
    <row r="38" spans="2:6" x14ac:dyDescent="0.25">
      <c r="B38" s="247" t="s">
        <v>23</v>
      </c>
      <c r="C38" s="347">
        <v>59.375</v>
      </c>
      <c r="F38" s="347"/>
    </row>
    <row r="39" spans="2:6" x14ac:dyDescent="0.25">
      <c r="B39" s="247" t="s">
        <v>423</v>
      </c>
      <c r="C39" s="347">
        <v>44.546875</v>
      </c>
      <c r="F39" s="347"/>
    </row>
    <row r="40" spans="2:6" x14ac:dyDescent="0.25">
      <c r="B40" s="247" t="s">
        <v>35</v>
      </c>
      <c r="C40" s="347">
        <v>23.75</v>
      </c>
      <c r="F40" s="347"/>
    </row>
    <row r="41" spans="2:6" x14ac:dyDescent="0.25">
      <c r="B41" s="247" t="s">
        <v>647</v>
      </c>
      <c r="C41" s="347">
        <v>20</v>
      </c>
      <c r="F41" s="347"/>
    </row>
    <row r="42" spans="2:6" x14ac:dyDescent="0.25">
      <c r="B42" s="247" t="s">
        <v>36</v>
      </c>
      <c r="C42" s="347">
        <v>39.375</v>
      </c>
      <c r="F42" s="347"/>
    </row>
    <row r="43" spans="2:6" x14ac:dyDescent="0.25">
      <c r="B43" s="247" t="s">
        <v>646</v>
      </c>
      <c r="C43" s="347">
        <v>74.375</v>
      </c>
      <c r="F43" s="347"/>
    </row>
    <row r="44" spans="2:6" x14ac:dyDescent="0.25">
      <c r="B44" s="247" t="s">
        <v>37</v>
      </c>
      <c r="C44" s="347">
        <v>41.875</v>
      </c>
      <c r="F44" s="347"/>
    </row>
    <row r="45" spans="2:6" x14ac:dyDescent="0.25">
      <c r="B45" s="247" t="s">
        <v>614</v>
      </c>
      <c r="C45" s="347">
        <v>12.5</v>
      </c>
      <c r="F45" s="347"/>
    </row>
    <row r="46" spans="2:6" x14ac:dyDescent="0.25">
      <c r="B46" s="247" t="s">
        <v>197</v>
      </c>
      <c r="C46" s="347">
        <v>37.5</v>
      </c>
      <c r="F46" s="347"/>
    </row>
    <row r="47" spans="2:6" x14ac:dyDescent="0.25">
      <c r="B47" s="247" t="s">
        <v>431</v>
      </c>
      <c r="C47" s="347">
        <v>43.75</v>
      </c>
      <c r="F47" s="347"/>
    </row>
    <row r="48" spans="2:6" x14ac:dyDescent="0.25">
      <c r="B48" s="247" t="s">
        <v>432</v>
      </c>
      <c r="C48" s="347">
        <v>30.875</v>
      </c>
      <c r="F48" s="347"/>
    </row>
    <row r="49" spans="2:6" x14ac:dyDescent="0.25">
      <c r="B49" s="247" t="s">
        <v>39</v>
      </c>
      <c r="C49" s="347">
        <v>37.375</v>
      </c>
      <c r="F49" s="347"/>
    </row>
    <row r="50" spans="2:6" x14ac:dyDescent="0.25">
      <c r="B50" s="247" t="s">
        <v>25</v>
      </c>
      <c r="C50" s="347">
        <v>24.375</v>
      </c>
      <c r="F50" s="347"/>
    </row>
    <row r="51" spans="2:6" x14ac:dyDescent="0.25">
      <c r="B51" s="247" t="s">
        <v>645</v>
      </c>
      <c r="C51" s="347">
        <v>13.586937499999999</v>
      </c>
      <c r="F51" s="347"/>
    </row>
    <row r="52" spans="2:6" x14ac:dyDescent="0.25">
      <c r="B52" s="247" t="s">
        <v>26</v>
      </c>
      <c r="C52" s="347">
        <v>32.8125</v>
      </c>
      <c r="F52" s="347"/>
    </row>
    <row r="53" spans="2:6" x14ac:dyDescent="0.25">
      <c r="B53" s="247" t="s">
        <v>644</v>
      </c>
      <c r="C53" s="347">
        <v>13.75</v>
      </c>
      <c r="F53" s="347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2:N56"/>
  <sheetViews>
    <sheetView topLeftCell="E1" workbookViewId="0">
      <selection activeCell="N52" sqref="N52"/>
    </sheetView>
  </sheetViews>
  <sheetFormatPr baseColWidth="10" defaultRowHeight="15" x14ac:dyDescent="0.25"/>
  <cols>
    <col min="1" max="1" width="4.7109375" customWidth="1"/>
    <col min="2" max="2" width="39.42578125" customWidth="1"/>
    <col min="3" max="6" width="11.28515625" customWidth="1"/>
    <col min="7" max="7" width="9.28515625" customWidth="1"/>
    <col min="8" max="8" width="12.42578125" customWidth="1"/>
    <col min="11" max="11" width="14.85546875" bestFit="1" customWidth="1"/>
    <col min="12" max="12" width="10.7109375" customWidth="1"/>
    <col min="13" max="13" width="11.42578125" customWidth="1"/>
    <col min="14" max="14" width="70.7109375" bestFit="1" customWidth="1"/>
  </cols>
  <sheetData>
    <row r="2" spans="1:14" ht="15.75" thickBot="1" x14ac:dyDescent="0.3">
      <c r="L2" s="640" t="s">
        <v>376</v>
      </c>
      <c r="M2" s="640"/>
    </row>
    <row r="3" spans="1:14" ht="30.75" thickBot="1" x14ac:dyDescent="0.3">
      <c r="B3" s="162" t="s">
        <v>364</v>
      </c>
      <c r="C3" t="s">
        <v>232</v>
      </c>
      <c r="D3" t="s">
        <v>233</v>
      </c>
      <c r="E3" t="s">
        <v>303</v>
      </c>
      <c r="F3" t="s">
        <v>301</v>
      </c>
      <c r="G3" t="s">
        <v>368</v>
      </c>
      <c r="H3" s="196" t="s">
        <v>373</v>
      </c>
      <c r="I3" s="196" t="s">
        <v>375</v>
      </c>
      <c r="J3" s="197" t="s">
        <v>374</v>
      </c>
      <c r="K3" s="195" t="s">
        <v>377</v>
      </c>
      <c r="L3" s="195" t="s">
        <v>378</v>
      </c>
      <c r="M3" s="195" t="s">
        <v>379</v>
      </c>
      <c r="N3" s="135" t="s">
        <v>188</v>
      </c>
    </row>
    <row r="4" spans="1:14" x14ac:dyDescent="0.25">
      <c r="A4">
        <v>1</v>
      </c>
      <c r="B4" s="164" t="s">
        <v>28</v>
      </c>
      <c r="C4" s="163">
        <v>40</v>
      </c>
      <c r="D4" s="163">
        <v>40</v>
      </c>
      <c r="E4" s="163">
        <v>40</v>
      </c>
      <c r="F4" s="163">
        <v>32</v>
      </c>
      <c r="G4" s="163">
        <v>0</v>
      </c>
      <c r="H4" s="181">
        <f>SUM(C4:G4)</f>
        <v>152</v>
      </c>
      <c r="I4" s="182">
        <f t="shared" ref="I4:I11" si="0">H4+J4</f>
        <v>160</v>
      </c>
      <c r="J4" s="186">
        <v>8</v>
      </c>
      <c r="K4" s="191">
        <v>8</v>
      </c>
      <c r="L4" s="191"/>
      <c r="M4" s="191">
        <f>J4-K4-L4</f>
        <v>0</v>
      </c>
      <c r="N4" s="192"/>
    </row>
    <row r="5" spans="1:14" x14ac:dyDescent="0.25">
      <c r="A5">
        <v>2</v>
      </c>
      <c r="B5" s="164" t="s">
        <v>268</v>
      </c>
      <c r="C5" s="163">
        <v>40</v>
      </c>
      <c r="D5" s="163">
        <v>40</v>
      </c>
      <c r="E5" s="163">
        <v>40</v>
      </c>
      <c r="F5" s="163">
        <v>32</v>
      </c>
      <c r="G5" s="163">
        <v>0</v>
      </c>
      <c r="H5" s="181">
        <f t="shared" ref="H5:H46" si="1">SUM(C5:G5)</f>
        <v>152</v>
      </c>
      <c r="I5" s="182">
        <f t="shared" si="0"/>
        <v>160</v>
      </c>
      <c r="J5" s="186">
        <v>8</v>
      </c>
      <c r="K5" s="148">
        <v>8</v>
      </c>
      <c r="L5" s="148"/>
      <c r="M5" s="148">
        <f t="shared" ref="M5:M46" si="2">J5-K5-L5</f>
        <v>0</v>
      </c>
      <c r="N5" s="193"/>
    </row>
    <row r="6" spans="1:14" x14ac:dyDescent="0.25">
      <c r="A6">
        <v>3</v>
      </c>
      <c r="B6" s="164" t="s">
        <v>277</v>
      </c>
      <c r="C6" s="163">
        <v>40</v>
      </c>
      <c r="D6" s="163">
        <v>40</v>
      </c>
      <c r="E6" s="163">
        <v>40</v>
      </c>
      <c r="F6" s="163">
        <v>32</v>
      </c>
      <c r="G6" s="163">
        <v>0</v>
      </c>
      <c r="H6" s="181">
        <f t="shared" si="1"/>
        <v>152</v>
      </c>
      <c r="I6" s="182">
        <f t="shared" si="0"/>
        <v>160</v>
      </c>
      <c r="J6" s="186">
        <v>8</v>
      </c>
      <c r="K6" s="148">
        <v>8</v>
      </c>
      <c r="L6" s="148"/>
      <c r="M6" s="148">
        <f t="shared" si="2"/>
        <v>0</v>
      </c>
      <c r="N6" s="193"/>
    </row>
    <row r="7" spans="1:14" x14ac:dyDescent="0.25">
      <c r="A7">
        <v>4</v>
      </c>
      <c r="B7" s="164" t="s">
        <v>3</v>
      </c>
      <c r="C7" s="163">
        <v>40</v>
      </c>
      <c r="D7" s="163">
        <v>40</v>
      </c>
      <c r="E7" s="163">
        <v>40</v>
      </c>
      <c r="F7" s="163">
        <v>32</v>
      </c>
      <c r="G7" s="163">
        <v>0</v>
      </c>
      <c r="H7" s="181">
        <f t="shared" si="1"/>
        <v>152</v>
      </c>
      <c r="I7" s="182">
        <f t="shared" si="0"/>
        <v>160</v>
      </c>
      <c r="J7" s="186">
        <v>8</v>
      </c>
      <c r="K7" s="148">
        <v>8</v>
      </c>
      <c r="L7" s="148"/>
      <c r="M7" s="148">
        <f t="shared" si="2"/>
        <v>0</v>
      </c>
      <c r="N7" s="193"/>
    </row>
    <row r="8" spans="1:14" x14ac:dyDescent="0.25">
      <c r="A8">
        <v>5</v>
      </c>
      <c r="B8" s="164" t="s">
        <v>276</v>
      </c>
      <c r="C8" s="163">
        <v>40</v>
      </c>
      <c r="D8" s="163">
        <v>40</v>
      </c>
      <c r="E8" s="163">
        <v>40</v>
      </c>
      <c r="F8" s="163">
        <v>32</v>
      </c>
      <c r="G8" s="163">
        <v>0</v>
      </c>
      <c r="H8" s="181">
        <f t="shared" si="1"/>
        <v>152</v>
      </c>
      <c r="I8" s="182">
        <f t="shared" si="0"/>
        <v>160</v>
      </c>
      <c r="J8" s="186">
        <v>8</v>
      </c>
      <c r="K8" s="148">
        <v>8</v>
      </c>
      <c r="L8" s="148"/>
      <c r="M8" s="148">
        <f t="shared" si="2"/>
        <v>0</v>
      </c>
      <c r="N8" s="193"/>
    </row>
    <row r="9" spans="1:14" x14ac:dyDescent="0.25">
      <c r="A9">
        <v>6</v>
      </c>
      <c r="B9" s="172" t="s">
        <v>29</v>
      </c>
      <c r="C9" s="163">
        <v>0</v>
      </c>
      <c r="D9" s="163">
        <v>0</v>
      </c>
      <c r="E9" s="163">
        <v>0</v>
      </c>
      <c r="F9" s="163">
        <v>32</v>
      </c>
      <c r="G9" s="163">
        <v>8</v>
      </c>
      <c r="H9" s="181">
        <f t="shared" si="1"/>
        <v>40</v>
      </c>
      <c r="I9" s="182">
        <f t="shared" si="0"/>
        <v>160</v>
      </c>
      <c r="J9" s="187">
        <v>120</v>
      </c>
      <c r="K9" s="148">
        <v>0</v>
      </c>
      <c r="L9" s="148"/>
      <c r="M9" s="183">
        <f t="shared" si="2"/>
        <v>120</v>
      </c>
      <c r="N9" s="202" t="s">
        <v>386</v>
      </c>
    </row>
    <row r="10" spans="1:14" x14ac:dyDescent="0.25">
      <c r="A10">
        <v>7</v>
      </c>
      <c r="B10" s="164" t="s">
        <v>5</v>
      </c>
      <c r="C10" s="163">
        <v>40</v>
      </c>
      <c r="D10" s="163">
        <v>40</v>
      </c>
      <c r="E10" s="163">
        <v>40</v>
      </c>
      <c r="F10" s="163">
        <v>32</v>
      </c>
      <c r="G10" s="163">
        <v>0</v>
      </c>
      <c r="H10" s="181">
        <f t="shared" si="1"/>
        <v>152</v>
      </c>
      <c r="I10" s="182">
        <f t="shared" si="0"/>
        <v>160</v>
      </c>
      <c r="J10" s="186">
        <v>8</v>
      </c>
      <c r="K10" s="148">
        <v>8</v>
      </c>
      <c r="L10" s="148"/>
      <c r="M10" s="148">
        <f t="shared" si="2"/>
        <v>0</v>
      </c>
      <c r="N10" s="193"/>
    </row>
    <row r="11" spans="1:14" x14ac:dyDescent="0.25">
      <c r="A11">
        <v>8</v>
      </c>
      <c r="B11" s="164" t="s">
        <v>30</v>
      </c>
      <c r="C11" s="163">
        <v>40</v>
      </c>
      <c r="D11" s="163">
        <v>40</v>
      </c>
      <c r="E11" s="163">
        <v>40</v>
      </c>
      <c r="F11" s="163">
        <v>32</v>
      </c>
      <c r="G11" s="163">
        <v>0</v>
      </c>
      <c r="H11" s="181">
        <f t="shared" si="1"/>
        <v>152</v>
      </c>
      <c r="I11" s="182">
        <f t="shared" si="0"/>
        <v>160</v>
      </c>
      <c r="J11" s="186">
        <v>8</v>
      </c>
      <c r="K11" s="148">
        <v>8</v>
      </c>
      <c r="L11" s="148"/>
      <c r="M11" s="148">
        <f t="shared" si="2"/>
        <v>0</v>
      </c>
      <c r="N11" s="193"/>
    </row>
    <row r="12" spans="1:14" x14ac:dyDescent="0.25">
      <c r="A12">
        <v>9</v>
      </c>
      <c r="B12" s="172" t="s">
        <v>31</v>
      </c>
      <c r="C12" s="163">
        <v>0</v>
      </c>
      <c r="D12" s="163">
        <v>0</v>
      </c>
      <c r="E12" s="163">
        <v>0</v>
      </c>
      <c r="F12" s="163">
        <v>0</v>
      </c>
      <c r="G12" s="163">
        <v>0</v>
      </c>
      <c r="H12" s="181">
        <f t="shared" si="1"/>
        <v>0</v>
      </c>
      <c r="I12" s="182"/>
      <c r="J12" s="186"/>
      <c r="K12" s="148"/>
      <c r="L12" s="148"/>
      <c r="M12" s="148">
        <f t="shared" si="2"/>
        <v>0</v>
      </c>
      <c r="N12" s="193"/>
    </row>
    <row r="13" spans="1:14" x14ac:dyDescent="0.25">
      <c r="A13">
        <v>10</v>
      </c>
      <c r="B13" s="164" t="s">
        <v>195</v>
      </c>
      <c r="C13" s="163">
        <v>40</v>
      </c>
      <c r="D13" s="163">
        <v>40</v>
      </c>
      <c r="E13" s="163">
        <v>40</v>
      </c>
      <c r="F13" s="163">
        <v>32</v>
      </c>
      <c r="G13" s="163">
        <v>0</v>
      </c>
      <c r="H13" s="181">
        <f t="shared" si="1"/>
        <v>152</v>
      </c>
      <c r="I13" s="182">
        <f t="shared" ref="I13:I47" si="3">H13+J13</f>
        <v>160</v>
      </c>
      <c r="J13" s="186">
        <v>8</v>
      </c>
      <c r="K13" s="148">
        <v>8</v>
      </c>
      <c r="L13" s="148"/>
      <c r="M13" s="148">
        <f t="shared" si="2"/>
        <v>0</v>
      </c>
      <c r="N13" s="193"/>
    </row>
    <row r="14" spans="1:14" x14ac:dyDescent="0.25">
      <c r="A14">
        <v>11</v>
      </c>
      <c r="B14" s="164" t="s">
        <v>134</v>
      </c>
      <c r="C14" s="163">
        <v>40</v>
      </c>
      <c r="D14" s="163">
        <v>40</v>
      </c>
      <c r="E14" s="163">
        <v>40</v>
      </c>
      <c r="F14" s="163">
        <v>32</v>
      </c>
      <c r="G14" s="163">
        <v>0</v>
      </c>
      <c r="H14" s="181">
        <f t="shared" si="1"/>
        <v>152</v>
      </c>
      <c r="I14" s="182">
        <f t="shared" si="3"/>
        <v>160</v>
      </c>
      <c r="J14" s="186">
        <v>8</v>
      </c>
      <c r="K14" s="148">
        <v>8</v>
      </c>
      <c r="L14" s="148"/>
      <c r="M14" s="148">
        <f t="shared" si="2"/>
        <v>0</v>
      </c>
      <c r="N14" s="193"/>
    </row>
    <row r="15" spans="1:14" x14ac:dyDescent="0.25">
      <c r="A15">
        <v>12</v>
      </c>
      <c r="B15" s="164" t="s">
        <v>274</v>
      </c>
      <c r="C15" s="163">
        <v>40</v>
      </c>
      <c r="D15" s="163">
        <v>40</v>
      </c>
      <c r="E15" s="163">
        <v>40</v>
      </c>
      <c r="F15" s="163">
        <v>32</v>
      </c>
      <c r="G15" s="163">
        <v>0</v>
      </c>
      <c r="H15" s="181">
        <f t="shared" si="1"/>
        <v>152</v>
      </c>
      <c r="I15" s="182">
        <f t="shared" si="3"/>
        <v>160</v>
      </c>
      <c r="J15" s="186">
        <v>8</v>
      </c>
      <c r="K15" s="148">
        <v>8</v>
      </c>
      <c r="L15" s="148"/>
      <c r="M15" s="148">
        <f t="shared" si="2"/>
        <v>0</v>
      </c>
      <c r="N15" s="193"/>
    </row>
    <row r="16" spans="1:14" x14ac:dyDescent="0.25">
      <c r="A16">
        <v>13</v>
      </c>
      <c r="B16" s="164" t="s">
        <v>278</v>
      </c>
      <c r="C16" s="163">
        <v>40</v>
      </c>
      <c r="D16" s="163">
        <v>40</v>
      </c>
      <c r="E16" s="163">
        <v>40</v>
      </c>
      <c r="F16" s="163">
        <v>32</v>
      </c>
      <c r="G16" s="163">
        <v>0</v>
      </c>
      <c r="H16" s="181">
        <f t="shared" si="1"/>
        <v>152</v>
      </c>
      <c r="I16" s="182">
        <f t="shared" si="3"/>
        <v>160</v>
      </c>
      <c r="J16" s="186">
        <v>8</v>
      </c>
      <c r="K16" s="148">
        <v>8</v>
      </c>
      <c r="L16" s="148"/>
      <c r="M16" s="148">
        <f t="shared" si="2"/>
        <v>0</v>
      </c>
      <c r="N16" s="193"/>
    </row>
    <row r="17" spans="1:14" x14ac:dyDescent="0.25">
      <c r="A17">
        <v>14</v>
      </c>
      <c r="B17" s="164" t="s">
        <v>279</v>
      </c>
      <c r="C17" s="163">
        <v>40</v>
      </c>
      <c r="D17" s="163">
        <v>40</v>
      </c>
      <c r="E17" s="163">
        <v>40</v>
      </c>
      <c r="F17" s="163">
        <v>32</v>
      </c>
      <c r="G17" s="163">
        <v>0</v>
      </c>
      <c r="H17" s="181">
        <f t="shared" si="1"/>
        <v>152</v>
      </c>
      <c r="I17" s="182">
        <f t="shared" si="3"/>
        <v>160</v>
      </c>
      <c r="J17" s="186">
        <v>8</v>
      </c>
      <c r="K17" s="148">
        <v>8</v>
      </c>
      <c r="L17" s="148"/>
      <c r="M17" s="148">
        <f t="shared" si="2"/>
        <v>0</v>
      </c>
      <c r="N17" s="193"/>
    </row>
    <row r="18" spans="1:14" x14ac:dyDescent="0.25">
      <c r="A18">
        <v>15</v>
      </c>
      <c r="B18" s="164" t="s">
        <v>10</v>
      </c>
      <c r="C18" s="163">
        <v>40</v>
      </c>
      <c r="D18" s="163">
        <v>40</v>
      </c>
      <c r="E18" s="163">
        <v>40</v>
      </c>
      <c r="F18" s="163">
        <v>32</v>
      </c>
      <c r="G18" s="163">
        <v>0</v>
      </c>
      <c r="H18" s="181">
        <f t="shared" si="1"/>
        <v>152</v>
      </c>
      <c r="I18" s="182">
        <f t="shared" si="3"/>
        <v>160</v>
      </c>
      <c r="J18" s="186">
        <v>8</v>
      </c>
      <c r="K18" s="148">
        <v>8</v>
      </c>
      <c r="L18" s="148"/>
      <c r="M18" s="148">
        <f t="shared" si="2"/>
        <v>0</v>
      </c>
      <c r="N18" s="193"/>
    </row>
    <row r="19" spans="1:14" x14ac:dyDescent="0.25">
      <c r="A19">
        <v>16</v>
      </c>
      <c r="B19" s="171" t="s">
        <v>230</v>
      </c>
      <c r="C19" s="163">
        <v>40</v>
      </c>
      <c r="D19" s="163">
        <v>40</v>
      </c>
      <c r="E19" s="163">
        <v>40</v>
      </c>
      <c r="F19" s="163">
        <v>32</v>
      </c>
      <c r="G19" s="163">
        <v>0</v>
      </c>
      <c r="H19" s="181">
        <f t="shared" si="1"/>
        <v>152</v>
      </c>
      <c r="I19" s="182">
        <f t="shared" si="3"/>
        <v>160</v>
      </c>
      <c r="J19" s="186">
        <v>8</v>
      </c>
      <c r="K19" s="148">
        <v>8</v>
      </c>
      <c r="L19" s="148"/>
      <c r="M19" s="148">
        <f t="shared" si="2"/>
        <v>0</v>
      </c>
      <c r="N19" s="193"/>
    </row>
    <row r="20" spans="1:14" x14ac:dyDescent="0.25">
      <c r="A20">
        <v>17</v>
      </c>
      <c r="B20" s="164" t="s">
        <v>266</v>
      </c>
      <c r="C20" s="163">
        <v>40</v>
      </c>
      <c r="D20" s="163">
        <v>40</v>
      </c>
      <c r="E20" s="163">
        <v>40</v>
      </c>
      <c r="F20" s="163">
        <v>32</v>
      </c>
      <c r="G20" s="163">
        <v>0</v>
      </c>
      <c r="H20" s="181">
        <f t="shared" si="1"/>
        <v>152</v>
      </c>
      <c r="I20" s="182">
        <f t="shared" si="3"/>
        <v>160</v>
      </c>
      <c r="J20" s="186">
        <v>8</v>
      </c>
      <c r="K20" s="148">
        <v>8</v>
      </c>
      <c r="L20" s="148"/>
      <c r="M20" s="148">
        <f t="shared" si="2"/>
        <v>0</v>
      </c>
      <c r="N20" s="193"/>
    </row>
    <row r="21" spans="1:14" x14ac:dyDescent="0.25">
      <c r="A21">
        <v>18</v>
      </c>
      <c r="B21" s="164" t="s">
        <v>12</v>
      </c>
      <c r="C21" s="163">
        <v>40</v>
      </c>
      <c r="D21" s="163">
        <v>40</v>
      </c>
      <c r="E21" s="163">
        <v>40</v>
      </c>
      <c r="F21" s="163">
        <v>32</v>
      </c>
      <c r="G21" s="163">
        <v>0</v>
      </c>
      <c r="H21" s="181">
        <f t="shared" si="1"/>
        <v>152</v>
      </c>
      <c r="I21" s="182">
        <f t="shared" si="3"/>
        <v>160</v>
      </c>
      <c r="J21" s="186">
        <v>8</v>
      </c>
      <c r="K21" s="148">
        <v>8</v>
      </c>
      <c r="L21" s="148"/>
      <c r="M21" s="148">
        <f t="shared" si="2"/>
        <v>0</v>
      </c>
      <c r="N21" s="193"/>
    </row>
    <row r="22" spans="1:14" x14ac:dyDescent="0.25">
      <c r="A22">
        <v>19</v>
      </c>
      <c r="B22" s="164" t="s">
        <v>13</v>
      </c>
      <c r="C22" s="163">
        <v>40</v>
      </c>
      <c r="D22" s="163">
        <v>40</v>
      </c>
      <c r="E22" s="163">
        <v>40</v>
      </c>
      <c r="F22" s="163">
        <v>32</v>
      </c>
      <c r="G22" s="163">
        <v>0</v>
      </c>
      <c r="H22" s="181">
        <f t="shared" si="1"/>
        <v>152</v>
      </c>
      <c r="I22" s="182">
        <f t="shared" si="3"/>
        <v>160</v>
      </c>
      <c r="J22" s="186">
        <v>8</v>
      </c>
      <c r="K22" s="148">
        <v>8</v>
      </c>
      <c r="L22" s="148"/>
      <c r="M22" s="148">
        <f t="shared" si="2"/>
        <v>0</v>
      </c>
      <c r="N22" s="193"/>
    </row>
    <row r="23" spans="1:14" x14ac:dyDescent="0.25">
      <c r="A23">
        <v>20</v>
      </c>
      <c r="B23" s="164" t="s">
        <v>107</v>
      </c>
      <c r="C23" s="163">
        <v>40</v>
      </c>
      <c r="D23" s="163">
        <v>40</v>
      </c>
      <c r="E23" s="163">
        <v>40</v>
      </c>
      <c r="F23" s="163">
        <v>32</v>
      </c>
      <c r="G23" s="163">
        <v>0</v>
      </c>
      <c r="H23" s="181">
        <f t="shared" si="1"/>
        <v>152</v>
      </c>
      <c r="I23" s="182">
        <f t="shared" si="3"/>
        <v>160</v>
      </c>
      <c r="J23" s="186">
        <v>8</v>
      </c>
      <c r="K23" s="148">
        <v>8</v>
      </c>
      <c r="L23" s="148"/>
      <c r="M23" s="148">
        <f t="shared" si="2"/>
        <v>0</v>
      </c>
      <c r="N23" s="193"/>
    </row>
    <row r="24" spans="1:14" x14ac:dyDescent="0.25">
      <c r="A24">
        <v>21</v>
      </c>
      <c r="B24" s="164" t="s">
        <v>14</v>
      </c>
      <c r="C24" s="163">
        <v>40</v>
      </c>
      <c r="D24" s="163">
        <v>40</v>
      </c>
      <c r="E24" s="163">
        <v>40</v>
      </c>
      <c r="F24" s="163">
        <v>32</v>
      </c>
      <c r="G24" s="163">
        <v>0</v>
      </c>
      <c r="H24" s="181">
        <f t="shared" si="1"/>
        <v>152</v>
      </c>
      <c r="I24" s="182">
        <f t="shared" si="3"/>
        <v>160</v>
      </c>
      <c r="J24" s="186">
        <v>8</v>
      </c>
      <c r="K24" s="148">
        <v>8</v>
      </c>
      <c r="L24" s="148"/>
      <c r="M24" s="148">
        <f t="shared" si="2"/>
        <v>0</v>
      </c>
      <c r="N24" s="193"/>
    </row>
    <row r="25" spans="1:14" x14ac:dyDescent="0.25">
      <c r="A25">
        <v>22</v>
      </c>
      <c r="B25" s="164" t="s">
        <v>33</v>
      </c>
      <c r="C25" s="163">
        <v>40</v>
      </c>
      <c r="D25" s="163">
        <v>40</v>
      </c>
      <c r="E25" s="163">
        <v>40</v>
      </c>
      <c r="F25" s="163">
        <v>32</v>
      </c>
      <c r="G25" s="163">
        <v>0</v>
      </c>
      <c r="H25" s="181">
        <f t="shared" si="1"/>
        <v>152</v>
      </c>
      <c r="I25" s="182">
        <f t="shared" si="3"/>
        <v>160</v>
      </c>
      <c r="J25" s="186">
        <v>8</v>
      </c>
      <c r="K25" s="148">
        <v>8</v>
      </c>
      <c r="L25" s="148"/>
      <c r="M25" s="148">
        <f t="shared" si="2"/>
        <v>0</v>
      </c>
      <c r="N25" s="193"/>
    </row>
    <row r="26" spans="1:14" x14ac:dyDescent="0.25">
      <c r="A26">
        <v>23</v>
      </c>
      <c r="B26" s="164" t="s">
        <v>275</v>
      </c>
      <c r="C26" s="163">
        <v>40</v>
      </c>
      <c r="D26" s="163">
        <v>32</v>
      </c>
      <c r="E26" s="163">
        <v>40</v>
      </c>
      <c r="F26" s="163">
        <v>32</v>
      </c>
      <c r="G26" s="163">
        <v>0</v>
      </c>
      <c r="H26" s="181">
        <f t="shared" si="1"/>
        <v>144</v>
      </c>
      <c r="I26" s="182">
        <f t="shared" si="3"/>
        <v>160</v>
      </c>
      <c r="J26" s="188">
        <v>16</v>
      </c>
      <c r="K26" s="148">
        <v>8</v>
      </c>
      <c r="L26" s="148">
        <v>8</v>
      </c>
      <c r="M26" s="148">
        <f t="shared" si="2"/>
        <v>0</v>
      </c>
      <c r="N26" s="193"/>
    </row>
    <row r="27" spans="1:14" x14ac:dyDescent="0.25">
      <c r="A27">
        <v>24</v>
      </c>
      <c r="B27" s="164" t="s">
        <v>34</v>
      </c>
      <c r="C27" s="163">
        <v>40</v>
      </c>
      <c r="D27" s="163">
        <v>40</v>
      </c>
      <c r="E27" s="163">
        <v>40</v>
      </c>
      <c r="F27" s="163">
        <v>32</v>
      </c>
      <c r="G27" s="163">
        <v>0</v>
      </c>
      <c r="H27" s="181">
        <f t="shared" si="1"/>
        <v>152</v>
      </c>
      <c r="I27" s="182">
        <f t="shared" si="3"/>
        <v>160</v>
      </c>
      <c r="J27" s="186">
        <v>8</v>
      </c>
      <c r="K27" s="148">
        <v>8</v>
      </c>
      <c r="L27" s="148"/>
      <c r="M27" s="148">
        <f t="shared" si="2"/>
        <v>0</v>
      </c>
      <c r="N27" s="193"/>
    </row>
    <row r="28" spans="1:14" x14ac:dyDescent="0.25">
      <c r="A28">
        <v>25</v>
      </c>
      <c r="B28" s="164" t="s">
        <v>108</v>
      </c>
      <c r="C28" s="163">
        <v>0</v>
      </c>
      <c r="D28" s="163">
        <v>16</v>
      </c>
      <c r="E28" s="163">
        <v>40</v>
      </c>
      <c r="F28" s="163">
        <v>16</v>
      </c>
      <c r="G28" s="163">
        <v>0</v>
      </c>
      <c r="H28" s="181">
        <f t="shared" si="1"/>
        <v>72</v>
      </c>
      <c r="I28" s="182">
        <f t="shared" si="3"/>
        <v>160</v>
      </c>
      <c r="J28" s="188">
        <v>88</v>
      </c>
      <c r="K28" s="148">
        <v>8</v>
      </c>
      <c r="L28" s="148"/>
      <c r="M28" s="183">
        <f t="shared" si="2"/>
        <v>80</v>
      </c>
      <c r="N28" s="203" t="s">
        <v>385</v>
      </c>
    </row>
    <row r="29" spans="1:14" x14ac:dyDescent="0.25">
      <c r="A29">
        <v>26</v>
      </c>
      <c r="B29" s="164" t="s">
        <v>18</v>
      </c>
      <c r="C29" s="163">
        <v>40</v>
      </c>
      <c r="D29" s="163">
        <v>40</v>
      </c>
      <c r="E29" s="163">
        <v>40</v>
      </c>
      <c r="F29" s="163">
        <v>32</v>
      </c>
      <c r="G29" s="163">
        <v>0</v>
      </c>
      <c r="H29" s="181">
        <f t="shared" si="1"/>
        <v>152</v>
      </c>
      <c r="I29" s="182">
        <f t="shared" si="3"/>
        <v>160</v>
      </c>
      <c r="J29" s="186">
        <v>8</v>
      </c>
      <c r="K29" s="148">
        <v>8</v>
      </c>
      <c r="L29" s="148"/>
      <c r="M29" s="148">
        <f t="shared" si="2"/>
        <v>0</v>
      </c>
      <c r="N29" s="193"/>
    </row>
    <row r="30" spans="1:14" x14ac:dyDescent="0.25">
      <c r="A30">
        <v>27</v>
      </c>
      <c r="B30" s="164" t="s">
        <v>19</v>
      </c>
      <c r="C30" s="163">
        <v>40</v>
      </c>
      <c r="D30" s="163">
        <v>40</v>
      </c>
      <c r="E30" s="163">
        <v>40</v>
      </c>
      <c r="F30" s="163">
        <v>24</v>
      </c>
      <c r="G30" s="163">
        <v>0</v>
      </c>
      <c r="H30" s="181">
        <f t="shared" si="1"/>
        <v>144</v>
      </c>
      <c r="I30" s="182">
        <f t="shared" si="3"/>
        <v>160</v>
      </c>
      <c r="J30" s="188">
        <v>16</v>
      </c>
      <c r="K30" s="148">
        <v>8</v>
      </c>
      <c r="L30" s="148">
        <v>8</v>
      </c>
      <c r="M30" s="148">
        <f t="shared" si="2"/>
        <v>0</v>
      </c>
      <c r="N30" s="193"/>
    </row>
    <row r="31" spans="1:14" x14ac:dyDescent="0.25">
      <c r="A31">
        <v>28</v>
      </c>
      <c r="B31" s="164" t="s">
        <v>270</v>
      </c>
      <c r="C31" s="163">
        <v>40</v>
      </c>
      <c r="D31" s="163">
        <v>40</v>
      </c>
      <c r="E31" s="163">
        <v>40</v>
      </c>
      <c r="F31" s="163">
        <v>32</v>
      </c>
      <c r="G31" s="163">
        <v>0</v>
      </c>
      <c r="H31" s="181">
        <f t="shared" si="1"/>
        <v>152</v>
      </c>
      <c r="I31" s="182">
        <f t="shared" si="3"/>
        <v>160</v>
      </c>
      <c r="J31" s="189">
        <v>8</v>
      </c>
      <c r="K31" s="148">
        <v>8</v>
      </c>
      <c r="L31" s="148"/>
      <c r="M31" s="148">
        <f t="shared" si="2"/>
        <v>0</v>
      </c>
      <c r="N31" s="193"/>
    </row>
    <row r="32" spans="1:14" x14ac:dyDescent="0.25">
      <c r="A32">
        <v>29</v>
      </c>
      <c r="B32" s="164" t="s">
        <v>273</v>
      </c>
      <c r="C32" s="163">
        <v>40</v>
      </c>
      <c r="D32" s="163">
        <v>40</v>
      </c>
      <c r="E32" s="163">
        <v>40</v>
      </c>
      <c r="F32" s="163">
        <v>32</v>
      </c>
      <c r="G32" s="163">
        <v>0</v>
      </c>
      <c r="H32" s="181">
        <f t="shared" si="1"/>
        <v>152</v>
      </c>
      <c r="I32" s="182">
        <f t="shared" si="3"/>
        <v>160</v>
      </c>
      <c r="J32" s="189">
        <v>8</v>
      </c>
      <c r="K32" s="148">
        <v>8</v>
      </c>
      <c r="L32" s="148"/>
      <c r="M32" s="148">
        <f t="shared" si="2"/>
        <v>0</v>
      </c>
      <c r="N32" s="193"/>
    </row>
    <row r="33" spans="1:14" x14ac:dyDescent="0.25">
      <c r="A33">
        <v>30</v>
      </c>
      <c r="B33" s="171" t="s">
        <v>272</v>
      </c>
      <c r="C33" s="163">
        <v>0</v>
      </c>
      <c r="D33" s="163">
        <v>8</v>
      </c>
      <c r="E33" s="163">
        <v>40</v>
      </c>
      <c r="F33" s="163">
        <v>32</v>
      </c>
      <c r="G33" s="163">
        <v>0</v>
      </c>
      <c r="H33" s="181">
        <f t="shared" si="1"/>
        <v>80</v>
      </c>
      <c r="I33" s="182">
        <f t="shared" si="3"/>
        <v>160</v>
      </c>
      <c r="J33" s="188">
        <v>80</v>
      </c>
      <c r="K33" s="148">
        <v>8</v>
      </c>
      <c r="L33" s="148"/>
      <c r="M33" s="183">
        <f t="shared" si="2"/>
        <v>72</v>
      </c>
      <c r="N33" s="203" t="s">
        <v>384</v>
      </c>
    </row>
    <row r="34" spans="1:14" x14ac:dyDescent="0.25">
      <c r="A34">
        <v>31</v>
      </c>
      <c r="B34" s="164" t="s">
        <v>269</v>
      </c>
      <c r="C34" s="163">
        <v>40</v>
      </c>
      <c r="D34" s="163">
        <v>40</v>
      </c>
      <c r="E34" s="163">
        <v>40</v>
      </c>
      <c r="F34" s="163">
        <v>32</v>
      </c>
      <c r="G34" s="163">
        <v>0</v>
      </c>
      <c r="H34" s="181">
        <f t="shared" si="1"/>
        <v>152</v>
      </c>
      <c r="I34" s="182">
        <f t="shared" si="3"/>
        <v>160</v>
      </c>
      <c r="J34" s="189">
        <v>8</v>
      </c>
      <c r="K34" s="148">
        <v>8</v>
      </c>
      <c r="L34" s="148"/>
      <c r="M34" s="148">
        <f t="shared" si="2"/>
        <v>0</v>
      </c>
      <c r="N34" s="193"/>
    </row>
    <row r="35" spans="1:14" x14ac:dyDescent="0.25">
      <c r="A35">
        <v>32</v>
      </c>
      <c r="B35" s="164" t="s">
        <v>271</v>
      </c>
      <c r="C35" s="163">
        <v>0</v>
      </c>
      <c r="D35" s="163">
        <v>24</v>
      </c>
      <c r="E35" s="163">
        <v>50</v>
      </c>
      <c r="F35" s="163">
        <v>40</v>
      </c>
      <c r="G35" s="163">
        <v>0</v>
      </c>
      <c r="H35" s="181">
        <f t="shared" si="1"/>
        <v>114</v>
      </c>
      <c r="I35" s="182">
        <f t="shared" si="3"/>
        <v>160</v>
      </c>
      <c r="J35" s="188">
        <v>46</v>
      </c>
      <c r="K35" s="148">
        <v>8</v>
      </c>
      <c r="L35" s="148"/>
      <c r="M35" s="183">
        <f t="shared" si="2"/>
        <v>38</v>
      </c>
      <c r="N35" s="203" t="s">
        <v>383</v>
      </c>
    </row>
    <row r="36" spans="1:14" x14ac:dyDescent="0.25">
      <c r="A36">
        <v>33</v>
      </c>
      <c r="B36" s="164" t="s">
        <v>267</v>
      </c>
      <c r="C36" s="163">
        <v>40</v>
      </c>
      <c r="D36" s="163">
        <v>40</v>
      </c>
      <c r="E36" s="163">
        <v>40</v>
      </c>
      <c r="F36" s="163">
        <v>32</v>
      </c>
      <c r="G36" s="163">
        <v>0</v>
      </c>
      <c r="H36" s="181">
        <f t="shared" si="1"/>
        <v>152</v>
      </c>
      <c r="I36" s="182">
        <f t="shared" si="3"/>
        <v>160</v>
      </c>
      <c r="J36" s="189">
        <v>8</v>
      </c>
      <c r="K36" s="148">
        <v>8</v>
      </c>
      <c r="L36" s="148"/>
      <c r="M36" s="148">
        <f t="shared" si="2"/>
        <v>0</v>
      </c>
      <c r="N36" s="193"/>
    </row>
    <row r="37" spans="1:14" x14ac:dyDescent="0.25">
      <c r="A37">
        <v>34</v>
      </c>
      <c r="B37" s="164" t="s">
        <v>35</v>
      </c>
      <c r="C37" s="163">
        <v>40</v>
      </c>
      <c r="D37" s="163">
        <v>40</v>
      </c>
      <c r="E37" s="163">
        <v>40</v>
      </c>
      <c r="F37" s="163">
        <v>32</v>
      </c>
      <c r="G37" s="163">
        <v>0</v>
      </c>
      <c r="H37" s="181">
        <f t="shared" si="1"/>
        <v>152</v>
      </c>
      <c r="I37" s="182">
        <f t="shared" si="3"/>
        <v>160</v>
      </c>
      <c r="J37" s="189">
        <v>8</v>
      </c>
      <c r="K37" s="148">
        <v>8</v>
      </c>
      <c r="L37" s="148"/>
      <c r="M37" s="148">
        <f t="shared" si="2"/>
        <v>0</v>
      </c>
      <c r="N37" s="193"/>
    </row>
    <row r="38" spans="1:14" x14ac:dyDescent="0.25">
      <c r="A38">
        <v>35</v>
      </c>
      <c r="B38" s="164" t="s">
        <v>36</v>
      </c>
      <c r="C38" s="163">
        <v>40</v>
      </c>
      <c r="D38" s="163">
        <v>40</v>
      </c>
      <c r="E38" s="163">
        <v>40</v>
      </c>
      <c r="F38" s="163">
        <v>32</v>
      </c>
      <c r="G38" s="163">
        <v>0</v>
      </c>
      <c r="H38" s="181">
        <f t="shared" si="1"/>
        <v>152</v>
      </c>
      <c r="I38" s="182">
        <f t="shared" si="3"/>
        <v>160</v>
      </c>
      <c r="J38" s="189">
        <v>8</v>
      </c>
      <c r="K38" s="148">
        <v>8</v>
      </c>
      <c r="L38" s="148"/>
      <c r="M38" s="148">
        <f t="shared" si="2"/>
        <v>0</v>
      </c>
      <c r="N38" s="193"/>
    </row>
    <row r="39" spans="1:14" x14ac:dyDescent="0.25">
      <c r="A39">
        <v>36</v>
      </c>
      <c r="B39" s="164" t="s">
        <v>37</v>
      </c>
      <c r="C39" s="163">
        <v>40</v>
      </c>
      <c r="D39" s="163">
        <v>40</v>
      </c>
      <c r="E39" s="163">
        <v>40</v>
      </c>
      <c r="F39" s="163">
        <v>32</v>
      </c>
      <c r="G39" s="163">
        <v>0</v>
      </c>
      <c r="H39" s="181">
        <f t="shared" si="1"/>
        <v>152</v>
      </c>
      <c r="I39" s="182">
        <f t="shared" si="3"/>
        <v>160</v>
      </c>
      <c r="J39" s="189">
        <v>8</v>
      </c>
      <c r="K39" s="148">
        <v>8</v>
      </c>
      <c r="L39" s="148"/>
      <c r="M39" s="148">
        <f t="shared" si="2"/>
        <v>0</v>
      </c>
      <c r="N39" s="193"/>
    </row>
    <row r="40" spans="1:14" x14ac:dyDescent="0.25">
      <c r="A40">
        <v>37</v>
      </c>
      <c r="B40" s="164" t="s">
        <v>197</v>
      </c>
      <c r="C40" s="163">
        <v>40</v>
      </c>
      <c r="D40" s="163">
        <v>40</v>
      </c>
      <c r="E40" s="163">
        <v>40</v>
      </c>
      <c r="F40" s="163">
        <v>0</v>
      </c>
      <c r="G40" s="163">
        <v>0</v>
      </c>
      <c r="H40" s="181">
        <f t="shared" si="1"/>
        <v>120</v>
      </c>
      <c r="I40" s="182">
        <f t="shared" si="3"/>
        <v>160</v>
      </c>
      <c r="J40" s="188">
        <v>40</v>
      </c>
      <c r="K40" s="148">
        <v>8</v>
      </c>
      <c r="L40" s="148"/>
      <c r="M40" s="183">
        <f t="shared" si="2"/>
        <v>32</v>
      </c>
      <c r="N40" s="203" t="s">
        <v>382</v>
      </c>
    </row>
    <row r="41" spans="1:14" x14ac:dyDescent="0.25">
      <c r="A41">
        <v>38</v>
      </c>
      <c r="B41" s="164" t="s">
        <v>360</v>
      </c>
      <c r="C41" s="163">
        <v>0</v>
      </c>
      <c r="D41" s="163">
        <v>0</v>
      </c>
      <c r="E41" s="163">
        <v>0</v>
      </c>
      <c r="F41" s="163">
        <v>32</v>
      </c>
      <c r="G41" s="163">
        <v>0</v>
      </c>
      <c r="H41" s="181">
        <f t="shared" si="1"/>
        <v>32</v>
      </c>
      <c r="I41" s="182">
        <f t="shared" si="3"/>
        <v>160</v>
      </c>
      <c r="J41" s="188">
        <v>128</v>
      </c>
      <c r="K41" s="148">
        <v>8</v>
      </c>
      <c r="L41" s="148"/>
      <c r="M41" s="183">
        <f t="shared" si="2"/>
        <v>120</v>
      </c>
      <c r="N41" s="203" t="s">
        <v>381</v>
      </c>
    </row>
    <row r="42" spans="1:14" x14ac:dyDescent="0.25">
      <c r="A42">
        <v>39</v>
      </c>
      <c r="B42" s="164" t="s">
        <v>39</v>
      </c>
      <c r="C42" s="163">
        <v>40</v>
      </c>
      <c r="D42" s="163">
        <v>40</v>
      </c>
      <c r="E42" s="163">
        <v>40</v>
      </c>
      <c r="F42" s="163">
        <v>0</v>
      </c>
      <c r="G42" s="163">
        <v>0</v>
      </c>
      <c r="H42" s="181">
        <f t="shared" si="1"/>
        <v>120</v>
      </c>
      <c r="I42" s="182">
        <f t="shared" si="3"/>
        <v>280</v>
      </c>
      <c r="J42" s="188">
        <v>160</v>
      </c>
      <c r="K42" s="148">
        <v>8</v>
      </c>
      <c r="L42" s="148"/>
      <c r="M42" s="183">
        <f t="shared" si="2"/>
        <v>152</v>
      </c>
      <c r="N42" s="203" t="s">
        <v>387</v>
      </c>
    </row>
    <row r="43" spans="1:14" x14ac:dyDescent="0.25">
      <c r="A43">
        <v>40</v>
      </c>
      <c r="B43" s="164" t="s">
        <v>280</v>
      </c>
      <c r="C43" s="163">
        <v>40</v>
      </c>
      <c r="D43" s="163">
        <v>40</v>
      </c>
      <c r="E43" s="163">
        <v>40</v>
      </c>
      <c r="F43" s="163">
        <v>32</v>
      </c>
      <c r="G43" s="163">
        <v>0</v>
      </c>
      <c r="H43" s="181">
        <f t="shared" si="1"/>
        <v>152</v>
      </c>
      <c r="I43" s="182">
        <f t="shared" si="3"/>
        <v>160</v>
      </c>
      <c r="J43" s="189">
        <v>8</v>
      </c>
      <c r="K43" s="148">
        <v>8</v>
      </c>
      <c r="L43" s="148"/>
      <c r="M43" s="148">
        <f t="shared" si="2"/>
        <v>0</v>
      </c>
      <c r="N43" s="193"/>
    </row>
    <row r="44" spans="1:14" x14ac:dyDescent="0.25">
      <c r="A44">
        <v>41</v>
      </c>
      <c r="B44" s="164" t="s">
        <v>281</v>
      </c>
      <c r="C44" s="163">
        <v>40</v>
      </c>
      <c r="D44" s="163">
        <v>40</v>
      </c>
      <c r="E44" s="163">
        <v>40</v>
      </c>
      <c r="F44" s="163">
        <v>32</v>
      </c>
      <c r="G44" s="163">
        <v>0</v>
      </c>
      <c r="H44" s="181">
        <f t="shared" si="1"/>
        <v>152</v>
      </c>
      <c r="I44" s="182">
        <f t="shared" si="3"/>
        <v>160</v>
      </c>
      <c r="J44" s="189">
        <v>8</v>
      </c>
      <c r="K44" s="148">
        <v>8</v>
      </c>
      <c r="L44" s="148"/>
      <c r="M44" s="148">
        <f t="shared" si="2"/>
        <v>0</v>
      </c>
      <c r="N44" s="193"/>
    </row>
    <row r="45" spans="1:14" x14ac:dyDescent="0.25">
      <c r="A45">
        <v>42</v>
      </c>
      <c r="B45" s="164" t="s">
        <v>106</v>
      </c>
      <c r="C45" s="163">
        <v>40</v>
      </c>
      <c r="D45" s="163">
        <v>40</v>
      </c>
      <c r="E45" s="163">
        <v>40</v>
      </c>
      <c r="F45" s="163">
        <v>32</v>
      </c>
      <c r="G45" s="163">
        <v>0</v>
      </c>
      <c r="H45" s="181">
        <f t="shared" si="1"/>
        <v>152</v>
      </c>
      <c r="I45" s="182">
        <f t="shared" si="3"/>
        <v>160</v>
      </c>
      <c r="J45" s="189">
        <v>8</v>
      </c>
      <c r="K45" s="148">
        <v>8</v>
      </c>
      <c r="L45" s="148"/>
      <c r="M45" s="148">
        <f t="shared" si="2"/>
        <v>0</v>
      </c>
      <c r="N45" s="193"/>
    </row>
    <row r="46" spans="1:14" ht="15.75" thickBot="1" x14ac:dyDescent="0.3">
      <c r="A46">
        <v>43</v>
      </c>
      <c r="B46" s="171" t="s">
        <v>265</v>
      </c>
      <c r="C46" s="163">
        <v>40</v>
      </c>
      <c r="D46" s="163">
        <v>40</v>
      </c>
      <c r="E46" s="163">
        <v>40</v>
      </c>
      <c r="F46" s="163">
        <v>32</v>
      </c>
      <c r="G46" s="163">
        <v>0</v>
      </c>
      <c r="H46" s="184">
        <f t="shared" si="1"/>
        <v>152</v>
      </c>
      <c r="I46" s="185">
        <f t="shared" si="3"/>
        <v>160</v>
      </c>
      <c r="J46" s="190">
        <v>8</v>
      </c>
      <c r="K46" s="149">
        <v>8</v>
      </c>
      <c r="L46" s="149"/>
      <c r="M46" s="149">
        <f t="shared" si="2"/>
        <v>0</v>
      </c>
      <c r="N46" s="194"/>
    </row>
    <row r="47" spans="1:14" ht="15.75" thickBot="1" x14ac:dyDescent="0.3">
      <c r="B47" s="164" t="s">
        <v>153</v>
      </c>
      <c r="C47" s="163">
        <v>1480</v>
      </c>
      <c r="D47" s="163">
        <v>1520</v>
      </c>
      <c r="E47" s="163">
        <v>1610</v>
      </c>
      <c r="F47" s="163">
        <v>1264</v>
      </c>
      <c r="G47" s="163">
        <v>8</v>
      </c>
      <c r="H47" s="198">
        <f>SUM(H4:H46)</f>
        <v>5882</v>
      </c>
      <c r="I47" s="199">
        <f t="shared" si="3"/>
        <v>6840</v>
      </c>
      <c r="J47" s="200">
        <f>SUM(J4:J46)</f>
        <v>958</v>
      </c>
      <c r="K47" s="201">
        <f>SUM(K4:K46)</f>
        <v>328</v>
      </c>
      <c r="L47" s="201">
        <f>SUM(L4:L46)</f>
        <v>16</v>
      </c>
      <c r="M47" s="201">
        <f>SUM(M4:M46)</f>
        <v>614</v>
      </c>
    </row>
    <row r="48" spans="1:14" x14ac:dyDescent="0.25">
      <c r="G48" s="74"/>
    </row>
    <row r="51" spans="11:12" x14ac:dyDescent="0.25">
      <c r="K51" t="s">
        <v>369</v>
      </c>
      <c r="L51">
        <v>42</v>
      </c>
    </row>
    <row r="52" spans="11:12" x14ac:dyDescent="0.25">
      <c r="K52" t="s">
        <v>370</v>
      </c>
      <c r="L52">
        <v>20</v>
      </c>
    </row>
    <row r="53" spans="11:12" ht="15.75" thickBot="1" x14ac:dyDescent="0.3">
      <c r="K53" t="s">
        <v>371</v>
      </c>
      <c r="L53">
        <v>8</v>
      </c>
    </row>
    <row r="54" spans="11:12" ht="15.75" thickBot="1" x14ac:dyDescent="0.3">
      <c r="K54" s="179" t="s">
        <v>380</v>
      </c>
      <c r="L54" s="180">
        <f>L51*L52*L53</f>
        <v>6720</v>
      </c>
    </row>
    <row r="55" spans="11:12" x14ac:dyDescent="0.25">
      <c r="L55">
        <f>H47</f>
        <v>5882</v>
      </c>
    </row>
    <row r="56" spans="11:12" x14ac:dyDescent="0.25">
      <c r="K56" t="s">
        <v>372</v>
      </c>
      <c r="L56">
        <f>L54-L55</f>
        <v>838</v>
      </c>
    </row>
  </sheetData>
  <mergeCells count="1">
    <mergeCell ref="L2:M2"/>
  </mergeCells>
  <pageMargins left="0.7" right="0.7" top="0.75" bottom="0.75" header="0.3" footer="0.3"/>
  <ignoredErrors>
    <ignoredError sqref="I47" formula="1"/>
  </ignoredErrors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C5:K51"/>
  <sheetViews>
    <sheetView topLeftCell="A22" workbookViewId="0">
      <selection activeCell="C41" sqref="C41"/>
    </sheetView>
  </sheetViews>
  <sheetFormatPr baseColWidth="10" defaultRowHeight="15" x14ac:dyDescent="0.25"/>
  <cols>
    <col min="3" max="3" width="39.42578125" customWidth="1"/>
    <col min="4" max="4" width="10.85546875" customWidth="1"/>
    <col min="5" max="5" width="39.42578125" bestFit="1" customWidth="1"/>
    <col min="6" max="6" width="12.5703125" bestFit="1" customWidth="1"/>
  </cols>
  <sheetData>
    <row r="5" spans="3:11" x14ac:dyDescent="0.25">
      <c r="C5" s="162" t="s">
        <v>211</v>
      </c>
      <c r="D5" t="s">
        <v>214</v>
      </c>
      <c r="G5">
        <f>COUNTA(C8:C50)</f>
        <v>43</v>
      </c>
    </row>
    <row r="7" spans="3:11" x14ac:dyDescent="0.25">
      <c r="C7" s="162" t="s">
        <v>364</v>
      </c>
      <c r="J7" t="s">
        <v>367</v>
      </c>
      <c r="K7">
        <v>8</v>
      </c>
    </row>
    <row r="8" spans="3:11" x14ac:dyDescent="0.25">
      <c r="C8" s="164" t="s">
        <v>28</v>
      </c>
      <c r="E8" s="169" t="s">
        <v>28</v>
      </c>
      <c r="H8" t="s">
        <v>365</v>
      </c>
      <c r="I8">
        <v>20</v>
      </c>
    </row>
    <row r="9" spans="3:11" x14ac:dyDescent="0.25">
      <c r="C9" s="164" t="s">
        <v>268</v>
      </c>
      <c r="E9" s="169" t="s">
        <v>268</v>
      </c>
      <c r="H9" t="s">
        <v>366</v>
      </c>
      <c r="I9">
        <f>G5*I8</f>
        <v>860</v>
      </c>
      <c r="J9">
        <f>I9*K7</f>
        <v>6880</v>
      </c>
    </row>
    <row r="10" spans="3:11" x14ac:dyDescent="0.25">
      <c r="C10" s="164" t="s">
        <v>277</v>
      </c>
      <c r="E10" s="169" t="s">
        <v>277</v>
      </c>
    </row>
    <row r="11" spans="3:11" x14ac:dyDescent="0.25">
      <c r="C11" s="164" t="s">
        <v>3</v>
      </c>
      <c r="E11" s="169" t="s">
        <v>3</v>
      </c>
    </row>
    <row r="12" spans="3:11" x14ac:dyDescent="0.25">
      <c r="C12" s="164" t="s">
        <v>276</v>
      </c>
      <c r="E12" s="169" t="s">
        <v>276</v>
      </c>
      <c r="H12" s="165">
        <v>42947</v>
      </c>
    </row>
    <row r="13" spans="3:11" x14ac:dyDescent="0.25">
      <c r="C13" s="164" t="s">
        <v>29</v>
      </c>
      <c r="E13" s="170" t="s">
        <v>29</v>
      </c>
      <c r="H13">
        <f>G5*K7</f>
        <v>344</v>
      </c>
      <c r="J13">
        <f>6880-344</f>
        <v>6536</v>
      </c>
    </row>
    <row r="14" spans="3:11" x14ac:dyDescent="0.25">
      <c r="C14" s="164" t="s">
        <v>5</v>
      </c>
      <c r="E14" s="169" t="s">
        <v>5</v>
      </c>
      <c r="J14">
        <v>5858</v>
      </c>
    </row>
    <row r="15" spans="3:11" x14ac:dyDescent="0.25">
      <c r="C15" s="164" t="s">
        <v>30</v>
      </c>
      <c r="E15" s="169" t="s">
        <v>30</v>
      </c>
      <c r="J15">
        <f>J13-J14</f>
        <v>678</v>
      </c>
    </row>
    <row r="16" spans="3:11" x14ac:dyDescent="0.25">
      <c r="C16" s="164" t="s">
        <v>31</v>
      </c>
      <c r="E16" s="170" t="s">
        <v>31</v>
      </c>
    </row>
    <row r="17" spans="3:10" x14ac:dyDescent="0.25">
      <c r="C17" s="164" t="s">
        <v>195</v>
      </c>
      <c r="E17" s="169" t="s">
        <v>195</v>
      </c>
      <c r="H17">
        <v>7</v>
      </c>
      <c r="I17">
        <f>H17*I8*K7</f>
        <v>1120</v>
      </c>
      <c r="J17">
        <f>J13-I17</f>
        <v>5416</v>
      </c>
    </row>
    <row r="18" spans="3:10" x14ac:dyDescent="0.25">
      <c r="C18" s="164" t="s">
        <v>134</v>
      </c>
      <c r="E18" s="169" t="s">
        <v>134</v>
      </c>
    </row>
    <row r="19" spans="3:10" x14ac:dyDescent="0.25">
      <c r="C19" s="164" t="s">
        <v>274</v>
      </c>
      <c r="E19" s="169" t="s">
        <v>274</v>
      </c>
    </row>
    <row r="20" spans="3:10" x14ac:dyDescent="0.25">
      <c r="C20" s="164" t="s">
        <v>278</v>
      </c>
      <c r="E20" s="169" t="s">
        <v>278</v>
      </c>
    </row>
    <row r="21" spans="3:10" x14ac:dyDescent="0.25">
      <c r="C21" s="164" t="s">
        <v>279</v>
      </c>
      <c r="E21" s="169" t="s">
        <v>279</v>
      </c>
    </row>
    <row r="22" spans="3:10" x14ac:dyDescent="0.25">
      <c r="C22" s="164" t="s">
        <v>10</v>
      </c>
      <c r="E22" s="169" t="s">
        <v>10</v>
      </c>
    </row>
    <row r="23" spans="3:10" x14ac:dyDescent="0.25">
      <c r="C23" s="164" t="s">
        <v>230</v>
      </c>
      <c r="E23" s="170" t="s">
        <v>231</v>
      </c>
    </row>
    <row r="24" spans="3:10" x14ac:dyDescent="0.25">
      <c r="C24" s="164" t="s">
        <v>266</v>
      </c>
      <c r="E24" s="169" t="s">
        <v>266</v>
      </c>
    </row>
    <row r="25" spans="3:10" x14ac:dyDescent="0.25">
      <c r="C25" s="164" t="s">
        <v>12</v>
      </c>
      <c r="E25" s="169" t="s">
        <v>12</v>
      </c>
    </row>
    <row r="26" spans="3:10" x14ac:dyDescent="0.25">
      <c r="C26" s="164" t="s">
        <v>13</v>
      </c>
      <c r="E26" s="169" t="s">
        <v>13</v>
      </c>
    </row>
    <row r="27" spans="3:10" x14ac:dyDescent="0.25">
      <c r="C27" s="164" t="s">
        <v>107</v>
      </c>
      <c r="E27" s="169" t="s">
        <v>107</v>
      </c>
    </row>
    <row r="28" spans="3:10" x14ac:dyDescent="0.25">
      <c r="C28" s="164" t="s">
        <v>14</v>
      </c>
      <c r="E28" s="169" t="s">
        <v>14</v>
      </c>
    </row>
    <row r="29" spans="3:10" x14ac:dyDescent="0.25">
      <c r="C29" s="164" t="s">
        <v>33</v>
      </c>
      <c r="E29" s="169" t="s">
        <v>33</v>
      </c>
    </row>
    <row r="30" spans="3:10" x14ac:dyDescent="0.25">
      <c r="C30" s="164" t="s">
        <v>275</v>
      </c>
      <c r="E30" s="169" t="s">
        <v>275</v>
      </c>
    </row>
    <row r="31" spans="3:10" x14ac:dyDescent="0.25">
      <c r="C31" s="164" t="s">
        <v>34</v>
      </c>
      <c r="E31" s="169" t="s">
        <v>34</v>
      </c>
    </row>
    <row r="32" spans="3:10" x14ac:dyDescent="0.25">
      <c r="C32" s="164" t="s">
        <v>108</v>
      </c>
      <c r="E32" s="169" t="s">
        <v>108</v>
      </c>
    </row>
    <row r="33" spans="3:5" x14ac:dyDescent="0.25">
      <c r="C33" s="164" t="s">
        <v>18</v>
      </c>
      <c r="E33" s="169" t="s">
        <v>18</v>
      </c>
    </row>
    <row r="34" spans="3:5" x14ac:dyDescent="0.25">
      <c r="C34" s="164" t="s">
        <v>19</v>
      </c>
      <c r="E34" s="169" t="s">
        <v>19</v>
      </c>
    </row>
    <row r="35" spans="3:5" x14ac:dyDescent="0.25">
      <c r="C35" s="164" t="s">
        <v>270</v>
      </c>
      <c r="E35" s="169" t="s">
        <v>270</v>
      </c>
    </row>
    <row r="36" spans="3:5" x14ac:dyDescent="0.25">
      <c r="C36" s="164" t="s">
        <v>273</v>
      </c>
      <c r="E36" s="169" t="s">
        <v>273</v>
      </c>
    </row>
    <row r="37" spans="3:5" x14ac:dyDescent="0.25">
      <c r="C37" s="164" t="s">
        <v>272</v>
      </c>
      <c r="E37" s="170" t="s">
        <v>272</v>
      </c>
    </row>
    <row r="38" spans="3:5" x14ac:dyDescent="0.25">
      <c r="C38" s="164" t="s">
        <v>269</v>
      </c>
      <c r="E38" s="169" t="s">
        <v>269</v>
      </c>
    </row>
    <row r="39" spans="3:5" x14ac:dyDescent="0.25">
      <c r="C39" s="164" t="s">
        <v>271</v>
      </c>
      <c r="E39" s="170" t="s">
        <v>271</v>
      </c>
    </row>
    <row r="40" spans="3:5" x14ac:dyDescent="0.25">
      <c r="C40" s="164" t="s">
        <v>267</v>
      </c>
      <c r="E40" s="169" t="s">
        <v>267</v>
      </c>
    </row>
    <row r="41" spans="3:5" x14ac:dyDescent="0.25">
      <c r="C41" s="164" t="s">
        <v>35</v>
      </c>
      <c r="E41" s="169" t="s">
        <v>35</v>
      </c>
    </row>
    <row r="42" spans="3:5" x14ac:dyDescent="0.25">
      <c r="C42" s="164" t="s">
        <v>36</v>
      </c>
      <c r="E42" s="169" t="s">
        <v>36</v>
      </c>
    </row>
    <row r="43" spans="3:5" x14ac:dyDescent="0.25">
      <c r="C43" s="164" t="s">
        <v>37</v>
      </c>
      <c r="E43" s="169" t="s">
        <v>37</v>
      </c>
    </row>
    <row r="44" spans="3:5" x14ac:dyDescent="0.25">
      <c r="C44" s="164" t="s">
        <v>197</v>
      </c>
      <c r="E44" s="169" t="s">
        <v>197</v>
      </c>
    </row>
    <row r="45" spans="3:5" x14ac:dyDescent="0.25">
      <c r="C45" s="164" t="s">
        <v>360</v>
      </c>
      <c r="E45" s="170" t="s">
        <v>360</v>
      </c>
    </row>
    <row r="46" spans="3:5" x14ac:dyDescent="0.25">
      <c r="C46" s="164" t="s">
        <v>39</v>
      </c>
      <c r="E46" s="170" t="s">
        <v>39</v>
      </c>
    </row>
    <row r="47" spans="3:5" x14ac:dyDescent="0.25">
      <c r="C47" s="164" t="s">
        <v>280</v>
      </c>
      <c r="E47" s="169" t="s">
        <v>280</v>
      </c>
    </row>
    <row r="48" spans="3:5" x14ac:dyDescent="0.25">
      <c r="C48" s="164" t="s">
        <v>281</v>
      </c>
      <c r="E48" s="169" t="s">
        <v>281</v>
      </c>
    </row>
    <row r="49" spans="3:5" x14ac:dyDescent="0.25">
      <c r="C49" s="164" t="s">
        <v>106</v>
      </c>
      <c r="E49" s="169" t="s">
        <v>106</v>
      </c>
    </row>
    <row r="50" spans="3:5" x14ac:dyDescent="0.25">
      <c r="C50" s="164" t="s">
        <v>265</v>
      </c>
      <c r="E50" s="169" t="s">
        <v>265</v>
      </c>
    </row>
    <row r="51" spans="3:5" x14ac:dyDescent="0.25">
      <c r="C51" s="164" t="s">
        <v>153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36"/>
  <sheetViews>
    <sheetView showGridLines="0" workbookViewId="0">
      <selection activeCell="I5" sqref="I5"/>
    </sheetView>
  </sheetViews>
  <sheetFormatPr baseColWidth="10" defaultRowHeight="15" x14ac:dyDescent="0.25"/>
  <cols>
    <col min="1" max="1" width="34.85546875" style="1" bestFit="1" customWidth="1"/>
    <col min="2" max="2" width="14" style="1" bestFit="1" customWidth="1"/>
    <col min="3" max="3" width="13.7109375" style="1" bestFit="1" customWidth="1"/>
    <col min="4" max="8" width="14.28515625" style="21" bestFit="1" customWidth="1"/>
    <col min="10" max="10" width="60.5703125" bestFit="1" customWidth="1"/>
  </cols>
  <sheetData>
    <row r="1" spans="1:10" x14ac:dyDescent="0.25">
      <c r="A1" s="27" t="s">
        <v>72</v>
      </c>
      <c r="B1" s="27" t="s">
        <v>73</v>
      </c>
      <c r="C1" s="27" t="s">
        <v>74</v>
      </c>
      <c r="D1" s="28" t="s">
        <v>171</v>
      </c>
      <c r="E1" s="28" t="s">
        <v>172</v>
      </c>
      <c r="F1" s="28" t="s">
        <v>173</v>
      </c>
      <c r="G1" s="28" t="s">
        <v>174</v>
      </c>
      <c r="H1" s="28" t="s">
        <v>175</v>
      </c>
      <c r="I1" s="28" t="s">
        <v>186</v>
      </c>
      <c r="J1" s="28" t="s">
        <v>188</v>
      </c>
    </row>
    <row r="2" spans="1:10" x14ac:dyDescent="0.25">
      <c r="A2" s="62" t="s">
        <v>28</v>
      </c>
      <c r="B2" s="62" t="s">
        <v>75</v>
      </c>
      <c r="C2" s="62" t="s">
        <v>75</v>
      </c>
      <c r="D2" s="63">
        <v>0</v>
      </c>
      <c r="E2" s="63">
        <v>0</v>
      </c>
      <c r="F2" s="63">
        <v>0</v>
      </c>
      <c r="G2" s="63">
        <v>20</v>
      </c>
      <c r="H2" s="63">
        <v>12</v>
      </c>
      <c r="I2" s="64">
        <f t="shared" ref="I2:I35" si="0">SUM(D2:H2)</f>
        <v>32</v>
      </c>
      <c r="J2" s="5"/>
    </row>
    <row r="3" spans="1:10" x14ac:dyDescent="0.25">
      <c r="A3" s="62" t="s">
        <v>28</v>
      </c>
      <c r="B3" s="62" t="s">
        <v>46</v>
      </c>
      <c r="C3" s="62" t="s">
        <v>46</v>
      </c>
      <c r="D3" s="63">
        <v>32</v>
      </c>
      <c r="E3" s="63">
        <v>40</v>
      </c>
      <c r="F3" s="63">
        <v>40</v>
      </c>
      <c r="G3" s="63">
        <v>20</v>
      </c>
      <c r="H3" s="63">
        <v>12</v>
      </c>
      <c r="I3" s="64">
        <f t="shared" si="0"/>
        <v>144</v>
      </c>
      <c r="J3" s="5"/>
    </row>
    <row r="4" spans="1:10" x14ac:dyDescent="0.25">
      <c r="A4" s="62" t="s">
        <v>29</v>
      </c>
      <c r="B4" s="62" t="s">
        <v>45</v>
      </c>
      <c r="C4" s="62" t="s">
        <v>51</v>
      </c>
      <c r="D4" s="63">
        <v>32</v>
      </c>
      <c r="E4" s="63">
        <v>40</v>
      </c>
      <c r="F4" s="63">
        <v>48.5</v>
      </c>
      <c r="G4" s="63">
        <v>45</v>
      </c>
      <c r="H4" s="63">
        <v>33</v>
      </c>
      <c r="I4" s="64">
        <f t="shared" si="0"/>
        <v>198.5</v>
      </c>
      <c r="J4" s="5"/>
    </row>
    <row r="5" spans="1:10" x14ac:dyDescent="0.25">
      <c r="A5" s="62" t="s">
        <v>30</v>
      </c>
      <c r="B5" s="62" t="s">
        <v>86</v>
      </c>
      <c r="C5" s="62" t="s">
        <v>87</v>
      </c>
      <c r="D5" s="63">
        <v>1</v>
      </c>
      <c r="E5" s="63">
        <v>0</v>
      </c>
      <c r="F5" s="63">
        <v>0</v>
      </c>
      <c r="G5" s="63">
        <v>0</v>
      </c>
      <c r="H5" s="63">
        <v>0</v>
      </c>
      <c r="I5" s="64">
        <f t="shared" si="0"/>
        <v>1</v>
      </c>
      <c r="J5" s="5"/>
    </row>
    <row r="6" spans="1:10" x14ac:dyDescent="0.25">
      <c r="A6" s="62" t="s">
        <v>30</v>
      </c>
      <c r="B6" s="62" t="s">
        <v>80</v>
      </c>
      <c r="C6" s="62" t="s">
        <v>81</v>
      </c>
      <c r="D6" s="63">
        <v>1</v>
      </c>
      <c r="E6" s="63">
        <v>0</v>
      </c>
      <c r="F6" s="63">
        <v>0</v>
      </c>
      <c r="G6" s="63">
        <v>0</v>
      </c>
      <c r="H6" s="63">
        <v>0</v>
      </c>
      <c r="I6" s="64">
        <f t="shared" si="0"/>
        <v>1</v>
      </c>
      <c r="J6" s="5"/>
    </row>
    <row r="7" spans="1:10" x14ac:dyDescent="0.25">
      <c r="A7" s="62" t="s">
        <v>30</v>
      </c>
      <c r="B7" s="62" t="s">
        <v>76</v>
      </c>
      <c r="C7" s="62" t="s">
        <v>77</v>
      </c>
      <c r="D7" s="63">
        <v>20</v>
      </c>
      <c r="E7" s="63">
        <v>16</v>
      </c>
      <c r="F7" s="63">
        <v>0</v>
      </c>
      <c r="G7" s="63">
        <v>0</v>
      </c>
      <c r="H7" s="63">
        <v>0</v>
      </c>
      <c r="I7" s="64">
        <f t="shared" si="0"/>
        <v>36</v>
      </c>
      <c r="J7" s="5"/>
    </row>
    <row r="8" spans="1:10" x14ac:dyDescent="0.25">
      <c r="A8" s="62" t="s">
        <v>30</v>
      </c>
      <c r="B8" s="62" t="s">
        <v>82</v>
      </c>
      <c r="C8" s="62" t="s">
        <v>83</v>
      </c>
      <c r="D8" s="63">
        <v>1</v>
      </c>
      <c r="E8" s="63">
        <v>0</v>
      </c>
      <c r="F8" s="63">
        <v>0</v>
      </c>
      <c r="G8" s="63">
        <v>0</v>
      </c>
      <c r="H8" s="63">
        <v>0</v>
      </c>
      <c r="I8" s="64">
        <f t="shared" si="0"/>
        <v>1</v>
      </c>
      <c r="J8" s="5"/>
    </row>
    <row r="9" spans="1:10" x14ac:dyDescent="0.25">
      <c r="A9" s="62" t="s">
        <v>30</v>
      </c>
      <c r="B9" s="62" t="s">
        <v>75</v>
      </c>
      <c r="C9" s="62" t="s">
        <v>75</v>
      </c>
      <c r="D9" s="63">
        <v>0</v>
      </c>
      <c r="E9" s="63">
        <v>0</v>
      </c>
      <c r="F9" s="63">
        <v>40</v>
      </c>
      <c r="G9" s="63">
        <v>24</v>
      </c>
      <c r="H9" s="63">
        <v>8</v>
      </c>
      <c r="I9" s="64">
        <f t="shared" si="0"/>
        <v>72</v>
      </c>
      <c r="J9" s="5"/>
    </row>
    <row r="10" spans="1:10" x14ac:dyDescent="0.25">
      <c r="A10" s="62" t="s">
        <v>30</v>
      </c>
      <c r="B10" s="62" t="s">
        <v>46</v>
      </c>
      <c r="C10" s="62" t="s">
        <v>46</v>
      </c>
      <c r="D10" s="63">
        <v>8</v>
      </c>
      <c r="E10" s="63">
        <v>24</v>
      </c>
      <c r="F10" s="63">
        <v>0</v>
      </c>
      <c r="G10" s="63">
        <v>16</v>
      </c>
      <c r="H10" s="63">
        <v>16</v>
      </c>
      <c r="I10" s="64">
        <f t="shared" si="0"/>
        <v>64</v>
      </c>
      <c r="J10" s="5"/>
    </row>
    <row r="11" spans="1:10" x14ac:dyDescent="0.25">
      <c r="A11" s="62" t="s">
        <v>30</v>
      </c>
      <c r="B11" s="62" t="s">
        <v>84</v>
      </c>
      <c r="C11" s="62" t="s">
        <v>85</v>
      </c>
      <c r="D11" s="63">
        <v>1</v>
      </c>
      <c r="E11" s="63">
        <v>0</v>
      </c>
      <c r="F11" s="63">
        <v>0</v>
      </c>
      <c r="G11" s="63">
        <v>0</v>
      </c>
      <c r="H11" s="63">
        <v>0</v>
      </c>
      <c r="I11" s="64">
        <f t="shared" si="0"/>
        <v>1</v>
      </c>
      <c r="J11" s="5"/>
    </row>
    <row r="12" spans="1:10" x14ac:dyDescent="0.25">
      <c r="A12" s="62" t="s">
        <v>31</v>
      </c>
      <c r="B12" s="62" t="s">
        <v>84</v>
      </c>
      <c r="C12" s="62" t="s">
        <v>85</v>
      </c>
      <c r="D12" s="63">
        <v>32</v>
      </c>
      <c r="E12" s="63">
        <v>32</v>
      </c>
      <c r="F12" s="63">
        <v>32</v>
      </c>
      <c r="G12" s="63">
        <v>40</v>
      </c>
      <c r="H12" s="63">
        <v>24</v>
      </c>
      <c r="I12" s="64">
        <f t="shared" si="0"/>
        <v>160</v>
      </c>
      <c r="J12" s="5"/>
    </row>
    <row r="13" spans="1:10" x14ac:dyDescent="0.25">
      <c r="A13" s="62" t="s">
        <v>134</v>
      </c>
      <c r="B13" s="62" t="s">
        <v>78</v>
      </c>
      <c r="C13" s="62" t="s">
        <v>98</v>
      </c>
      <c r="D13" s="63">
        <v>32</v>
      </c>
      <c r="E13" s="63">
        <v>40</v>
      </c>
      <c r="F13" s="63">
        <v>40</v>
      </c>
      <c r="G13" s="63">
        <v>40</v>
      </c>
      <c r="H13" s="63">
        <v>24</v>
      </c>
      <c r="I13" s="64">
        <f t="shared" si="0"/>
        <v>176</v>
      </c>
      <c r="J13" s="5"/>
    </row>
    <row r="14" spans="1:10" x14ac:dyDescent="0.25">
      <c r="A14" s="62" t="s">
        <v>32</v>
      </c>
      <c r="B14" s="62" t="s">
        <v>86</v>
      </c>
      <c r="C14" s="62" t="s">
        <v>87</v>
      </c>
      <c r="D14" s="63">
        <v>32</v>
      </c>
      <c r="E14" s="63">
        <v>0</v>
      </c>
      <c r="F14" s="63">
        <v>0</v>
      </c>
      <c r="G14" s="63">
        <v>0</v>
      </c>
      <c r="H14" s="63">
        <v>0</v>
      </c>
      <c r="I14" s="64">
        <f t="shared" si="0"/>
        <v>32</v>
      </c>
      <c r="J14" s="5" t="s">
        <v>189</v>
      </c>
    </row>
    <row r="15" spans="1:10" x14ac:dyDescent="0.25">
      <c r="A15" s="62" t="s">
        <v>107</v>
      </c>
      <c r="B15" s="62" t="s">
        <v>86</v>
      </c>
      <c r="C15" s="62" t="s">
        <v>87</v>
      </c>
      <c r="D15" s="63">
        <v>24</v>
      </c>
      <c r="E15" s="63">
        <v>40</v>
      </c>
      <c r="F15" s="63">
        <v>40</v>
      </c>
      <c r="G15" s="63">
        <v>40</v>
      </c>
      <c r="H15" s="63">
        <v>24</v>
      </c>
      <c r="I15" s="64">
        <f t="shared" si="0"/>
        <v>168</v>
      </c>
      <c r="J15" s="5" t="s">
        <v>190</v>
      </c>
    </row>
    <row r="16" spans="1:10" x14ac:dyDescent="0.25">
      <c r="A16" s="62" t="s">
        <v>33</v>
      </c>
      <c r="B16" s="62" t="s">
        <v>82</v>
      </c>
      <c r="C16" s="62" t="s">
        <v>83</v>
      </c>
      <c r="D16" s="63">
        <v>32</v>
      </c>
      <c r="E16" s="63">
        <v>40</v>
      </c>
      <c r="F16" s="63">
        <v>40</v>
      </c>
      <c r="G16" s="63">
        <v>40</v>
      </c>
      <c r="H16" s="63">
        <v>24</v>
      </c>
      <c r="I16" s="64">
        <f t="shared" si="0"/>
        <v>176</v>
      </c>
      <c r="J16" s="5"/>
    </row>
    <row r="17" spans="1:10" x14ac:dyDescent="0.25">
      <c r="A17" s="62" t="s">
        <v>34</v>
      </c>
      <c r="B17" s="62" t="s">
        <v>45</v>
      </c>
      <c r="C17" s="62" t="s">
        <v>51</v>
      </c>
      <c r="D17" s="63">
        <v>32</v>
      </c>
      <c r="E17" s="63">
        <v>40</v>
      </c>
      <c r="F17" s="63">
        <v>20</v>
      </c>
      <c r="G17" s="63">
        <v>36</v>
      </c>
      <c r="H17" s="63">
        <v>30</v>
      </c>
      <c r="I17" s="64">
        <f t="shared" si="0"/>
        <v>158</v>
      </c>
      <c r="J17" s="5"/>
    </row>
    <row r="18" spans="1:10" x14ac:dyDescent="0.25">
      <c r="A18" s="62" t="s">
        <v>34</v>
      </c>
      <c r="B18" s="62" t="s">
        <v>48</v>
      </c>
      <c r="C18" s="62" t="s">
        <v>43</v>
      </c>
      <c r="D18" s="63">
        <v>0</v>
      </c>
      <c r="E18" s="63">
        <v>0</v>
      </c>
      <c r="F18" s="63">
        <v>20</v>
      </c>
      <c r="G18" s="63">
        <v>4</v>
      </c>
      <c r="H18" s="63">
        <v>0</v>
      </c>
      <c r="I18" s="64">
        <f t="shared" si="0"/>
        <v>24</v>
      </c>
      <c r="J18" s="5"/>
    </row>
    <row r="19" spans="1:10" x14ac:dyDescent="0.25">
      <c r="A19" s="62" t="s">
        <v>108</v>
      </c>
      <c r="B19" s="62" t="s">
        <v>45</v>
      </c>
      <c r="C19" s="62" t="s">
        <v>51</v>
      </c>
      <c r="D19" s="63">
        <v>21</v>
      </c>
      <c r="E19" s="63">
        <v>40</v>
      </c>
      <c r="F19" s="63">
        <v>48.5</v>
      </c>
      <c r="G19" s="63">
        <v>49</v>
      </c>
      <c r="H19" s="63">
        <v>33</v>
      </c>
      <c r="I19" s="64">
        <f t="shared" si="0"/>
        <v>191.5</v>
      </c>
      <c r="J19" s="5"/>
    </row>
    <row r="20" spans="1:10" x14ac:dyDescent="0.25">
      <c r="A20" s="62" t="s">
        <v>35</v>
      </c>
      <c r="B20" s="62" t="s">
        <v>50</v>
      </c>
      <c r="C20" s="62" t="s">
        <v>49</v>
      </c>
      <c r="D20" s="63">
        <v>28</v>
      </c>
      <c r="E20" s="63">
        <v>32</v>
      </c>
      <c r="F20" s="63">
        <v>40</v>
      </c>
      <c r="G20" s="63">
        <v>40</v>
      </c>
      <c r="H20" s="63">
        <v>32</v>
      </c>
      <c r="I20" s="64">
        <f t="shared" si="0"/>
        <v>172</v>
      </c>
      <c r="J20" s="5"/>
    </row>
    <row r="21" spans="1:10" x14ac:dyDescent="0.25">
      <c r="A21" s="62" t="s">
        <v>35</v>
      </c>
      <c r="B21" s="62" t="s">
        <v>78</v>
      </c>
      <c r="C21" s="62" t="s">
        <v>79</v>
      </c>
      <c r="D21" s="63">
        <v>4</v>
      </c>
      <c r="E21" s="63">
        <v>0</v>
      </c>
      <c r="F21" s="63">
        <v>0</v>
      </c>
      <c r="G21" s="63">
        <v>0</v>
      </c>
      <c r="H21" s="63">
        <v>0</v>
      </c>
      <c r="I21" s="64">
        <f t="shared" si="0"/>
        <v>4</v>
      </c>
      <c r="J21" s="5"/>
    </row>
    <row r="22" spans="1:10" x14ac:dyDescent="0.25">
      <c r="A22" s="62" t="s">
        <v>36</v>
      </c>
      <c r="B22" s="62" t="s">
        <v>75</v>
      </c>
      <c r="C22" s="62" t="s">
        <v>75</v>
      </c>
      <c r="D22" s="63">
        <v>32</v>
      </c>
      <c r="E22" s="63">
        <v>0</v>
      </c>
      <c r="F22" s="63">
        <v>0</v>
      </c>
      <c r="G22" s="63">
        <v>0</v>
      </c>
      <c r="H22" s="63">
        <v>0</v>
      </c>
      <c r="I22" s="64">
        <f t="shared" si="0"/>
        <v>32</v>
      </c>
      <c r="J22" s="5"/>
    </row>
    <row r="23" spans="1:10" x14ac:dyDescent="0.25">
      <c r="A23" s="62" t="s">
        <v>36</v>
      </c>
      <c r="B23" s="62" t="s">
        <v>96</v>
      </c>
      <c r="C23" s="62" t="s">
        <v>97</v>
      </c>
      <c r="D23" s="63">
        <v>0</v>
      </c>
      <c r="E23" s="63">
        <v>28</v>
      </c>
      <c r="F23" s="63">
        <v>40</v>
      </c>
      <c r="G23" s="63">
        <v>40</v>
      </c>
      <c r="H23" s="63">
        <v>32</v>
      </c>
      <c r="I23" s="64">
        <f t="shared" si="0"/>
        <v>140</v>
      </c>
      <c r="J23" s="5"/>
    </row>
    <row r="24" spans="1:10" x14ac:dyDescent="0.25">
      <c r="A24" s="62" t="s">
        <v>36</v>
      </c>
      <c r="B24" s="62" t="s">
        <v>78</v>
      </c>
      <c r="C24" s="62" t="s">
        <v>98</v>
      </c>
      <c r="D24" s="63">
        <v>0</v>
      </c>
      <c r="E24" s="63">
        <v>4</v>
      </c>
      <c r="F24" s="63">
        <v>0</v>
      </c>
      <c r="G24" s="63">
        <v>0</v>
      </c>
      <c r="H24" s="63">
        <v>0</v>
      </c>
      <c r="I24" s="64">
        <f t="shared" si="0"/>
        <v>4</v>
      </c>
      <c r="J24" s="5"/>
    </row>
    <row r="25" spans="1:10" x14ac:dyDescent="0.25">
      <c r="A25" s="62" t="s">
        <v>37</v>
      </c>
      <c r="B25" s="62" t="s">
        <v>96</v>
      </c>
      <c r="C25" s="62" t="s">
        <v>97</v>
      </c>
      <c r="D25" s="63">
        <v>7</v>
      </c>
      <c r="E25" s="63">
        <v>34</v>
      </c>
      <c r="F25" s="63">
        <v>40</v>
      </c>
      <c r="G25" s="63">
        <v>28</v>
      </c>
      <c r="H25" s="63">
        <v>24</v>
      </c>
      <c r="I25" s="64">
        <f t="shared" si="0"/>
        <v>133</v>
      </c>
      <c r="J25" s="5"/>
    </row>
    <row r="26" spans="1:10" x14ac:dyDescent="0.25">
      <c r="A26" s="62" t="s">
        <v>37</v>
      </c>
      <c r="B26" s="62" t="s">
        <v>46</v>
      </c>
      <c r="C26" s="62" t="s">
        <v>46</v>
      </c>
      <c r="D26" s="63">
        <v>21</v>
      </c>
      <c r="E26" s="63">
        <v>2</v>
      </c>
      <c r="F26" s="63">
        <v>0</v>
      </c>
      <c r="G26" s="63">
        <v>8</v>
      </c>
      <c r="H26" s="63">
        <v>0</v>
      </c>
      <c r="I26" s="64">
        <f t="shared" si="0"/>
        <v>31</v>
      </c>
      <c r="J26" s="5"/>
    </row>
    <row r="27" spans="1:10" x14ac:dyDescent="0.25">
      <c r="A27" s="62" t="s">
        <v>37</v>
      </c>
      <c r="B27" s="62" t="s">
        <v>78</v>
      </c>
      <c r="C27" s="62" t="s">
        <v>98</v>
      </c>
      <c r="D27" s="63">
        <v>4</v>
      </c>
      <c r="E27" s="63">
        <v>4</v>
      </c>
      <c r="F27" s="63">
        <v>0</v>
      </c>
      <c r="G27" s="63">
        <v>4</v>
      </c>
      <c r="H27" s="63">
        <v>0</v>
      </c>
      <c r="I27" s="64">
        <f t="shared" si="0"/>
        <v>12</v>
      </c>
      <c r="J27" s="5"/>
    </row>
    <row r="28" spans="1:10" x14ac:dyDescent="0.25">
      <c r="A28" s="62" t="s">
        <v>38</v>
      </c>
      <c r="B28" s="62" t="s">
        <v>76</v>
      </c>
      <c r="C28" s="62" t="s">
        <v>77</v>
      </c>
      <c r="D28" s="63">
        <v>32</v>
      </c>
      <c r="E28" s="63">
        <v>40</v>
      </c>
      <c r="F28" s="63">
        <v>24</v>
      </c>
      <c r="G28" s="63">
        <v>0</v>
      </c>
      <c r="H28" s="63">
        <v>0</v>
      </c>
      <c r="I28" s="64">
        <f t="shared" si="0"/>
        <v>96</v>
      </c>
      <c r="J28" s="5" t="s">
        <v>191</v>
      </c>
    </row>
    <row r="29" spans="1:10" x14ac:dyDescent="0.25">
      <c r="A29" s="62" t="s">
        <v>38</v>
      </c>
      <c r="B29" s="62" t="s">
        <v>75</v>
      </c>
      <c r="C29" s="62" t="s">
        <v>75</v>
      </c>
      <c r="D29" s="63">
        <v>8</v>
      </c>
      <c r="E29" s="63">
        <v>0</v>
      </c>
      <c r="F29" s="63">
        <v>0</v>
      </c>
      <c r="G29" s="63">
        <v>0</v>
      </c>
      <c r="H29" s="63">
        <v>0</v>
      </c>
      <c r="I29" s="64">
        <f t="shared" si="0"/>
        <v>8</v>
      </c>
      <c r="J29" s="5"/>
    </row>
    <row r="30" spans="1:10" x14ac:dyDescent="0.25">
      <c r="A30" s="62" t="s">
        <v>102</v>
      </c>
      <c r="B30" s="62" t="s">
        <v>103</v>
      </c>
      <c r="C30" s="62" t="s">
        <v>104</v>
      </c>
      <c r="D30" s="63">
        <v>0</v>
      </c>
      <c r="E30" s="63">
        <v>40</v>
      </c>
      <c r="F30" s="63">
        <v>40</v>
      </c>
      <c r="G30" s="63">
        <v>40</v>
      </c>
      <c r="H30" s="63">
        <v>24</v>
      </c>
      <c r="I30" s="64">
        <f t="shared" si="0"/>
        <v>144</v>
      </c>
      <c r="J30" s="5" t="s">
        <v>192</v>
      </c>
    </row>
    <row r="31" spans="1:10" x14ac:dyDescent="0.25">
      <c r="A31" s="62" t="s">
        <v>39</v>
      </c>
      <c r="B31" s="62" t="s">
        <v>45</v>
      </c>
      <c r="C31" s="62" t="s">
        <v>88</v>
      </c>
      <c r="D31" s="63">
        <v>32</v>
      </c>
      <c r="E31" s="63">
        <v>40</v>
      </c>
      <c r="F31" s="63">
        <v>8</v>
      </c>
      <c r="G31" s="63">
        <v>36</v>
      </c>
      <c r="H31" s="63">
        <v>16</v>
      </c>
      <c r="I31" s="64">
        <f t="shared" si="0"/>
        <v>132</v>
      </c>
      <c r="J31" s="5"/>
    </row>
    <row r="32" spans="1:10" x14ac:dyDescent="0.25">
      <c r="A32" s="62" t="s">
        <v>39</v>
      </c>
      <c r="B32" s="62" t="s">
        <v>45</v>
      </c>
      <c r="C32" s="62" t="s">
        <v>51</v>
      </c>
      <c r="D32" s="63">
        <v>0</v>
      </c>
      <c r="E32" s="63">
        <v>0</v>
      </c>
      <c r="F32" s="63">
        <v>32</v>
      </c>
      <c r="G32" s="63">
        <v>4</v>
      </c>
      <c r="H32" s="63">
        <v>0</v>
      </c>
      <c r="I32" s="64">
        <f t="shared" si="0"/>
        <v>36</v>
      </c>
      <c r="J32" s="5"/>
    </row>
    <row r="33" spans="1:10" x14ac:dyDescent="0.25">
      <c r="A33" s="62" t="s">
        <v>39</v>
      </c>
      <c r="B33" s="62" t="s">
        <v>75</v>
      </c>
      <c r="C33" s="62" t="s">
        <v>75</v>
      </c>
      <c r="D33" s="63">
        <v>8</v>
      </c>
      <c r="E33" s="63">
        <v>0</v>
      </c>
      <c r="F33" s="63">
        <v>0</v>
      </c>
      <c r="G33" s="63">
        <v>0</v>
      </c>
      <c r="H33" s="63">
        <v>0</v>
      </c>
      <c r="I33" s="64">
        <f t="shared" si="0"/>
        <v>8</v>
      </c>
      <c r="J33" s="5"/>
    </row>
    <row r="34" spans="1:10" x14ac:dyDescent="0.25">
      <c r="A34" s="62" t="s">
        <v>109</v>
      </c>
      <c r="B34" s="62" t="s">
        <v>45</v>
      </c>
      <c r="C34" s="62" t="s">
        <v>51</v>
      </c>
      <c r="D34" s="63">
        <v>0</v>
      </c>
      <c r="E34" s="63">
        <v>0</v>
      </c>
      <c r="F34" s="63">
        <v>45</v>
      </c>
      <c r="G34" s="63">
        <v>41</v>
      </c>
      <c r="H34" s="63">
        <v>33</v>
      </c>
      <c r="I34" s="64">
        <f t="shared" si="0"/>
        <v>119</v>
      </c>
      <c r="J34" s="5" t="s">
        <v>193</v>
      </c>
    </row>
    <row r="35" spans="1:10" x14ac:dyDescent="0.25">
      <c r="A35" s="62" t="s">
        <v>106</v>
      </c>
      <c r="B35" s="62" t="s">
        <v>80</v>
      </c>
      <c r="C35" s="62" t="s">
        <v>81</v>
      </c>
      <c r="D35" s="63">
        <v>32</v>
      </c>
      <c r="E35" s="63">
        <v>40</v>
      </c>
      <c r="F35" s="63">
        <v>40</v>
      </c>
      <c r="G35" s="63">
        <v>40</v>
      </c>
      <c r="H35" s="63">
        <v>24</v>
      </c>
      <c r="I35" s="64">
        <f t="shared" si="0"/>
        <v>176</v>
      </c>
      <c r="J35" s="5"/>
    </row>
    <row r="36" spans="1:10" x14ac:dyDescent="0.25">
      <c r="A36" s="65"/>
      <c r="B36" s="65"/>
      <c r="C36" s="65"/>
      <c r="D36" s="66"/>
      <c r="E36" s="66"/>
      <c r="F36" s="66"/>
      <c r="G36" s="66"/>
      <c r="H36" s="65" t="s">
        <v>187</v>
      </c>
      <c r="I36" s="67">
        <f>SUBTOTAL(9,Tabla1[Total Mayo])</f>
        <v>2883</v>
      </c>
    </row>
  </sheetData>
  <conditionalFormatting sqref="D2:I35">
    <cfRule type="cellIs" dxfId="1651" priority="1" operator="equal">
      <formula>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5:CA1048576"/>
  <sheetViews>
    <sheetView showGridLines="0" zoomScaleNormal="100" workbookViewId="0">
      <pane xSplit="7" ySplit="7" topLeftCell="V38" activePane="bottomRight" state="frozen"/>
      <selection pane="topRight" activeCell="F1" sqref="F1"/>
      <selection pane="bottomLeft" activeCell="A4" sqref="A4"/>
      <selection pane="bottomRight" activeCell="AE82" sqref="H8:AE82"/>
    </sheetView>
  </sheetViews>
  <sheetFormatPr baseColWidth="10" defaultRowHeight="12" x14ac:dyDescent="0.2"/>
  <cols>
    <col min="1" max="1" width="3.140625" style="6" hidden="1" customWidth="1"/>
    <col min="2" max="2" width="3.7109375" style="6" hidden="1" customWidth="1"/>
    <col min="3" max="3" width="3.28515625" style="8" hidden="1" customWidth="1"/>
    <col min="4" max="4" width="15.28515625" style="8" customWidth="1"/>
    <col min="5" max="5" width="16.42578125" style="8" customWidth="1"/>
    <col min="6" max="6" width="50" style="8" customWidth="1"/>
    <col min="7" max="7" width="28.85546875" style="8" bestFit="1" customWidth="1"/>
    <col min="8" max="31" width="9.5703125" style="6" customWidth="1"/>
    <col min="32" max="32" width="8" style="6" customWidth="1"/>
    <col min="33" max="87" width="3.85546875" style="6" customWidth="1"/>
    <col min="88" max="16384" width="11.42578125" style="6"/>
  </cols>
  <sheetData>
    <row r="5" spans="1:79" s="22" customFormat="1" x14ac:dyDescent="0.2">
      <c r="C5" s="23"/>
      <c r="D5" s="23">
        <v>0</v>
      </c>
      <c r="E5" s="23">
        <v>0</v>
      </c>
      <c r="F5" s="23">
        <v>0</v>
      </c>
      <c r="G5" s="23">
        <v>0</v>
      </c>
      <c r="H5" s="24">
        <v>1</v>
      </c>
      <c r="I5" s="24">
        <v>1</v>
      </c>
      <c r="J5" s="24">
        <v>1</v>
      </c>
      <c r="K5" s="24">
        <v>1</v>
      </c>
      <c r="L5" s="24">
        <v>1</v>
      </c>
      <c r="M5" s="24">
        <v>2</v>
      </c>
      <c r="N5" s="24">
        <v>2</v>
      </c>
      <c r="O5" s="24">
        <v>2</v>
      </c>
      <c r="P5" s="24">
        <v>2</v>
      </c>
      <c r="Q5" s="24">
        <v>2</v>
      </c>
      <c r="R5" s="24">
        <v>3</v>
      </c>
      <c r="S5" s="24">
        <v>3</v>
      </c>
      <c r="T5" s="24">
        <v>3</v>
      </c>
      <c r="U5" s="24">
        <v>3</v>
      </c>
      <c r="V5" s="24">
        <v>3</v>
      </c>
      <c r="W5" s="24">
        <v>4</v>
      </c>
      <c r="X5" s="24">
        <v>4</v>
      </c>
      <c r="Y5" s="24">
        <v>4</v>
      </c>
      <c r="Z5" s="24">
        <v>4</v>
      </c>
      <c r="AA5" s="24">
        <v>5</v>
      </c>
      <c r="AB5" s="24">
        <v>5</v>
      </c>
      <c r="AC5" s="24">
        <v>5</v>
      </c>
      <c r="AD5" s="24">
        <v>5</v>
      </c>
      <c r="AE5" s="24">
        <v>5</v>
      </c>
    </row>
    <row r="6" spans="1:79" s="7" customFormat="1" ht="12.75" x14ac:dyDescent="0.2">
      <c r="C6" s="9"/>
      <c r="D6" s="14" t="s">
        <v>105</v>
      </c>
      <c r="E6" s="14" t="s">
        <v>105</v>
      </c>
      <c r="F6" s="14" t="s">
        <v>105</v>
      </c>
      <c r="G6" s="14" t="s">
        <v>105</v>
      </c>
      <c r="H6" s="13">
        <v>42736</v>
      </c>
      <c r="I6" s="13">
        <v>42736</v>
      </c>
      <c r="J6" s="13">
        <v>42736</v>
      </c>
      <c r="K6" s="13">
        <v>42736</v>
      </c>
      <c r="L6" s="13">
        <v>42736</v>
      </c>
      <c r="M6" s="13">
        <v>42767</v>
      </c>
      <c r="N6" s="13">
        <v>42767</v>
      </c>
      <c r="O6" s="13">
        <v>42767</v>
      </c>
      <c r="P6" s="13">
        <v>42767</v>
      </c>
      <c r="Q6" s="13">
        <v>42767</v>
      </c>
      <c r="R6" s="13">
        <v>42795</v>
      </c>
      <c r="S6" s="13">
        <v>42795</v>
      </c>
      <c r="T6" s="13">
        <v>42795</v>
      </c>
      <c r="U6" s="13">
        <v>42795</v>
      </c>
      <c r="V6" s="13">
        <v>42795</v>
      </c>
      <c r="W6" s="13">
        <v>42826</v>
      </c>
      <c r="X6" s="13">
        <v>42826</v>
      </c>
      <c r="Y6" s="13">
        <v>42826</v>
      </c>
      <c r="Z6" s="13">
        <v>42826</v>
      </c>
      <c r="AA6" s="13">
        <v>42856</v>
      </c>
      <c r="AB6" s="13">
        <v>42856</v>
      </c>
      <c r="AC6" s="13">
        <v>42856</v>
      </c>
      <c r="AD6" s="13">
        <v>42856</v>
      </c>
      <c r="AE6" s="13">
        <v>42856</v>
      </c>
    </row>
    <row r="7" spans="1:79" s="7" customFormat="1" ht="12.75" x14ac:dyDescent="0.2">
      <c r="A7" s="7" t="s">
        <v>150</v>
      </c>
      <c r="C7" s="9"/>
      <c r="D7" s="10" t="s">
        <v>73</v>
      </c>
      <c r="E7" s="10" t="s">
        <v>74</v>
      </c>
      <c r="F7" s="10" t="s">
        <v>133</v>
      </c>
      <c r="G7" s="11" t="s">
        <v>72</v>
      </c>
      <c r="H7" s="12" t="s">
        <v>52</v>
      </c>
      <c r="I7" s="12" t="s">
        <v>53</v>
      </c>
      <c r="J7" s="12" t="s">
        <v>54</v>
      </c>
      <c r="K7" s="12" t="s">
        <v>55</v>
      </c>
      <c r="L7" s="12" t="s">
        <v>56</v>
      </c>
      <c r="M7" s="12" t="s">
        <v>57</v>
      </c>
      <c r="N7" s="12" t="s">
        <v>58</v>
      </c>
      <c r="O7" s="12" t="s">
        <v>59</v>
      </c>
      <c r="P7" s="12" t="s">
        <v>60</v>
      </c>
      <c r="Q7" s="12" t="s">
        <v>61</v>
      </c>
      <c r="R7" s="12" t="s">
        <v>57</v>
      </c>
      <c r="S7" s="12" t="s">
        <v>58</v>
      </c>
      <c r="T7" s="12" t="s">
        <v>59</v>
      </c>
      <c r="U7" s="12" t="s">
        <v>60</v>
      </c>
      <c r="V7" s="12" t="s">
        <v>62</v>
      </c>
      <c r="W7" s="12" t="s">
        <v>63</v>
      </c>
      <c r="X7" s="12" t="s">
        <v>64</v>
      </c>
      <c r="Y7" s="12" t="s">
        <v>65</v>
      </c>
      <c r="Z7" s="12" t="s">
        <v>66</v>
      </c>
      <c r="AA7" s="12" t="s">
        <v>67</v>
      </c>
      <c r="AB7" s="12" t="s">
        <v>68</v>
      </c>
      <c r="AC7" s="12" t="s">
        <v>69</v>
      </c>
      <c r="AD7" s="12" t="s">
        <v>70</v>
      </c>
      <c r="AE7" s="12" t="s">
        <v>71</v>
      </c>
      <c r="CA7" s="7" t="s">
        <v>151</v>
      </c>
    </row>
    <row r="8" spans="1:79" x14ac:dyDescent="0.2">
      <c r="A8" s="6">
        <v>3</v>
      </c>
      <c r="D8" s="15" t="s">
        <v>44</v>
      </c>
      <c r="E8" s="15" t="s">
        <v>42</v>
      </c>
      <c r="F8" s="15" t="s">
        <v>127</v>
      </c>
      <c r="G8" s="15" t="s">
        <v>34</v>
      </c>
      <c r="H8" s="16">
        <v>30</v>
      </c>
      <c r="I8" s="16">
        <v>24</v>
      </c>
      <c r="J8" s="16">
        <v>0</v>
      </c>
      <c r="K8" s="16">
        <v>0</v>
      </c>
      <c r="L8" s="16">
        <v>0</v>
      </c>
      <c r="M8" s="16">
        <v>0</v>
      </c>
      <c r="N8" s="16">
        <v>0</v>
      </c>
      <c r="O8" s="16">
        <v>0</v>
      </c>
      <c r="P8" s="16">
        <v>0</v>
      </c>
      <c r="Q8" s="16">
        <v>0</v>
      </c>
      <c r="R8" s="16">
        <v>0</v>
      </c>
      <c r="S8" s="16">
        <v>0</v>
      </c>
      <c r="T8" s="16">
        <v>0</v>
      </c>
      <c r="U8" s="16">
        <v>0</v>
      </c>
      <c r="V8" s="16">
        <v>0</v>
      </c>
      <c r="W8" s="16">
        <v>0</v>
      </c>
      <c r="X8" s="16">
        <v>0</v>
      </c>
      <c r="Y8" s="16">
        <v>0</v>
      </c>
      <c r="Z8" s="16">
        <v>0</v>
      </c>
      <c r="AA8" s="16">
        <v>0</v>
      </c>
      <c r="AB8" s="16">
        <v>0</v>
      </c>
      <c r="AC8" s="16">
        <v>0</v>
      </c>
      <c r="AD8" s="16">
        <v>0</v>
      </c>
      <c r="AE8" s="16">
        <v>0</v>
      </c>
      <c r="CA8" s="6">
        <f>SUM(H8:AE8)</f>
        <v>54</v>
      </c>
    </row>
    <row r="9" spans="1:79" x14ac:dyDescent="0.2">
      <c r="A9" s="6">
        <v>3</v>
      </c>
      <c r="D9" s="15" t="s">
        <v>48</v>
      </c>
      <c r="E9" s="15" t="s">
        <v>43</v>
      </c>
      <c r="F9" s="15" t="s">
        <v>128</v>
      </c>
      <c r="G9" s="15" t="s">
        <v>34</v>
      </c>
      <c r="H9" s="16">
        <v>10</v>
      </c>
      <c r="I9" s="16">
        <v>16</v>
      </c>
      <c r="J9" s="16">
        <v>40</v>
      </c>
      <c r="K9" s="16">
        <v>20</v>
      </c>
      <c r="L9" s="16">
        <v>12</v>
      </c>
      <c r="M9" s="16">
        <v>24</v>
      </c>
      <c r="N9" s="16">
        <v>40</v>
      </c>
      <c r="O9" s="16">
        <v>40</v>
      </c>
      <c r="P9" s="16">
        <v>40</v>
      </c>
      <c r="Q9" s="16">
        <v>4</v>
      </c>
      <c r="R9" s="16">
        <v>0</v>
      </c>
      <c r="S9" s="16">
        <v>0</v>
      </c>
      <c r="T9" s="16">
        <v>0</v>
      </c>
      <c r="U9" s="16">
        <v>0</v>
      </c>
      <c r="V9" s="16">
        <v>0</v>
      </c>
      <c r="W9" s="16">
        <v>2</v>
      </c>
      <c r="X9" s="16">
        <v>0</v>
      </c>
      <c r="Y9" s="16">
        <v>0</v>
      </c>
      <c r="Z9" s="16">
        <v>0</v>
      </c>
      <c r="AA9" s="16">
        <v>0</v>
      </c>
      <c r="AB9" s="16">
        <v>0</v>
      </c>
      <c r="AC9" s="16">
        <v>0</v>
      </c>
      <c r="AD9" s="16">
        <v>0</v>
      </c>
      <c r="AE9" s="16">
        <v>0</v>
      </c>
    </row>
    <row r="10" spans="1:79" x14ac:dyDescent="0.2">
      <c r="A10" s="6">
        <v>3</v>
      </c>
      <c r="D10" s="17" t="s">
        <v>45</v>
      </c>
      <c r="E10" s="17" t="s">
        <v>51</v>
      </c>
      <c r="F10" s="15" t="s">
        <v>122</v>
      </c>
      <c r="G10" s="15" t="s">
        <v>34</v>
      </c>
      <c r="H10" s="16">
        <v>0</v>
      </c>
      <c r="I10" s="16">
        <v>0</v>
      </c>
      <c r="J10" s="16">
        <v>0</v>
      </c>
      <c r="K10" s="16">
        <v>0</v>
      </c>
      <c r="L10" s="16">
        <v>0</v>
      </c>
      <c r="M10" s="16">
        <v>0</v>
      </c>
      <c r="N10" s="16">
        <v>0</v>
      </c>
      <c r="O10" s="16">
        <v>0</v>
      </c>
      <c r="P10" s="16">
        <v>0</v>
      </c>
      <c r="Q10" s="16">
        <v>0</v>
      </c>
      <c r="R10" s="16">
        <v>0</v>
      </c>
      <c r="S10" s="16">
        <v>0</v>
      </c>
      <c r="T10" s="16">
        <v>24</v>
      </c>
      <c r="U10" s="16">
        <v>0</v>
      </c>
      <c r="V10" s="16">
        <v>0</v>
      </c>
      <c r="W10" s="16">
        <v>0</v>
      </c>
      <c r="X10" s="16">
        <v>11</v>
      </c>
      <c r="Y10" s="16">
        <v>0</v>
      </c>
      <c r="Z10" s="16">
        <v>0</v>
      </c>
      <c r="AA10" s="16">
        <v>32</v>
      </c>
      <c r="AB10" s="16">
        <v>40</v>
      </c>
      <c r="AC10" s="16">
        <v>40</v>
      </c>
      <c r="AD10" s="16">
        <v>0</v>
      </c>
      <c r="AE10" s="16">
        <v>0</v>
      </c>
    </row>
    <row r="11" spans="1:79" x14ac:dyDescent="0.2">
      <c r="A11" s="6">
        <v>3</v>
      </c>
      <c r="D11" s="17" t="s">
        <v>50</v>
      </c>
      <c r="E11" s="17" t="s">
        <v>49</v>
      </c>
      <c r="F11" s="15" t="s">
        <v>130</v>
      </c>
      <c r="G11" s="15" t="s">
        <v>34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  <c r="M11" s="16">
        <v>0</v>
      </c>
      <c r="N11" s="16">
        <v>0</v>
      </c>
      <c r="O11" s="16">
        <v>0</v>
      </c>
      <c r="P11" s="16">
        <v>0</v>
      </c>
      <c r="Q11" s="16">
        <v>0</v>
      </c>
      <c r="R11" s="16">
        <v>3</v>
      </c>
      <c r="S11" s="16">
        <v>24</v>
      </c>
      <c r="T11" s="16">
        <v>16</v>
      </c>
      <c r="U11" s="16">
        <v>40</v>
      </c>
      <c r="V11" s="16">
        <v>40</v>
      </c>
      <c r="W11" s="16">
        <v>16</v>
      </c>
      <c r="X11" s="16">
        <v>2</v>
      </c>
      <c r="Y11" s="16">
        <v>0</v>
      </c>
      <c r="Z11" s="16">
        <v>0</v>
      </c>
      <c r="AA11" s="16">
        <v>0</v>
      </c>
      <c r="AB11" s="16">
        <v>0</v>
      </c>
      <c r="AC11" s="16">
        <v>0</v>
      </c>
      <c r="AD11" s="16">
        <v>0</v>
      </c>
      <c r="AE11" s="16">
        <v>0</v>
      </c>
    </row>
    <row r="12" spans="1:79" x14ac:dyDescent="0.2">
      <c r="A12" s="6">
        <v>1</v>
      </c>
      <c r="D12" s="17" t="s">
        <v>75</v>
      </c>
      <c r="E12" s="17" t="s">
        <v>75</v>
      </c>
      <c r="F12" s="15" t="s">
        <v>131</v>
      </c>
      <c r="G12" s="15" t="s">
        <v>34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  <c r="M12" s="16">
        <v>0</v>
      </c>
      <c r="N12" s="16">
        <v>0</v>
      </c>
      <c r="O12" s="16">
        <v>0</v>
      </c>
      <c r="P12" s="16">
        <v>0</v>
      </c>
      <c r="Q12" s="16">
        <v>0</v>
      </c>
      <c r="R12" s="16">
        <v>21</v>
      </c>
      <c r="S12" s="16">
        <v>16</v>
      </c>
      <c r="T12" s="16">
        <v>0</v>
      </c>
      <c r="U12" s="16">
        <v>0</v>
      </c>
      <c r="V12" s="16">
        <v>0</v>
      </c>
      <c r="W12" s="16">
        <v>14</v>
      </c>
      <c r="X12" s="16">
        <v>8</v>
      </c>
      <c r="Y12" s="16">
        <v>40</v>
      </c>
      <c r="Z12" s="16">
        <v>40</v>
      </c>
      <c r="AA12" s="16">
        <v>0</v>
      </c>
      <c r="AB12" s="16">
        <v>0</v>
      </c>
      <c r="AC12" s="16">
        <v>0</v>
      </c>
      <c r="AD12" s="16">
        <v>0</v>
      </c>
      <c r="AE12" s="16">
        <v>0</v>
      </c>
    </row>
    <row r="13" spans="1:79" x14ac:dyDescent="0.2">
      <c r="A13" s="6">
        <v>2</v>
      </c>
      <c r="D13" s="17" t="s">
        <v>46</v>
      </c>
      <c r="E13" s="17" t="s">
        <v>46</v>
      </c>
      <c r="F13" s="15" t="s">
        <v>132</v>
      </c>
      <c r="G13" s="15" t="s">
        <v>34</v>
      </c>
      <c r="H13" s="16">
        <v>0</v>
      </c>
      <c r="I13" s="16">
        <v>0</v>
      </c>
      <c r="J13" s="16">
        <v>0</v>
      </c>
      <c r="K13" s="16">
        <v>20</v>
      </c>
      <c r="L13" s="16">
        <v>4</v>
      </c>
      <c r="M13" s="16">
        <v>0</v>
      </c>
      <c r="N13" s="16">
        <v>0</v>
      </c>
      <c r="O13" s="16">
        <v>0</v>
      </c>
      <c r="P13" s="16">
        <v>0</v>
      </c>
      <c r="Q13" s="16">
        <v>12</v>
      </c>
      <c r="R13" s="16">
        <v>0</v>
      </c>
      <c r="S13" s="16">
        <v>0</v>
      </c>
      <c r="T13" s="16">
        <v>0</v>
      </c>
      <c r="U13" s="16">
        <v>0</v>
      </c>
      <c r="V13" s="16">
        <v>0</v>
      </c>
      <c r="W13" s="16">
        <v>8</v>
      </c>
      <c r="X13" s="16">
        <v>3</v>
      </c>
      <c r="Y13" s="16">
        <v>0</v>
      </c>
      <c r="Z13" s="16">
        <v>0</v>
      </c>
      <c r="AA13" s="16">
        <v>0</v>
      </c>
      <c r="AB13" s="16">
        <v>0</v>
      </c>
      <c r="AC13" s="16">
        <v>0</v>
      </c>
      <c r="AD13" s="16">
        <v>0</v>
      </c>
      <c r="AE13" s="16">
        <v>0</v>
      </c>
    </row>
    <row r="14" spans="1:79" x14ac:dyDescent="0.2">
      <c r="A14" s="6">
        <v>3</v>
      </c>
      <c r="D14" s="15" t="s">
        <v>48</v>
      </c>
      <c r="E14" s="15" t="s">
        <v>43</v>
      </c>
      <c r="F14" s="15" t="s">
        <v>128</v>
      </c>
      <c r="G14" s="15" t="s">
        <v>111</v>
      </c>
      <c r="H14" s="16">
        <v>12</v>
      </c>
      <c r="I14" s="16">
        <v>4</v>
      </c>
      <c r="J14" s="16">
        <v>30</v>
      </c>
      <c r="K14" s="16">
        <v>22</v>
      </c>
      <c r="L14" s="16">
        <v>8</v>
      </c>
      <c r="M14" s="16">
        <v>12</v>
      </c>
      <c r="N14" s="16">
        <v>20</v>
      </c>
      <c r="O14" s="16">
        <v>20</v>
      </c>
      <c r="P14" s="16">
        <v>10</v>
      </c>
      <c r="Q14" s="16">
        <v>4</v>
      </c>
      <c r="R14" s="16">
        <v>0</v>
      </c>
      <c r="S14" s="16">
        <v>0</v>
      </c>
      <c r="T14" s="16">
        <v>4</v>
      </c>
      <c r="U14" s="16">
        <v>0</v>
      </c>
      <c r="V14" s="16">
        <v>0</v>
      </c>
      <c r="W14" s="16">
        <v>0</v>
      </c>
      <c r="X14" s="16">
        <v>0</v>
      </c>
      <c r="Y14" s="16">
        <v>0</v>
      </c>
      <c r="Z14" s="16">
        <v>0</v>
      </c>
      <c r="AA14" s="16">
        <v>0</v>
      </c>
      <c r="AB14" s="16">
        <v>0</v>
      </c>
      <c r="AC14" s="16">
        <v>0</v>
      </c>
      <c r="AD14" s="16">
        <v>0</v>
      </c>
      <c r="AE14" s="16">
        <v>0</v>
      </c>
    </row>
    <row r="15" spans="1:79" x14ac:dyDescent="0.2">
      <c r="A15" s="6">
        <v>3</v>
      </c>
      <c r="D15" s="17" t="s">
        <v>45</v>
      </c>
      <c r="E15" s="17" t="s">
        <v>47</v>
      </c>
      <c r="F15" s="15" t="s">
        <v>120</v>
      </c>
      <c r="G15" s="15" t="s">
        <v>111</v>
      </c>
      <c r="H15" s="16">
        <v>28</v>
      </c>
      <c r="I15" s="16">
        <v>36</v>
      </c>
      <c r="J15" s="16">
        <v>10</v>
      </c>
      <c r="K15" s="16">
        <v>18</v>
      </c>
      <c r="L15" s="16">
        <v>8</v>
      </c>
      <c r="M15" s="16">
        <v>12</v>
      </c>
      <c r="N15" s="16">
        <v>20</v>
      </c>
      <c r="O15" s="16">
        <v>20</v>
      </c>
      <c r="P15" s="16">
        <v>30</v>
      </c>
      <c r="Q15" s="16">
        <v>12</v>
      </c>
      <c r="R15" s="16">
        <v>0</v>
      </c>
      <c r="S15" s="16">
        <v>0</v>
      </c>
      <c r="T15" s="16">
        <v>0</v>
      </c>
      <c r="U15" s="16">
        <v>0</v>
      </c>
      <c r="V15" s="16">
        <v>0</v>
      </c>
      <c r="W15" s="16">
        <v>0</v>
      </c>
      <c r="X15" s="16">
        <v>0</v>
      </c>
      <c r="Y15" s="16">
        <v>0</v>
      </c>
      <c r="Z15" s="16">
        <v>0</v>
      </c>
      <c r="AA15" s="16">
        <v>0</v>
      </c>
      <c r="AB15" s="16">
        <v>0</v>
      </c>
      <c r="AC15" s="16">
        <v>0</v>
      </c>
      <c r="AD15" s="16">
        <v>0</v>
      </c>
      <c r="AE15" s="16">
        <v>0</v>
      </c>
    </row>
    <row r="16" spans="1:79" x14ac:dyDescent="0.2">
      <c r="A16" s="6">
        <v>1</v>
      </c>
      <c r="D16" s="17" t="s">
        <v>75</v>
      </c>
      <c r="E16" s="17" t="s">
        <v>75</v>
      </c>
      <c r="F16" s="15" t="s">
        <v>131</v>
      </c>
      <c r="G16" s="15" t="s">
        <v>111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  <c r="M16" s="16">
        <v>0</v>
      </c>
      <c r="N16" s="16">
        <v>0</v>
      </c>
      <c r="O16" s="16">
        <v>0</v>
      </c>
      <c r="P16" s="16">
        <v>0</v>
      </c>
      <c r="Q16" s="16">
        <v>0</v>
      </c>
      <c r="R16" s="16">
        <v>13</v>
      </c>
      <c r="S16" s="16">
        <v>22</v>
      </c>
      <c r="T16" s="16">
        <v>20</v>
      </c>
      <c r="U16" s="16">
        <v>0</v>
      </c>
      <c r="V16" s="16">
        <v>0</v>
      </c>
      <c r="W16" s="16">
        <v>0</v>
      </c>
      <c r="X16" s="16">
        <v>0</v>
      </c>
      <c r="Y16" s="16">
        <v>0</v>
      </c>
      <c r="Z16" s="16">
        <v>0</v>
      </c>
      <c r="AA16" s="16">
        <v>0</v>
      </c>
      <c r="AB16" s="16">
        <v>0</v>
      </c>
      <c r="AC16" s="16">
        <v>0</v>
      </c>
      <c r="AD16" s="16">
        <v>0</v>
      </c>
      <c r="AE16" s="16">
        <v>0</v>
      </c>
    </row>
    <row r="17" spans="1:31" x14ac:dyDescent="0.2">
      <c r="A17" s="6">
        <v>2</v>
      </c>
      <c r="D17" s="17" t="s">
        <v>46</v>
      </c>
      <c r="E17" s="17" t="s">
        <v>46</v>
      </c>
      <c r="F17" s="15" t="s">
        <v>132</v>
      </c>
      <c r="G17" s="15" t="s">
        <v>111</v>
      </c>
      <c r="H17" s="16">
        <v>0</v>
      </c>
      <c r="I17" s="16">
        <v>0</v>
      </c>
      <c r="J17" s="16">
        <v>0</v>
      </c>
      <c r="K17" s="16">
        <v>0</v>
      </c>
      <c r="L17" s="16">
        <v>0</v>
      </c>
      <c r="M17" s="16">
        <v>0</v>
      </c>
      <c r="N17" s="16">
        <v>0</v>
      </c>
      <c r="O17" s="16">
        <v>0</v>
      </c>
      <c r="P17" s="16">
        <v>0</v>
      </c>
      <c r="Q17" s="16">
        <v>0</v>
      </c>
      <c r="R17" s="16">
        <v>11</v>
      </c>
      <c r="S17" s="16">
        <v>18</v>
      </c>
      <c r="T17" s="16">
        <v>0</v>
      </c>
      <c r="U17" s="16">
        <v>0</v>
      </c>
      <c r="V17" s="16">
        <v>0</v>
      </c>
      <c r="W17" s="16">
        <v>0</v>
      </c>
      <c r="X17" s="16">
        <v>0</v>
      </c>
      <c r="Y17" s="16">
        <v>0</v>
      </c>
      <c r="Z17" s="16">
        <v>0</v>
      </c>
      <c r="AA17" s="16">
        <v>0</v>
      </c>
      <c r="AB17" s="16">
        <v>0</v>
      </c>
      <c r="AC17" s="16">
        <v>0</v>
      </c>
      <c r="AD17" s="16">
        <v>0</v>
      </c>
      <c r="AE17" s="16">
        <v>0</v>
      </c>
    </row>
    <row r="18" spans="1:31" x14ac:dyDescent="0.2">
      <c r="A18" s="6">
        <v>3</v>
      </c>
      <c r="D18" s="15" t="s">
        <v>44</v>
      </c>
      <c r="E18" s="15" t="s">
        <v>42</v>
      </c>
      <c r="F18" s="15" t="s">
        <v>127</v>
      </c>
      <c r="G18" s="18" t="s">
        <v>13</v>
      </c>
      <c r="H18" s="16">
        <v>40</v>
      </c>
      <c r="I18" s="16">
        <v>40</v>
      </c>
      <c r="J18" s="16">
        <v>40</v>
      </c>
      <c r="K18" s="16">
        <v>40</v>
      </c>
      <c r="L18" s="16">
        <v>16</v>
      </c>
      <c r="M18" s="16">
        <v>24</v>
      </c>
      <c r="N18" s="16">
        <v>40</v>
      </c>
      <c r="O18" s="16">
        <v>40</v>
      </c>
      <c r="P18" s="16">
        <v>40</v>
      </c>
      <c r="Q18" s="16">
        <v>16</v>
      </c>
      <c r="R18" s="16">
        <v>24</v>
      </c>
      <c r="S18" s="16">
        <v>40</v>
      </c>
      <c r="T18" s="16">
        <v>40</v>
      </c>
      <c r="U18" s="16">
        <v>40</v>
      </c>
      <c r="V18" s="16">
        <v>40</v>
      </c>
      <c r="W18" s="16">
        <v>0</v>
      </c>
      <c r="X18" s="16">
        <v>0</v>
      </c>
      <c r="Y18" s="16">
        <v>0</v>
      </c>
      <c r="Z18" s="16">
        <v>0</v>
      </c>
      <c r="AA18" s="16">
        <v>0</v>
      </c>
      <c r="AB18" s="16">
        <v>0</v>
      </c>
      <c r="AC18" s="16">
        <v>0</v>
      </c>
      <c r="AD18" s="16">
        <v>0</v>
      </c>
      <c r="AE18" s="16">
        <v>0</v>
      </c>
    </row>
    <row r="19" spans="1:31" x14ac:dyDescent="0.2">
      <c r="A19" s="6">
        <v>3</v>
      </c>
      <c r="D19" s="15" t="s">
        <v>44</v>
      </c>
      <c r="E19" s="15" t="s">
        <v>42</v>
      </c>
      <c r="F19" s="15" t="s">
        <v>127</v>
      </c>
      <c r="G19" s="18" t="s">
        <v>22</v>
      </c>
      <c r="H19" s="16">
        <v>40</v>
      </c>
      <c r="I19" s="16">
        <v>40</v>
      </c>
      <c r="J19" s="16">
        <v>40</v>
      </c>
      <c r="K19" s="16">
        <v>40</v>
      </c>
      <c r="L19" s="16">
        <v>16</v>
      </c>
      <c r="M19" s="16">
        <v>24</v>
      </c>
      <c r="N19" s="16">
        <v>40</v>
      </c>
      <c r="O19" s="16">
        <v>40</v>
      </c>
      <c r="P19" s="16">
        <v>40</v>
      </c>
      <c r="Q19" s="16">
        <v>16</v>
      </c>
      <c r="R19" s="16">
        <v>24</v>
      </c>
      <c r="S19" s="16">
        <v>40</v>
      </c>
      <c r="T19" s="16">
        <v>40</v>
      </c>
      <c r="U19" s="16">
        <v>40</v>
      </c>
      <c r="V19" s="16">
        <v>40</v>
      </c>
      <c r="W19" s="16">
        <v>0</v>
      </c>
      <c r="X19" s="16">
        <v>0</v>
      </c>
      <c r="Y19" s="16">
        <v>0</v>
      </c>
      <c r="Z19" s="16">
        <v>0</v>
      </c>
      <c r="AA19" s="16">
        <v>0</v>
      </c>
      <c r="AB19" s="16">
        <v>0</v>
      </c>
      <c r="AC19" s="16">
        <v>0</v>
      </c>
      <c r="AD19" s="16">
        <v>0</v>
      </c>
      <c r="AE19" s="16">
        <v>0</v>
      </c>
    </row>
    <row r="20" spans="1:31" x14ac:dyDescent="0.2">
      <c r="A20" s="6">
        <v>3</v>
      </c>
      <c r="D20" s="15" t="s">
        <v>76</v>
      </c>
      <c r="E20" s="15" t="s">
        <v>77</v>
      </c>
      <c r="F20" s="15" t="s">
        <v>115</v>
      </c>
      <c r="G20" s="15" t="s">
        <v>30</v>
      </c>
      <c r="H20" s="16">
        <v>0</v>
      </c>
      <c r="I20" s="16">
        <v>0</v>
      </c>
      <c r="J20" s="16">
        <v>0</v>
      </c>
      <c r="K20" s="16">
        <v>0</v>
      </c>
      <c r="L20" s="16">
        <v>0</v>
      </c>
      <c r="M20" s="16">
        <v>0</v>
      </c>
      <c r="N20" s="16">
        <v>0</v>
      </c>
      <c r="O20" s="16">
        <v>0</v>
      </c>
      <c r="P20" s="16">
        <v>0</v>
      </c>
      <c r="Q20" s="16">
        <v>0</v>
      </c>
      <c r="R20" s="16">
        <v>6</v>
      </c>
      <c r="S20" s="16">
        <v>10</v>
      </c>
      <c r="T20" s="16">
        <v>10</v>
      </c>
      <c r="U20" s="16">
        <v>10</v>
      </c>
      <c r="V20" s="16">
        <v>10</v>
      </c>
      <c r="W20" s="16">
        <v>13</v>
      </c>
      <c r="X20" s="16">
        <v>6</v>
      </c>
      <c r="Y20" s="16">
        <v>4</v>
      </c>
      <c r="Z20" s="16">
        <v>10</v>
      </c>
      <c r="AA20" s="16">
        <v>20</v>
      </c>
      <c r="AB20" s="16">
        <v>0</v>
      </c>
      <c r="AC20" s="16">
        <v>0</v>
      </c>
      <c r="AD20" s="16">
        <v>0</v>
      </c>
      <c r="AE20" s="16">
        <v>0</v>
      </c>
    </row>
    <row r="21" spans="1:31" x14ac:dyDescent="0.2">
      <c r="A21" s="6">
        <v>3</v>
      </c>
      <c r="D21" s="15" t="s">
        <v>78</v>
      </c>
      <c r="E21" s="15" t="s">
        <v>79</v>
      </c>
      <c r="F21" s="15" t="s">
        <v>118</v>
      </c>
      <c r="G21" s="15" t="s">
        <v>30</v>
      </c>
      <c r="H21" s="16">
        <v>0</v>
      </c>
      <c r="I21" s="16">
        <v>0</v>
      </c>
      <c r="J21" s="16">
        <v>0</v>
      </c>
      <c r="K21" s="16">
        <v>0</v>
      </c>
      <c r="L21" s="16">
        <v>0</v>
      </c>
      <c r="M21" s="16">
        <v>0</v>
      </c>
      <c r="N21" s="16">
        <v>8</v>
      </c>
      <c r="O21" s="16">
        <v>10</v>
      </c>
      <c r="P21" s="16">
        <v>10</v>
      </c>
      <c r="Q21" s="16">
        <v>4</v>
      </c>
      <c r="R21" s="16">
        <v>6</v>
      </c>
      <c r="S21" s="16">
        <v>0</v>
      </c>
      <c r="T21" s="16">
        <v>0</v>
      </c>
      <c r="U21" s="16">
        <v>0</v>
      </c>
      <c r="V21" s="16">
        <v>0</v>
      </c>
      <c r="W21" s="16">
        <v>0</v>
      </c>
      <c r="X21" s="16">
        <v>0</v>
      </c>
      <c r="Y21" s="16">
        <v>0</v>
      </c>
      <c r="Z21" s="16">
        <v>0</v>
      </c>
      <c r="AA21" s="16">
        <v>0</v>
      </c>
      <c r="AB21" s="16">
        <v>0</v>
      </c>
      <c r="AC21" s="16">
        <v>0</v>
      </c>
      <c r="AD21" s="16">
        <v>0</v>
      </c>
      <c r="AE21" s="16">
        <v>0</v>
      </c>
    </row>
    <row r="22" spans="1:31" x14ac:dyDescent="0.2">
      <c r="A22" s="6">
        <v>3</v>
      </c>
      <c r="D22" s="15" t="s">
        <v>50</v>
      </c>
      <c r="E22" s="15" t="s">
        <v>49</v>
      </c>
      <c r="F22" s="15" t="s">
        <v>130</v>
      </c>
      <c r="G22" s="15" t="s">
        <v>30</v>
      </c>
      <c r="H22" s="16">
        <v>28</v>
      </c>
      <c r="I22" s="16">
        <v>28</v>
      </c>
      <c r="J22" s="16">
        <v>28</v>
      </c>
      <c r="K22" s="16">
        <v>28</v>
      </c>
      <c r="L22" s="16">
        <v>11</v>
      </c>
      <c r="M22" s="16">
        <v>13</v>
      </c>
      <c r="N22" s="16">
        <v>23</v>
      </c>
      <c r="O22" s="16">
        <v>25</v>
      </c>
      <c r="P22" s="16">
        <v>25</v>
      </c>
      <c r="Q22" s="16">
        <v>10</v>
      </c>
      <c r="R22" s="16">
        <v>8.5</v>
      </c>
      <c r="S22" s="16">
        <v>21</v>
      </c>
      <c r="T22" s="16">
        <v>21</v>
      </c>
      <c r="U22" s="16">
        <v>21</v>
      </c>
      <c r="V22" s="16">
        <v>21</v>
      </c>
      <c r="W22" s="16">
        <v>0</v>
      </c>
      <c r="X22" s="16">
        <v>0</v>
      </c>
      <c r="Y22" s="16">
        <v>0</v>
      </c>
      <c r="Z22" s="16">
        <v>0</v>
      </c>
      <c r="AA22" s="16">
        <v>0</v>
      </c>
      <c r="AB22" s="16">
        <v>0</v>
      </c>
      <c r="AC22" s="16">
        <v>0</v>
      </c>
      <c r="AD22" s="16">
        <v>0</v>
      </c>
      <c r="AE22" s="16">
        <v>0</v>
      </c>
    </row>
    <row r="23" spans="1:31" x14ac:dyDescent="0.2">
      <c r="A23" s="6">
        <v>3</v>
      </c>
      <c r="D23" s="15" t="s">
        <v>80</v>
      </c>
      <c r="E23" s="15" t="s">
        <v>81</v>
      </c>
      <c r="F23" s="15" t="s">
        <v>126</v>
      </c>
      <c r="G23" s="15" t="s">
        <v>30</v>
      </c>
      <c r="H23" s="16">
        <v>0</v>
      </c>
      <c r="I23" s="16">
        <v>0</v>
      </c>
      <c r="J23" s="16">
        <v>0</v>
      </c>
      <c r="K23" s="16">
        <v>0</v>
      </c>
      <c r="L23" s="16">
        <v>0</v>
      </c>
      <c r="M23" s="16">
        <v>0</v>
      </c>
      <c r="N23" s="16">
        <v>0</v>
      </c>
      <c r="O23" s="16">
        <v>0</v>
      </c>
      <c r="P23" s="16">
        <v>0</v>
      </c>
      <c r="Q23" s="16">
        <v>0</v>
      </c>
      <c r="R23" s="16">
        <v>0</v>
      </c>
      <c r="S23" s="16">
        <v>0</v>
      </c>
      <c r="T23" s="16">
        <v>0</v>
      </c>
      <c r="U23" s="16">
        <v>0</v>
      </c>
      <c r="V23" s="16">
        <v>0</v>
      </c>
      <c r="W23" s="16">
        <v>5</v>
      </c>
      <c r="X23" s="16">
        <v>3</v>
      </c>
      <c r="Y23" s="16">
        <v>5</v>
      </c>
      <c r="Z23" s="16">
        <v>5</v>
      </c>
      <c r="AA23" s="16">
        <v>1</v>
      </c>
      <c r="AB23" s="16">
        <v>0</v>
      </c>
      <c r="AC23" s="16">
        <v>0</v>
      </c>
      <c r="AD23" s="16">
        <v>0</v>
      </c>
      <c r="AE23" s="16">
        <v>0</v>
      </c>
    </row>
    <row r="24" spans="1:31" x14ac:dyDescent="0.2">
      <c r="A24" s="6">
        <v>3</v>
      </c>
      <c r="D24" s="15" t="s">
        <v>82</v>
      </c>
      <c r="E24" s="15" t="s">
        <v>83</v>
      </c>
      <c r="F24" s="15" t="s">
        <v>126</v>
      </c>
      <c r="G24" s="15" t="s">
        <v>30</v>
      </c>
      <c r="H24" s="16">
        <v>0</v>
      </c>
      <c r="I24" s="16">
        <v>0</v>
      </c>
      <c r="J24" s="16">
        <v>0</v>
      </c>
      <c r="K24" s="16">
        <v>0</v>
      </c>
      <c r="L24" s="16">
        <v>0</v>
      </c>
      <c r="M24" s="16">
        <v>0</v>
      </c>
      <c r="N24" s="16">
        <v>0</v>
      </c>
      <c r="O24" s="16">
        <v>0</v>
      </c>
      <c r="P24" s="16">
        <v>0</v>
      </c>
      <c r="Q24" s="16">
        <v>0</v>
      </c>
      <c r="R24" s="16">
        <v>0</v>
      </c>
      <c r="S24" s="16">
        <v>0</v>
      </c>
      <c r="T24" s="16">
        <v>0</v>
      </c>
      <c r="U24" s="16">
        <v>0</v>
      </c>
      <c r="V24" s="16">
        <v>0</v>
      </c>
      <c r="W24" s="16">
        <v>2</v>
      </c>
      <c r="X24" s="16">
        <v>3</v>
      </c>
      <c r="Y24" s="16">
        <v>2</v>
      </c>
      <c r="Z24" s="16">
        <v>1</v>
      </c>
      <c r="AA24" s="16">
        <v>1</v>
      </c>
      <c r="AB24" s="16">
        <v>0</v>
      </c>
      <c r="AC24" s="16">
        <v>0</v>
      </c>
      <c r="AD24" s="16">
        <v>0</v>
      </c>
      <c r="AE24" s="16">
        <v>0</v>
      </c>
    </row>
    <row r="25" spans="1:31" x14ac:dyDescent="0.2">
      <c r="A25" s="6">
        <v>3</v>
      </c>
      <c r="D25" s="15" t="s">
        <v>84</v>
      </c>
      <c r="E25" s="15" t="s">
        <v>85</v>
      </c>
      <c r="F25" s="15" t="s">
        <v>123</v>
      </c>
      <c r="G25" s="15" t="s">
        <v>30</v>
      </c>
      <c r="H25" s="16">
        <v>0</v>
      </c>
      <c r="I25" s="16">
        <v>0</v>
      </c>
      <c r="J25" s="16">
        <v>0</v>
      </c>
      <c r="K25" s="16">
        <v>0</v>
      </c>
      <c r="L25" s="16">
        <v>0</v>
      </c>
      <c r="M25" s="16">
        <v>0</v>
      </c>
      <c r="N25" s="16">
        <v>0</v>
      </c>
      <c r="O25" s="16">
        <v>0</v>
      </c>
      <c r="P25" s="16">
        <v>0</v>
      </c>
      <c r="Q25" s="16">
        <v>0</v>
      </c>
      <c r="R25" s="16">
        <v>0</v>
      </c>
      <c r="S25" s="16">
        <v>0</v>
      </c>
      <c r="T25" s="16">
        <v>0</v>
      </c>
      <c r="U25" s="16">
        <v>0</v>
      </c>
      <c r="V25" s="16">
        <v>0</v>
      </c>
      <c r="W25" s="16">
        <v>2</v>
      </c>
      <c r="X25" s="16">
        <v>0</v>
      </c>
      <c r="Y25" s="16">
        <v>1</v>
      </c>
      <c r="Z25" s="16">
        <v>2</v>
      </c>
      <c r="AA25" s="16">
        <v>1</v>
      </c>
      <c r="AB25" s="16">
        <v>0</v>
      </c>
      <c r="AC25" s="16">
        <v>0</v>
      </c>
      <c r="AD25" s="16">
        <v>0</v>
      </c>
      <c r="AE25" s="16">
        <v>0</v>
      </c>
    </row>
    <row r="26" spans="1:31" x14ac:dyDescent="0.2">
      <c r="A26" s="6">
        <v>3</v>
      </c>
      <c r="D26" s="15" t="s">
        <v>86</v>
      </c>
      <c r="E26" s="15" t="s">
        <v>87</v>
      </c>
      <c r="F26" s="15" t="s">
        <v>125</v>
      </c>
      <c r="G26" s="15" t="s">
        <v>30</v>
      </c>
      <c r="H26" s="16">
        <v>0</v>
      </c>
      <c r="I26" s="16">
        <v>0</v>
      </c>
      <c r="J26" s="16">
        <v>0</v>
      </c>
      <c r="K26" s="16">
        <v>0</v>
      </c>
      <c r="L26" s="16">
        <v>0</v>
      </c>
      <c r="M26" s="16">
        <v>0</v>
      </c>
      <c r="N26" s="16">
        <v>0</v>
      </c>
      <c r="O26" s="16">
        <v>0</v>
      </c>
      <c r="P26" s="16">
        <v>0</v>
      </c>
      <c r="Q26" s="16">
        <v>0</v>
      </c>
      <c r="R26" s="16">
        <v>0</v>
      </c>
      <c r="S26" s="16">
        <v>0</v>
      </c>
      <c r="T26" s="16">
        <v>0</v>
      </c>
      <c r="U26" s="16">
        <v>0</v>
      </c>
      <c r="V26" s="16">
        <v>0</v>
      </c>
      <c r="W26" s="16">
        <v>0</v>
      </c>
      <c r="X26" s="16">
        <v>3</v>
      </c>
      <c r="Y26" s="16">
        <v>5</v>
      </c>
      <c r="Z26" s="16">
        <v>5</v>
      </c>
      <c r="AA26" s="16">
        <v>1</v>
      </c>
      <c r="AB26" s="16">
        <v>0</v>
      </c>
      <c r="AC26" s="16">
        <v>0</v>
      </c>
      <c r="AD26" s="16">
        <v>0</v>
      </c>
      <c r="AE26" s="16">
        <v>0</v>
      </c>
    </row>
    <row r="27" spans="1:31" x14ac:dyDescent="0.2">
      <c r="A27" s="6">
        <v>1</v>
      </c>
      <c r="D27" s="17" t="s">
        <v>75</v>
      </c>
      <c r="E27" s="17" t="s">
        <v>75</v>
      </c>
      <c r="F27" s="15" t="s">
        <v>131</v>
      </c>
      <c r="G27" s="15" t="s">
        <v>30</v>
      </c>
      <c r="H27" s="16">
        <v>6</v>
      </c>
      <c r="I27" s="16">
        <v>6</v>
      </c>
      <c r="J27" s="16">
        <v>6</v>
      </c>
      <c r="K27" s="16">
        <v>6</v>
      </c>
      <c r="L27" s="16">
        <v>2.5</v>
      </c>
      <c r="M27" s="16">
        <v>5</v>
      </c>
      <c r="N27" s="16">
        <v>5</v>
      </c>
      <c r="O27" s="16">
        <v>3</v>
      </c>
      <c r="P27" s="16">
        <v>2</v>
      </c>
      <c r="Q27" s="16">
        <v>1</v>
      </c>
      <c r="R27" s="16">
        <v>3.5</v>
      </c>
      <c r="S27" s="16">
        <v>9</v>
      </c>
      <c r="T27" s="16">
        <v>9</v>
      </c>
      <c r="U27" s="16">
        <v>9</v>
      </c>
      <c r="V27" s="16">
        <v>9</v>
      </c>
      <c r="W27" s="16">
        <v>18</v>
      </c>
      <c r="X27" s="16">
        <v>9</v>
      </c>
      <c r="Y27" s="16">
        <v>23</v>
      </c>
      <c r="Z27" s="16">
        <v>17</v>
      </c>
      <c r="AA27" s="16">
        <v>8</v>
      </c>
      <c r="AB27" s="16">
        <v>0</v>
      </c>
      <c r="AC27" s="16">
        <v>0</v>
      </c>
      <c r="AD27" s="16">
        <v>0</v>
      </c>
      <c r="AE27" s="16">
        <v>0</v>
      </c>
    </row>
    <row r="28" spans="1:31" x14ac:dyDescent="0.2">
      <c r="A28" s="6">
        <v>2</v>
      </c>
      <c r="D28" s="17" t="s">
        <v>46</v>
      </c>
      <c r="E28" s="17" t="s">
        <v>46</v>
      </c>
      <c r="F28" s="15" t="s">
        <v>132</v>
      </c>
      <c r="G28" s="15" t="s">
        <v>30</v>
      </c>
      <c r="H28" s="16">
        <v>6</v>
      </c>
      <c r="I28" s="16">
        <v>6</v>
      </c>
      <c r="J28" s="16">
        <v>6</v>
      </c>
      <c r="K28" s="16">
        <v>6</v>
      </c>
      <c r="L28" s="16">
        <v>2.5</v>
      </c>
      <c r="M28" s="16">
        <v>6</v>
      </c>
      <c r="N28" s="16">
        <v>4</v>
      </c>
      <c r="O28" s="16">
        <v>2</v>
      </c>
      <c r="P28" s="16">
        <v>3</v>
      </c>
      <c r="Q28" s="16">
        <v>1</v>
      </c>
      <c r="R28" s="16">
        <v>0</v>
      </c>
      <c r="S28" s="16">
        <v>0</v>
      </c>
      <c r="T28" s="16">
        <v>0</v>
      </c>
      <c r="U28" s="16">
        <v>0</v>
      </c>
      <c r="V28" s="16">
        <v>0</v>
      </c>
      <c r="W28" s="16">
        <v>0</v>
      </c>
      <c r="X28" s="16">
        <v>0</v>
      </c>
      <c r="Y28" s="16">
        <v>0</v>
      </c>
      <c r="Z28" s="16">
        <v>0</v>
      </c>
      <c r="AA28" s="16">
        <v>0</v>
      </c>
      <c r="AB28" s="16">
        <v>0</v>
      </c>
      <c r="AC28" s="16">
        <v>0</v>
      </c>
      <c r="AD28" s="16">
        <v>0</v>
      </c>
      <c r="AE28" s="16">
        <v>0</v>
      </c>
    </row>
    <row r="29" spans="1:31" x14ac:dyDescent="0.2">
      <c r="A29" s="6">
        <v>3</v>
      </c>
      <c r="D29" s="15" t="s">
        <v>76</v>
      </c>
      <c r="E29" s="15" t="s">
        <v>77</v>
      </c>
      <c r="F29" s="15" t="s">
        <v>115</v>
      </c>
      <c r="G29" s="15" t="s">
        <v>39</v>
      </c>
      <c r="H29" s="16">
        <v>0</v>
      </c>
      <c r="I29" s="16">
        <v>0</v>
      </c>
      <c r="J29" s="16">
        <v>0</v>
      </c>
      <c r="K29" s="16">
        <v>0</v>
      </c>
      <c r="L29" s="16">
        <v>0</v>
      </c>
      <c r="M29" s="16">
        <v>0</v>
      </c>
      <c r="N29" s="16">
        <v>0</v>
      </c>
      <c r="O29" s="16">
        <v>0</v>
      </c>
      <c r="P29" s="16">
        <v>0</v>
      </c>
      <c r="Q29" s="16">
        <v>0</v>
      </c>
      <c r="R29" s="16">
        <v>16</v>
      </c>
      <c r="S29" s="16">
        <v>40</v>
      </c>
      <c r="T29" s="16">
        <v>40</v>
      </c>
      <c r="U29" s="16">
        <v>40</v>
      </c>
      <c r="V29" s="16">
        <v>40</v>
      </c>
      <c r="W29" s="16">
        <v>0</v>
      </c>
      <c r="X29" s="16">
        <v>0</v>
      </c>
      <c r="Y29" s="16">
        <v>0</v>
      </c>
      <c r="Z29" s="16">
        <v>0</v>
      </c>
      <c r="AA29" s="16">
        <v>0</v>
      </c>
      <c r="AB29" s="16">
        <v>0</v>
      </c>
      <c r="AC29" s="16">
        <v>0</v>
      </c>
      <c r="AD29" s="16">
        <v>0</v>
      </c>
      <c r="AE29" s="16">
        <v>0</v>
      </c>
    </row>
    <row r="30" spans="1:31" x14ac:dyDescent="0.2">
      <c r="A30" s="6">
        <v>3</v>
      </c>
      <c r="D30" s="15" t="s">
        <v>45</v>
      </c>
      <c r="E30" s="17" t="s">
        <v>47</v>
      </c>
      <c r="F30" s="15" t="s">
        <v>120</v>
      </c>
      <c r="G30" s="15" t="s">
        <v>39</v>
      </c>
      <c r="H30" s="16">
        <v>40</v>
      </c>
      <c r="I30" s="16">
        <v>40</v>
      </c>
      <c r="J30" s="16">
        <v>0</v>
      </c>
      <c r="K30" s="16">
        <v>0</v>
      </c>
      <c r="L30" s="16">
        <v>0</v>
      </c>
      <c r="M30" s="16">
        <v>0</v>
      </c>
      <c r="N30" s="16">
        <v>0</v>
      </c>
      <c r="O30" s="16">
        <v>0</v>
      </c>
      <c r="P30" s="16">
        <v>0</v>
      </c>
      <c r="Q30" s="16">
        <v>0</v>
      </c>
      <c r="R30" s="16">
        <v>0</v>
      </c>
      <c r="S30" s="16">
        <v>0</v>
      </c>
      <c r="T30" s="16">
        <v>0</v>
      </c>
      <c r="U30" s="16">
        <v>0</v>
      </c>
      <c r="V30" s="16">
        <v>0</v>
      </c>
      <c r="W30" s="16">
        <v>0</v>
      </c>
      <c r="X30" s="16">
        <v>0</v>
      </c>
      <c r="Y30" s="16">
        <v>0</v>
      </c>
      <c r="Z30" s="16">
        <v>0</v>
      </c>
      <c r="AA30" s="16">
        <v>0</v>
      </c>
      <c r="AB30" s="16">
        <v>0</v>
      </c>
      <c r="AC30" s="16">
        <v>0</v>
      </c>
      <c r="AD30" s="16">
        <v>0</v>
      </c>
      <c r="AE30" s="16">
        <v>0</v>
      </c>
    </row>
    <row r="31" spans="1:31" x14ac:dyDescent="0.2">
      <c r="A31" s="6">
        <v>3</v>
      </c>
      <c r="D31" s="15" t="s">
        <v>45</v>
      </c>
      <c r="E31" s="17" t="s">
        <v>88</v>
      </c>
      <c r="F31" s="15" t="s">
        <v>121</v>
      </c>
      <c r="G31" s="15" t="s">
        <v>39</v>
      </c>
      <c r="H31" s="16">
        <v>0</v>
      </c>
      <c r="I31" s="16">
        <v>0</v>
      </c>
      <c r="J31" s="16">
        <v>0</v>
      </c>
      <c r="K31" s="16">
        <v>0</v>
      </c>
      <c r="L31" s="16">
        <v>0</v>
      </c>
      <c r="M31" s="16">
        <v>0</v>
      </c>
      <c r="N31" s="16">
        <v>0</v>
      </c>
      <c r="O31" s="16">
        <v>0</v>
      </c>
      <c r="P31" s="16">
        <v>0</v>
      </c>
      <c r="Q31" s="16">
        <v>0</v>
      </c>
      <c r="R31" s="16">
        <v>0</v>
      </c>
      <c r="S31" s="16">
        <v>0</v>
      </c>
      <c r="T31" s="16">
        <v>0</v>
      </c>
      <c r="U31" s="16">
        <v>0</v>
      </c>
      <c r="V31" s="16">
        <v>0</v>
      </c>
      <c r="W31" s="16">
        <v>40</v>
      </c>
      <c r="X31" s="16">
        <v>24</v>
      </c>
      <c r="Y31" s="16">
        <v>40</v>
      </c>
      <c r="Z31" s="16">
        <v>40</v>
      </c>
      <c r="AA31" s="16">
        <v>24</v>
      </c>
      <c r="AB31" s="16">
        <v>0</v>
      </c>
      <c r="AC31" s="16">
        <v>0</v>
      </c>
      <c r="AD31" s="16">
        <v>0</v>
      </c>
      <c r="AE31" s="16">
        <v>0</v>
      </c>
    </row>
    <row r="32" spans="1:31" x14ac:dyDescent="0.2">
      <c r="A32" s="6">
        <v>3</v>
      </c>
      <c r="D32" s="15" t="s">
        <v>89</v>
      </c>
      <c r="E32" s="15" t="s">
        <v>90</v>
      </c>
      <c r="F32" s="15" t="s">
        <v>113</v>
      </c>
      <c r="G32" s="15" t="s">
        <v>39</v>
      </c>
      <c r="H32" s="16">
        <v>0</v>
      </c>
      <c r="I32" s="16">
        <v>0</v>
      </c>
      <c r="J32" s="16">
        <v>40</v>
      </c>
      <c r="K32" s="16">
        <v>40</v>
      </c>
      <c r="L32" s="16">
        <v>8</v>
      </c>
      <c r="M32" s="16">
        <v>0</v>
      </c>
      <c r="N32" s="16">
        <v>0</v>
      </c>
      <c r="O32" s="16">
        <v>0</v>
      </c>
      <c r="P32" s="16">
        <v>0</v>
      </c>
      <c r="Q32" s="16">
        <v>0</v>
      </c>
      <c r="R32" s="16">
        <v>0</v>
      </c>
      <c r="S32" s="16">
        <v>0</v>
      </c>
      <c r="T32" s="16">
        <v>0</v>
      </c>
      <c r="U32" s="16">
        <v>0</v>
      </c>
      <c r="V32" s="16">
        <v>0</v>
      </c>
      <c r="W32" s="16">
        <v>0</v>
      </c>
      <c r="X32" s="16">
        <v>0</v>
      </c>
      <c r="Y32" s="16">
        <v>0</v>
      </c>
      <c r="Z32" s="16">
        <v>0</v>
      </c>
      <c r="AA32" s="16">
        <v>0</v>
      </c>
      <c r="AB32" s="16">
        <v>0</v>
      </c>
      <c r="AC32" s="16">
        <v>0</v>
      </c>
      <c r="AD32" s="16">
        <v>0</v>
      </c>
      <c r="AE32" s="16">
        <v>0</v>
      </c>
    </row>
    <row r="33" spans="1:31" x14ac:dyDescent="0.2">
      <c r="A33" s="6">
        <v>1</v>
      </c>
      <c r="D33" s="17" t="s">
        <v>75</v>
      </c>
      <c r="E33" s="17" t="s">
        <v>75</v>
      </c>
      <c r="F33" s="15" t="s">
        <v>131</v>
      </c>
      <c r="G33" s="15" t="s">
        <v>39</v>
      </c>
      <c r="H33" s="16">
        <v>0</v>
      </c>
      <c r="I33" s="16">
        <v>0</v>
      </c>
      <c r="J33" s="16">
        <v>0</v>
      </c>
      <c r="K33" s="16">
        <v>0</v>
      </c>
      <c r="L33" s="16">
        <v>8</v>
      </c>
      <c r="M33" s="16">
        <v>24</v>
      </c>
      <c r="N33" s="16">
        <v>40</v>
      </c>
      <c r="O33" s="16">
        <v>40</v>
      </c>
      <c r="P33" s="16">
        <v>40</v>
      </c>
      <c r="Q33" s="16">
        <v>16</v>
      </c>
      <c r="R33" s="16">
        <v>8</v>
      </c>
      <c r="S33" s="16">
        <v>0</v>
      </c>
      <c r="T33" s="16">
        <v>0</v>
      </c>
      <c r="U33" s="16">
        <v>0</v>
      </c>
      <c r="V33" s="16">
        <v>0</v>
      </c>
      <c r="W33" s="16">
        <v>0</v>
      </c>
      <c r="X33" s="16">
        <v>0</v>
      </c>
      <c r="Y33" s="16">
        <v>0</v>
      </c>
      <c r="Z33" s="16">
        <v>0</v>
      </c>
      <c r="AA33" s="16">
        <v>8</v>
      </c>
      <c r="AB33" s="16">
        <v>0</v>
      </c>
      <c r="AC33" s="16">
        <v>0</v>
      </c>
      <c r="AD33" s="16">
        <v>0</v>
      </c>
      <c r="AE33" s="16">
        <v>0</v>
      </c>
    </row>
    <row r="34" spans="1:31" x14ac:dyDescent="0.2">
      <c r="A34" s="6">
        <v>3</v>
      </c>
      <c r="D34" s="15" t="s">
        <v>76</v>
      </c>
      <c r="E34" s="15" t="s">
        <v>77</v>
      </c>
      <c r="F34" s="15" t="s">
        <v>115</v>
      </c>
      <c r="G34" s="15" t="s">
        <v>38</v>
      </c>
      <c r="H34" s="16">
        <v>0</v>
      </c>
      <c r="I34" s="16">
        <v>0</v>
      </c>
      <c r="J34" s="16">
        <v>0</v>
      </c>
      <c r="K34" s="16">
        <v>0</v>
      </c>
      <c r="L34" s="16">
        <v>0</v>
      </c>
      <c r="M34" s="16">
        <v>24</v>
      </c>
      <c r="N34" s="16">
        <v>40</v>
      </c>
      <c r="O34" s="16">
        <v>40</v>
      </c>
      <c r="P34" s="16">
        <v>40</v>
      </c>
      <c r="Q34" s="16">
        <v>16</v>
      </c>
      <c r="R34" s="16">
        <v>24</v>
      </c>
      <c r="S34" s="16">
        <v>40</v>
      </c>
      <c r="T34" s="16">
        <v>40</v>
      </c>
      <c r="U34" s="16">
        <v>40</v>
      </c>
      <c r="V34" s="16">
        <v>40</v>
      </c>
      <c r="W34" s="16">
        <v>40</v>
      </c>
      <c r="X34" s="16">
        <v>24</v>
      </c>
      <c r="Y34" s="16">
        <v>16</v>
      </c>
      <c r="Z34" s="16">
        <v>32</v>
      </c>
      <c r="AA34" s="16">
        <v>32</v>
      </c>
      <c r="AB34" s="16">
        <v>0</v>
      </c>
      <c r="AC34" s="16">
        <v>24</v>
      </c>
      <c r="AD34" s="16">
        <v>0</v>
      </c>
      <c r="AE34" s="16">
        <v>0</v>
      </c>
    </row>
    <row r="35" spans="1:31" x14ac:dyDescent="0.2">
      <c r="A35" s="6">
        <v>3</v>
      </c>
      <c r="D35" s="15" t="s">
        <v>50</v>
      </c>
      <c r="E35" s="17" t="s">
        <v>49</v>
      </c>
      <c r="F35" s="15" t="s">
        <v>130</v>
      </c>
      <c r="G35" s="15" t="s">
        <v>38</v>
      </c>
      <c r="H35" s="16">
        <v>40</v>
      </c>
      <c r="I35" s="16">
        <v>40</v>
      </c>
      <c r="J35" s="16">
        <v>40</v>
      </c>
      <c r="K35" s="16">
        <v>40</v>
      </c>
      <c r="L35" s="16">
        <v>16</v>
      </c>
      <c r="M35" s="16">
        <v>0</v>
      </c>
      <c r="N35" s="16">
        <v>0</v>
      </c>
      <c r="O35" s="16">
        <v>0</v>
      </c>
      <c r="P35" s="16">
        <v>0</v>
      </c>
      <c r="Q35" s="16">
        <v>0</v>
      </c>
      <c r="R35" s="16">
        <v>0</v>
      </c>
      <c r="S35" s="16">
        <v>0</v>
      </c>
      <c r="T35" s="16">
        <v>0</v>
      </c>
      <c r="U35" s="16">
        <v>0</v>
      </c>
      <c r="V35" s="16">
        <v>0</v>
      </c>
      <c r="W35" s="16">
        <v>0</v>
      </c>
      <c r="X35" s="16">
        <v>0</v>
      </c>
      <c r="Y35" s="16">
        <v>0</v>
      </c>
      <c r="Z35" s="16">
        <v>0</v>
      </c>
      <c r="AA35" s="16">
        <v>0</v>
      </c>
      <c r="AB35" s="16">
        <v>0</v>
      </c>
      <c r="AC35" s="16">
        <v>0</v>
      </c>
      <c r="AD35" s="16">
        <v>0</v>
      </c>
      <c r="AE35" s="16">
        <v>0</v>
      </c>
    </row>
    <row r="36" spans="1:31" x14ac:dyDescent="0.2">
      <c r="A36" s="6">
        <v>1</v>
      </c>
      <c r="D36" s="17" t="s">
        <v>75</v>
      </c>
      <c r="E36" s="17" t="s">
        <v>75</v>
      </c>
      <c r="F36" s="15" t="s">
        <v>131</v>
      </c>
      <c r="G36" s="15" t="s">
        <v>38</v>
      </c>
      <c r="H36" s="16">
        <v>0</v>
      </c>
      <c r="I36" s="16">
        <v>0</v>
      </c>
      <c r="J36" s="16">
        <v>0</v>
      </c>
      <c r="K36" s="16">
        <v>0</v>
      </c>
      <c r="L36" s="16">
        <v>0</v>
      </c>
      <c r="M36" s="16">
        <v>0</v>
      </c>
      <c r="N36" s="16">
        <v>0</v>
      </c>
      <c r="O36" s="16">
        <v>0</v>
      </c>
      <c r="P36" s="16">
        <v>0</v>
      </c>
      <c r="Q36" s="16">
        <v>0</v>
      </c>
      <c r="R36" s="16">
        <v>0</v>
      </c>
      <c r="S36" s="16">
        <v>0</v>
      </c>
      <c r="T36" s="16">
        <v>0</v>
      </c>
      <c r="U36" s="16">
        <v>0</v>
      </c>
      <c r="V36" s="16">
        <v>0</v>
      </c>
      <c r="W36" s="16">
        <v>0</v>
      </c>
      <c r="X36" s="16">
        <v>0</v>
      </c>
      <c r="Y36" s="16">
        <v>24</v>
      </c>
      <c r="Z36" s="16">
        <v>8</v>
      </c>
      <c r="AA36" s="16">
        <v>8</v>
      </c>
      <c r="AB36" s="16">
        <v>0</v>
      </c>
      <c r="AC36" s="16">
        <v>0</v>
      </c>
      <c r="AD36" s="16">
        <v>0</v>
      </c>
      <c r="AE36" s="16">
        <v>0</v>
      </c>
    </row>
    <row r="37" spans="1:31" x14ac:dyDescent="0.2">
      <c r="A37" s="6">
        <v>3</v>
      </c>
      <c r="D37" s="15" t="s">
        <v>91</v>
      </c>
      <c r="E37" s="15" t="s">
        <v>92</v>
      </c>
      <c r="F37" s="15" t="s">
        <v>117</v>
      </c>
      <c r="G37" s="15" t="s">
        <v>28</v>
      </c>
      <c r="H37" s="16">
        <v>0</v>
      </c>
      <c r="I37" s="16">
        <v>5</v>
      </c>
      <c r="J37" s="16">
        <v>4</v>
      </c>
      <c r="K37" s="16">
        <v>0</v>
      </c>
      <c r="L37" s="16">
        <v>0</v>
      </c>
      <c r="M37" s="16">
        <v>0</v>
      </c>
      <c r="N37" s="16">
        <v>0</v>
      </c>
      <c r="O37" s="16">
        <v>0</v>
      </c>
      <c r="P37" s="16">
        <v>0</v>
      </c>
      <c r="Q37" s="16">
        <v>0</v>
      </c>
      <c r="R37" s="16">
        <v>8</v>
      </c>
      <c r="S37" s="16">
        <v>0</v>
      </c>
      <c r="T37" s="16">
        <v>0</v>
      </c>
      <c r="U37" s="16">
        <v>0</v>
      </c>
      <c r="V37" s="16">
        <v>0</v>
      </c>
      <c r="W37" s="16">
        <v>0</v>
      </c>
      <c r="X37" s="16">
        <v>0</v>
      </c>
      <c r="Y37" s="16">
        <v>0</v>
      </c>
      <c r="Z37" s="16">
        <v>0</v>
      </c>
      <c r="AA37" s="16">
        <v>0</v>
      </c>
      <c r="AB37" s="16">
        <v>0</v>
      </c>
      <c r="AC37" s="16">
        <v>0</v>
      </c>
      <c r="AD37" s="16">
        <v>0</v>
      </c>
      <c r="AE37" s="16">
        <v>0</v>
      </c>
    </row>
    <row r="38" spans="1:31" x14ac:dyDescent="0.2">
      <c r="A38" s="6">
        <v>3</v>
      </c>
      <c r="D38" s="15" t="s">
        <v>78</v>
      </c>
      <c r="E38" s="15" t="s">
        <v>79</v>
      </c>
      <c r="F38" s="15" t="s">
        <v>118</v>
      </c>
      <c r="G38" s="15" t="s">
        <v>28</v>
      </c>
      <c r="H38" s="16">
        <v>0</v>
      </c>
      <c r="I38" s="16">
        <v>0</v>
      </c>
      <c r="J38" s="16">
        <v>0</v>
      </c>
      <c r="K38" s="16">
        <v>0</v>
      </c>
      <c r="L38" s="16">
        <v>0</v>
      </c>
      <c r="M38" s="16">
        <v>0</v>
      </c>
      <c r="N38" s="16">
        <v>0</v>
      </c>
      <c r="O38" s="16">
        <v>0</v>
      </c>
      <c r="P38" s="16">
        <v>0</v>
      </c>
      <c r="Q38" s="16">
        <v>0</v>
      </c>
      <c r="R38" s="16">
        <v>0</v>
      </c>
      <c r="S38" s="16">
        <v>10</v>
      </c>
      <c r="T38" s="16">
        <v>12</v>
      </c>
      <c r="U38" s="16">
        <v>16</v>
      </c>
      <c r="V38" s="16">
        <v>14</v>
      </c>
      <c r="W38" s="16">
        <v>0</v>
      </c>
      <c r="X38" s="16">
        <v>0</v>
      </c>
      <c r="Y38" s="16">
        <v>0</v>
      </c>
      <c r="Z38" s="16">
        <v>0</v>
      </c>
      <c r="AA38" s="16">
        <v>0</v>
      </c>
      <c r="AB38" s="16">
        <v>0</v>
      </c>
      <c r="AC38" s="16">
        <v>0</v>
      </c>
      <c r="AD38" s="16">
        <v>0</v>
      </c>
      <c r="AE38" s="16">
        <v>0</v>
      </c>
    </row>
    <row r="39" spans="1:31" x14ac:dyDescent="0.2">
      <c r="A39" s="6">
        <v>3</v>
      </c>
      <c r="D39" s="15" t="s">
        <v>93</v>
      </c>
      <c r="E39" s="15" t="s">
        <v>94</v>
      </c>
      <c r="F39" s="15" t="s">
        <v>116</v>
      </c>
      <c r="G39" s="15" t="s">
        <v>28</v>
      </c>
      <c r="H39" s="16">
        <v>10</v>
      </c>
      <c r="I39" s="16">
        <v>10</v>
      </c>
      <c r="J39" s="16">
        <v>8</v>
      </c>
      <c r="K39" s="16">
        <v>5</v>
      </c>
      <c r="L39" s="16">
        <v>2</v>
      </c>
      <c r="M39" s="16">
        <v>0</v>
      </c>
      <c r="N39" s="16">
        <v>0</v>
      </c>
      <c r="O39" s="16">
        <v>0</v>
      </c>
      <c r="P39" s="16">
        <v>0</v>
      </c>
      <c r="Q39" s="16">
        <v>0</v>
      </c>
      <c r="R39" s="16">
        <v>0</v>
      </c>
      <c r="S39" s="16">
        <v>0</v>
      </c>
      <c r="T39" s="16">
        <v>0</v>
      </c>
      <c r="U39" s="16">
        <v>0</v>
      </c>
      <c r="V39" s="16">
        <v>0</v>
      </c>
      <c r="W39" s="16">
        <v>0</v>
      </c>
      <c r="X39" s="16">
        <v>0</v>
      </c>
      <c r="Y39" s="16">
        <v>0</v>
      </c>
      <c r="Z39" s="16">
        <v>0</v>
      </c>
      <c r="AA39" s="16">
        <v>0</v>
      </c>
      <c r="AB39" s="16">
        <v>0</v>
      </c>
      <c r="AC39" s="16">
        <v>0</v>
      </c>
      <c r="AD39" s="16">
        <v>0</v>
      </c>
      <c r="AE39" s="16">
        <v>0</v>
      </c>
    </row>
    <row r="40" spans="1:31" x14ac:dyDescent="0.2">
      <c r="A40" s="6">
        <v>3</v>
      </c>
      <c r="D40" s="15" t="s">
        <v>89</v>
      </c>
      <c r="E40" s="15" t="s">
        <v>90</v>
      </c>
      <c r="F40" s="15" t="s">
        <v>113</v>
      </c>
      <c r="G40" s="15" t="s">
        <v>28</v>
      </c>
      <c r="H40" s="16">
        <v>10</v>
      </c>
      <c r="I40" s="16">
        <v>10</v>
      </c>
      <c r="J40" s="16">
        <v>10</v>
      </c>
      <c r="K40" s="16">
        <v>5</v>
      </c>
      <c r="L40" s="16">
        <v>0</v>
      </c>
      <c r="M40" s="16">
        <v>0</v>
      </c>
      <c r="N40" s="16">
        <v>0</v>
      </c>
      <c r="O40" s="16">
        <v>0</v>
      </c>
      <c r="P40" s="16">
        <v>0</v>
      </c>
      <c r="Q40" s="16">
        <v>0</v>
      </c>
      <c r="R40" s="16">
        <v>0</v>
      </c>
      <c r="S40" s="16">
        <v>0</v>
      </c>
      <c r="T40" s="16">
        <v>0</v>
      </c>
      <c r="U40" s="16">
        <v>0</v>
      </c>
      <c r="V40" s="16">
        <v>0</v>
      </c>
      <c r="W40" s="16">
        <v>0</v>
      </c>
      <c r="X40" s="16">
        <v>0</v>
      </c>
      <c r="Y40" s="16">
        <v>0</v>
      </c>
      <c r="Z40" s="16">
        <v>0</v>
      </c>
      <c r="AA40" s="16">
        <v>0</v>
      </c>
      <c r="AB40" s="16">
        <v>0</v>
      </c>
      <c r="AC40" s="16">
        <v>0</v>
      </c>
      <c r="AD40" s="16">
        <v>0</v>
      </c>
      <c r="AE40" s="16">
        <v>0</v>
      </c>
    </row>
    <row r="41" spans="1:31" x14ac:dyDescent="0.2">
      <c r="A41" s="6">
        <v>3</v>
      </c>
      <c r="D41" s="15" t="s">
        <v>89</v>
      </c>
      <c r="E41" s="15" t="s">
        <v>95</v>
      </c>
      <c r="F41" s="15" t="s">
        <v>114</v>
      </c>
      <c r="G41" s="15" t="s">
        <v>28</v>
      </c>
      <c r="H41" s="16">
        <v>0</v>
      </c>
      <c r="I41" s="16">
        <v>0</v>
      </c>
      <c r="J41" s="16">
        <v>0</v>
      </c>
      <c r="K41" s="16">
        <v>5</v>
      </c>
      <c r="L41" s="16">
        <v>4</v>
      </c>
      <c r="M41" s="16">
        <v>6</v>
      </c>
      <c r="N41" s="16">
        <v>20</v>
      </c>
      <c r="O41" s="16">
        <v>30</v>
      </c>
      <c r="P41" s="16">
        <v>10</v>
      </c>
      <c r="Q41" s="16">
        <v>4</v>
      </c>
      <c r="R41" s="16">
        <v>0</v>
      </c>
      <c r="S41" s="16">
        <v>0</v>
      </c>
      <c r="T41" s="16">
        <v>0</v>
      </c>
      <c r="U41" s="16">
        <v>0</v>
      </c>
      <c r="V41" s="16">
        <v>0</v>
      </c>
      <c r="W41" s="16">
        <v>0</v>
      </c>
      <c r="X41" s="16">
        <v>0</v>
      </c>
      <c r="Y41" s="16">
        <v>0</v>
      </c>
      <c r="Z41" s="16">
        <v>0</v>
      </c>
      <c r="AA41" s="16">
        <v>0</v>
      </c>
      <c r="AB41" s="16">
        <v>0</v>
      </c>
      <c r="AC41" s="16">
        <v>0</v>
      </c>
      <c r="AD41" s="16">
        <v>0</v>
      </c>
      <c r="AE41" s="16">
        <v>0</v>
      </c>
    </row>
    <row r="42" spans="1:31" x14ac:dyDescent="0.2">
      <c r="A42" s="6">
        <v>1</v>
      </c>
      <c r="D42" s="17" t="s">
        <v>75</v>
      </c>
      <c r="E42" s="17" t="s">
        <v>75</v>
      </c>
      <c r="F42" s="15" t="s">
        <v>131</v>
      </c>
      <c r="G42" s="15" t="s">
        <v>28</v>
      </c>
      <c r="H42" s="16">
        <v>0</v>
      </c>
      <c r="I42" s="16">
        <v>0</v>
      </c>
      <c r="J42" s="16">
        <v>0</v>
      </c>
      <c r="K42" s="16">
        <v>0</v>
      </c>
      <c r="L42" s="16">
        <v>0</v>
      </c>
      <c r="M42" s="16">
        <v>0</v>
      </c>
      <c r="N42" s="16">
        <v>0</v>
      </c>
      <c r="O42" s="16">
        <v>0</v>
      </c>
      <c r="P42" s="16">
        <v>0</v>
      </c>
      <c r="Q42" s="16">
        <v>0</v>
      </c>
      <c r="R42" s="16">
        <v>16</v>
      </c>
      <c r="S42" s="16">
        <v>30</v>
      </c>
      <c r="T42" s="16">
        <v>28</v>
      </c>
      <c r="U42" s="16">
        <v>24</v>
      </c>
      <c r="V42" s="16">
        <v>26</v>
      </c>
      <c r="W42" s="16">
        <v>40</v>
      </c>
      <c r="X42" s="16">
        <v>24</v>
      </c>
      <c r="Y42" s="16">
        <v>40</v>
      </c>
      <c r="Z42" s="16">
        <v>40</v>
      </c>
      <c r="AA42" s="16">
        <v>32</v>
      </c>
      <c r="AB42" s="16">
        <v>0</v>
      </c>
      <c r="AC42" s="16">
        <v>0</v>
      </c>
      <c r="AD42" s="16">
        <v>0</v>
      </c>
      <c r="AE42" s="16">
        <v>0</v>
      </c>
    </row>
    <row r="43" spans="1:31" x14ac:dyDescent="0.2">
      <c r="A43" s="6">
        <v>3</v>
      </c>
      <c r="D43" s="15" t="s">
        <v>91</v>
      </c>
      <c r="E43" s="15" t="s">
        <v>92</v>
      </c>
      <c r="F43" s="15" t="s">
        <v>117</v>
      </c>
      <c r="G43" s="19" t="s">
        <v>112</v>
      </c>
      <c r="H43" s="16">
        <v>40</v>
      </c>
      <c r="I43" s="16">
        <v>40</v>
      </c>
      <c r="J43" s="16">
        <v>8</v>
      </c>
      <c r="K43" s="16">
        <v>0</v>
      </c>
      <c r="L43" s="16">
        <v>0</v>
      </c>
      <c r="M43" s="16">
        <v>0</v>
      </c>
      <c r="N43" s="16">
        <v>0</v>
      </c>
      <c r="O43" s="16">
        <v>0</v>
      </c>
      <c r="P43" s="16">
        <v>0</v>
      </c>
      <c r="Q43" s="16">
        <v>0</v>
      </c>
      <c r="R43" s="16">
        <v>0</v>
      </c>
      <c r="S43" s="16">
        <v>0</v>
      </c>
      <c r="T43" s="16">
        <v>0</v>
      </c>
      <c r="U43" s="16">
        <v>0</v>
      </c>
      <c r="V43" s="16">
        <v>0</v>
      </c>
      <c r="W43" s="16">
        <v>0</v>
      </c>
      <c r="X43" s="16">
        <v>0</v>
      </c>
      <c r="Y43" s="16">
        <v>0</v>
      </c>
      <c r="Z43" s="16">
        <v>0</v>
      </c>
      <c r="AA43" s="16">
        <v>0</v>
      </c>
      <c r="AB43" s="16">
        <v>0</v>
      </c>
      <c r="AC43" s="16">
        <v>0</v>
      </c>
      <c r="AD43" s="16">
        <v>0</v>
      </c>
      <c r="AE43" s="16">
        <v>0</v>
      </c>
    </row>
    <row r="44" spans="1:31" x14ac:dyDescent="0.2">
      <c r="A44" s="6">
        <v>3</v>
      </c>
      <c r="D44" s="15" t="s">
        <v>44</v>
      </c>
      <c r="E44" s="15" t="s">
        <v>42</v>
      </c>
      <c r="F44" s="15" t="s">
        <v>127</v>
      </c>
      <c r="G44" s="19" t="s">
        <v>112</v>
      </c>
      <c r="H44" s="16">
        <v>0</v>
      </c>
      <c r="I44" s="16">
        <v>0</v>
      </c>
      <c r="J44" s="16">
        <v>0</v>
      </c>
      <c r="K44" s="16">
        <v>0</v>
      </c>
      <c r="L44" s="16">
        <v>0</v>
      </c>
      <c r="M44" s="16">
        <v>0</v>
      </c>
      <c r="N44" s="16">
        <v>0</v>
      </c>
      <c r="O44" s="16">
        <v>24</v>
      </c>
      <c r="P44" s="16">
        <v>40</v>
      </c>
      <c r="Q44" s="16">
        <v>16</v>
      </c>
      <c r="R44" s="16">
        <v>24</v>
      </c>
      <c r="S44" s="16">
        <v>40</v>
      </c>
      <c r="T44" s="16">
        <v>40</v>
      </c>
      <c r="U44" s="16">
        <v>40</v>
      </c>
      <c r="V44" s="16">
        <v>40</v>
      </c>
      <c r="W44" s="16">
        <v>0</v>
      </c>
      <c r="X44" s="16">
        <v>0</v>
      </c>
      <c r="Y44" s="16">
        <v>0</v>
      </c>
      <c r="Z44" s="16">
        <v>0</v>
      </c>
      <c r="AA44" s="16">
        <v>0</v>
      </c>
      <c r="AB44" s="16">
        <v>0</v>
      </c>
      <c r="AC44" s="16">
        <v>0</v>
      </c>
      <c r="AD44" s="16">
        <v>0</v>
      </c>
      <c r="AE44" s="16">
        <v>0</v>
      </c>
    </row>
    <row r="45" spans="1:31" x14ac:dyDescent="0.2">
      <c r="A45" s="6">
        <v>3</v>
      </c>
      <c r="D45" s="15" t="s">
        <v>78</v>
      </c>
      <c r="E45" s="15" t="s">
        <v>79</v>
      </c>
      <c r="F45" s="15" t="s">
        <v>118</v>
      </c>
      <c r="G45" s="19" t="s">
        <v>112</v>
      </c>
      <c r="H45" s="16">
        <v>0</v>
      </c>
      <c r="I45" s="16">
        <v>0</v>
      </c>
      <c r="J45" s="16">
        <v>0</v>
      </c>
      <c r="K45" s="16">
        <v>0</v>
      </c>
      <c r="L45" s="16">
        <v>0</v>
      </c>
      <c r="M45" s="16">
        <v>24</v>
      </c>
      <c r="N45" s="16">
        <v>40</v>
      </c>
      <c r="O45" s="16">
        <v>16</v>
      </c>
      <c r="P45" s="16">
        <v>0</v>
      </c>
      <c r="Q45" s="16">
        <v>0</v>
      </c>
      <c r="R45" s="16">
        <v>0</v>
      </c>
      <c r="S45" s="16">
        <v>0</v>
      </c>
      <c r="T45" s="16">
        <v>0</v>
      </c>
      <c r="U45" s="16">
        <v>0</v>
      </c>
      <c r="V45" s="16">
        <v>0</v>
      </c>
      <c r="W45" s="16">
        <v>0</v>
      </c>
      <c r="X45" s="16">
        <v>0</v>
      </c>
      <c r="Y45" s="16">
        <v>0</v>
      </c>
      <c r="Z45" s="16">
        <v>0</v>
      </c>
      <c r="AA45" s="16">
        <v>0</v>
      </c>
      <c r="AB45" s="16">
        <v>0</v>
      </c>
      <c r="AC45" s="16">
        <v>0</v>
      </c>
      <c r="AD45" s="16">
        <v>0</v>
      </c>
      <c r="AE45" s="16">
        <v>0</v>
      </c>
    </row>
    <row r="46" spans="1:31" x14ac:dyDescent="0.2">
      <c r="A46" s="6">
        <v>3</v>
      </c>
      <c r="D46" s="15" t="s">
        <v>93</v>
      </c>
      <c r="E46" s="15" t="s">
        <v>94</v>
      </c>
      <c r="F46" s="15" t="s">
        <v>116</v>
      </c>
      <c r="G46" s="19" t="s">
        <v>112</v>
      </c>
      <c r="H46" s="16">
        <v>0</v>
      </c>
      <c r="I46" s="16">
        <v>0</v>
      </c>
      <c r="J46" s="16">
        <v>32</v>
      </c>
      <c r="K46" s="16">
        <v>40</v>
      </c>
      <c r="L46" s="16">
        <v>16</v>
      </c>
      <c r="M46" s="16">
        <v>0</v>
      </c>
      <c r="N46" s="16">
        <v>0</v>
      </c>
      <c r="O46" s="16">
        <v>0</v>
      </c>
      <c r="P46" s="16">
        <v>0</v>
      </c>
      <c r="Q46" s="16">
        <v>0</v>
      </c>
      <c r="R46" s="16">
        <v>0</v>
      </c>
      <c r="S46" s="16">
        <v>0</v>
      </c>
      <c r="T46" s="16">
        <v>0</v>
      </c>
      <c r="U46" s="16">
        <v>0</v>
      </c>
      <c r="V46" s="16">
        <v>0</v>
      </c>
      <c r="W46" s="16">
        <v>0</v>
      </c>
      <c r="X46" s="16">
        <v>0</v>
      </c>
      <c r="Y46" s="16">
        <v>0</v>
      </c>
      <c r="Z46" s="16">
        <v>0</v>
      </c>
      <c r="AA46" s="16">
        <v>0</v>
      </c>
      <c r="AB46" s="16">
        <v>0</v>
      </c>
      <c r="AC46" s="16">
        <v>0</v>
      </c>
      <c r="AD46" s="16">
        <v>0</v>
      </c>
      <c r="AE46" s="16">
        <v>0</v>
      </c>
    </row>
    <row r="47" spans="1:31" x14ac:dyDescent="0.2">
      <c r="A47" s="6">
        <v>3</v>
      </c>
      <c r="D47" s="15" t="s">
        <v>91</v>
      </c>
      <c r="E47" s="15" t="s">
        <v>92</v>
      </c>
      <c r="F47" s="15" t="s">
        <v>117</v>
      </c>
      <c r="G47" s="19" t="s">
        <v>35</v>
      </c>
      <c r="H47" s="16">
        <v>0</v>
      </c>
      <c r="I47" s="16">
        <v>0</v>
      </c>
      <c r="J47" s="16">
        <v>0</v>
      </c>
      <c r="K47" s="16">
        <v>0</v>
      </c>
      <c r="L47" s="16">
        <v>0</v>
      </c>
      <c r="M47" s="16">
        <v>0</v>
      </c>
      <c r="N47" s="16">
        <v>0</v>
      </c>
      <c r="O47" s="16">
        <v>0</v>
      </c>
      <c r="P47" s="16">
        <v>0</v>
      </c>
      <c r="Q47" s="16">
        <v>0</v>
      </c>
      <c r="R47" s="16">
        <v>8</v>
      </c>
      <c r="S47" s="16">
        <v>0</v>
      </c>
      <c r="T47" s="16">
        <v>0</v>
      </c>
      <c r="U47" s="16">
        <v>0</v>
      </c>
      <c r="V47" s="16">
        <v>0</v>
      </c>
      <c r="W47" s="16">
        <v>8</v>
      </c>
      <c r="X47" s="16">
        <v>24</v>
      </c>
      <c r="Y47" s="16">
        <v>40</v>
      </c>
      <c r="Z47" s="16">
        <v>0</v>
      </c>
      <c r="AA47" s="16">
        <v>0</v>
      </c>
      <c r="AB47" s="16">
        <v>0</v>
      </c>
      <c r="AC47" s="16">
        <v>0</v>
      </c>
      <c r="AD47" s="16">
        <v>0</v>
      </c>
      <c r="AE47" s="16">
        <v>0</v>
      </c>
    </row>
    <row r="48" spans="1:31" x14ac:dyDescent="0.2">
      <c r="A48" s="6">
        <v>3</v>
      </c>
      <c r="D48" s="15" t="s">
        <v>78</v>
      </c>
      <c r="E48" s="15" t="s">
        <v>79</v>
      </c>
      <c r="F48" s="15" t="s">
        <v>118</v>
      </c>
      <c r="G48" s="19" t="s">
        <v>35</v>
      </c>
      <c r="H48" s="16">
        <v>0</v>
      </c>
      <c r="I48" s="16">
        <v>0</v>
      </c>
      <c r="J48" s="16">
        <v>0</v>
      </c>
      <c r="K48" s="16">
        <v>0</v>
      </c>
      <c r="L48" s="16">
        <v>0</v>
      </c>
      <c r="M48" s="16">
        <v>24</v>
      </c>
      <c r="N48" s="16">
        <v>24</v>
      </c>
      <c r="O48" s="16">
        <v>36</v>
      </c>
      <c r="P48" s="16">
        <v>24</v>
      </c>
      <c r="Q48" s="16">
        <v>16</v>
      </c>
      <c r="R48" s="16">
        <v>16</v>
      </c>
      <c r="S48" s="16">
        <v>40</v>
      </c>
      <c r="T48" s="16">
        <v>40</v>
      </c>
      <c r="U48" s="16">
        <v>40</v>
      </c>
      <c r="V48" s="16">
        <v>40</v>
      </c>
      <c r="W48" s="16">
        <v>32</v>
      </c>
      <c r="X48" s="16">
        <v>0</v>
      </c>
      <c r="Y48" s="16">
        <v>0</v>
      </c>
      <c r="Z48" s="16">
        <v>0</v>
      </c>
      <c r="AA48" s="16">
        <v>4</v>
      </c>
      <c r="AB48" s="16">
        <v>0</v>
      </c>
      <c r="AC48" s="16">
        <v>0</v>
      </c>
      <c r="AD48" s="16">
        <v>0</v>
      </c>
      <c r="AE48" s="16">
        <v>0</v>
      </c>
    </row>
    <row r="49" spans="1:31" x14ac:dyDescent="0.2">
      <c r="A49" s="6">
        <v>3</v>
      </c>
      <c r="D49" s="15" t="s">
        <v>93</v>
      </c>
      <c r="E49" s="15" t="s">
        <v>94</v>
      </c>
      <c r="F49" s="15" t="s">
        <v>116</v>
      </c>
      <c r="G49" s="19" t="s">
        <v>35</v>
      </c>
      <c r="H49" s="16">
        <v>40</v>
      </c>
      <c r="I49" s="16">
        <v>40</v>
      </c>
      <c r="J49" s="16">
        <v>40</v>
      </c>
      <c r="K49" s="16">
        <v>40</v>
      </c>
      <c r="L49" s="16">
        <v>16</v>
      </c>
      <c r="M49" s="16">
        <v>0</v>
      </c>
      <c r="N49" s="16">
        <v>0</v>
      </c>
      <c r="O49" s="16">
        <v>4</v>
      </c>
      <c r="P49" s="16">
        <v>0</v>
      </c>
      <c r="Q49" s="16">
        <v>0</v>
      </c>
      <c r="R49" s="16">
        <v>0</v>
      </c>
      <c r="S49" s="16">
        <v>0</v>
      </c>
      <c r="T49" s="16">
        <v>0</v>
      </c>
      <c r="U49" s="16">
        <v>0</v>
      </c>
      <c r="V49" s="16">
        <v>0</v>
      </c>
      <c r="W49" s="16">
        <v>0</v>
      </c>
      <c r="X49" s="16">
        <v>0</v>
      </c>
      <c r="Y49" s="16">
        <v>0</v>
      </c>
      <c r="Z49" s="16">
        <v>0</v>
      </c>
      <c r="AA49" s="16">
        <v>0</v>
      </c>
      <c r="AB49" s="16">
        <v>0</v>
      </c>
      <c r="AC49" s="16">
        <v>0</v>
      </c>
      <c r="AD49" s="16">
        <v>0</v>
      </c>
      <c r="AE49" s="16">
        <v>0</v>
      </c>
    </row>
    <row r="50" spans="1:31" x14ac:dyDescent="0.2">
      <c r="A50" s="6">
        <v>3</v>
      </c>
      <c r="D50" s="15" t="s">
        <v>50</v>
      </c>
      <c r="E50" s="17" t="s">
        <v>49</v>
      </c>
      <c r="F50" s="15" t="s">
        <v>130</v>
      </c>
      <c r="G50" s="19" t="s">
        <v>35</v>
      </c>
      <c r="H50" s="16">
        <v>0</v>
      </c>
      <c r="I50" s="16">
        <v>0</v>
      </c>
      <c r="J50" s="16">
        <v>0</v>
      </c>
      <c r="K50" s="16">
        <v>0</v>
      </c>
      <c r="L50" s="16">
        <v>0</v>
      </c>
      <c r="M50" s="16">
        <v>0</v>
      </c>
      <c r="N50" s="16">
        <v>0</v>
      </c>
      <c r="O50" s="16">
        <v>0</v>
      </c>
      <c r="P50" s="16">
        <v>0</v>
      </c>
      <c r="Q50" s="16">
        <v>0</v>
      </c>
      <c r="R50" s="16">
        <v>0</v>
      </c>
      <c r="S50" s="16">
        <v>0</v>
      </c>
      <c r="T50" s="16">
        <v>0</v>
      </c>
      <c r="U50" s="16">
        <v>0</v>
      </c>
      <c r="V50" s="16">
        <v>0</v>
      </c>
      <c r="W50" s="16">
        <v>0</v>
      </c>
      <c r="X50" s="16">
        <v>0</v>
      </c>
      <c r="Y50" s="16">
        <v>0</v>
      </c>
      <c r="Z50" s="16">
        <v>40</v>
      </c>
      <c r="AA50" s="16">
        <v>28</v>
      </c>
      <c r="AB50" s="16">
        <v>32</v>
      </c>
      <c r="AC50" s="16">
        <v>40</v>
      </c>
      <c r="AD50" s="16">
        <v>0</v>
      </c>
      <c r="AE50" s="16">
        <v>0</v>
      </c>
    </row>
    <row r="51" spans="1:31" x14ac:dyDescent="0.2">
      <c r="A51" s="6">
        <v>3</v>
      </c>
      <c r="D51" s="15" t="s">
        <v>89</v>
      </c>
      <c r="E51" s="15" t="s">
        <v>90</v>
      </c>
      <c r="F51" s="15" t="s">
        <v>113</v>
      </c>
      <c r="G51" s="19" t="s">
        <v>36</v>
      </c>
      <c r="H51" s="16">
        <v>40</v>
      </c>
      <c r="I51" s="16">
        <v>40</v>
      </c>
      <c r="J51" s="16">
        <v>40</v>
      </c>
      <c r="K51" s="16">
        <v>20</v>
      </c>
      <c r="L51" s="16">
        <v>0</v>
      </c>
      <c r="M51" s="16">
        <v>0</v>
      </c>
      <c r="N51" s="16">
        <v>0</v>
      </c>
      <c r="O51" s="16">
        <v>0</v>
      </c>
      <c r="P51" s="16">
        <v>0</v>
      </c>
      <c r="Q51" s="16">
        <v>0</v>
      </c>
      <c r="R51" s="16">
        <v>0</v>
      </c>
      <c r="S51" s="16">
        <v>0</v>
      </c>
      <c r="T51" s="16">
        <v>0</v>
      </c>
      <c r="U51" s="16">
        <v>0</v>
      </c>
      <c r="V51" s="16">
        <v>0</v>
      </c>
      <c r="W51" s="16">
        <v>0</v>
      </c>
      <c r="X51" s="16">
        <v>0</v>
      </c>
      <c r="Y51" s="16">
        <v>0</v>
      </c>
      <c r="Z51" s="16">
        <v>0</v>
      </c>
      <c r="AA51" s="16">
        <v>0</v>
      </c>
      <c r="AB51" s="16">
        <v>0</v>
      </c>
      <c r="AC51" s="16">
        <v>0</v>
      </c>
      <c r="AD51" s="16">
        <v>0</v>
      </c>
      <c r="AE51" s="16">
        <v>0</v>
      </c>
    </row>
    <row r="52" spans="1:31" x14ac:dyDescent="0.2">
      <c r="A52" s="6">
        <v>3</v>
      </c>
      <c r="D52" s="15" t="s">
        <v>89</v>
      </c>
      <c r="E52" s="15" t="s">
        <v>95</v>
      </c>
      <c r="F52" s="15" t="s">
        <v>114</v>
      </c>
      <c r="G52" s="19" t="s">
        <v>36</v>
      </c>
      <c r="H52" s="16">
        <v>0</v>
      </c>
      <c r="I52" s="16">
        <v>0</v>
      </c>
      <c r="J52" s="16">
        <v>0</v>
      </c>
      <c r="K52" s="16">
        <v>20</v>
      </c>
      <c r="L52" s="16">
        <v>16</v>
      </c>
      <c r="M52" s="16">
        <v>24</v>
      </c>
      <c r="N52" s="16">
        <v>40</v>
      </c>
      <c r="O52" s="16">
        <v>40</v>
      </c>
      <c r="P52" s="16">
        <v>40</v>
      </c>
      <c r="Q52" s="16">
        <v>16</v>
      </c>
      <c r="R52" s="16">
        <v>0</v>
      </c>
      <c r="S52" s="16">
        <v>0</v>
      </c>
      <c r="T52" s="16">
        <v>0</v>
      </c>
      <c r="U52" s="16">
        <v>0</v>
      </c>
      <c r="V52" s="16">
        <v>0</v>
      </c>
      <c r="W52" s="16">
        <v>0</v>
      </c>
      <c r="X52" s="16">
        <v>0</v>
      </c>
      <c r="Y52" s="16">
        <v>0</v>
      </c>
      <c r="Z52" s="16">
        <v>0</v>
      </c>
      <c r="AA52" s="16">
        <v>0</v>
      </c>
      <c r="AB52" s="16">
        <v>0</v>
      </c>
      <c r="AC52" s="16">
        <v>0</v>
      </c>
      <c r="AD52" s="16">
        <v>0</v>
      </c>
      <c r="AE52" s="16">
        <v>0</v>
      </c>
    </row>
    <row r="53" spans="1:31" x14ac:dyDescent="0.2">
      <c r="A53" s="6">
        <v>3</v>
      </c>
      <c r="D53" s="15" t="s">
        <v>96</v>
      </c>
      <c r="E53" s="15" t="s">
        <v>97</v>
      </c>
      <c r="F53" s="15" t="s">
        <v>129</v>
      </c>
      <c r="G53" s="19" t="s">
        <v>36</v>
      </c>
      <c r="H53" s="16">
        <v>0</v>
      </c>
      <c r="I53" s="16">
        <v>0</v>
      </c>
      <c r="J53" s="16">
        <v>0</v>
      </c>
      <c r="K53" s="16">
        <v>0</v>
      </c>
      <c r="L53" s="16">
        <v>0</v>
      </c>
      <c r="M53" s="16">
        <v>0</v>
      </c>
      <c r="N53" s="16">
        <v>0</v>
      </c>
      <c r="O53" s="16">
        <v>0</v>
      </c>
      <c r="P53" s="16">
        <v>0</v>
      </c>
      <c r="Q53" s="16">
        <v>0</v>
      </c>
      <c r="R53" s="16">
        <v>24</v>
      </c>
      <c r="S53" s="16">
        <v>40</v>
      </c>
      <c r="T53" s="16">
        <v>40</v>
      </c>
      <c r="U53" s="16">
        <v>40</v>
      </c>
      <c r="V53" s="16">
        <v>40</v>
      </c>
      <c r="W53" s="16">
        <v>40</v>
      </c>
      <c r="X53" s="16">
        <v>20</v>
      </c>
      <c r="Y53" s="16">
        <v>40</v>
      </c>
      <c r="Z53" s="16">
        <v>32</v>
      </c>
      <c r="AA53" s="16">
        <v>0</v>
      </c>
      <c r="AB53" s="16">
        <v>28</v>
      </c>
      <c r="AC53" s="16">
        <v>40</v>
      </c>
      <c r="AD53" s="16">
        <v>0</v>
      </c>
      <c r="AE53" s="16">
        <v>0</v>
      </c>
    </row>
    <row r="54" spans="1:31" x14ac:dyDescent="0.2">
      <c r="A54" s="6">
        <v>3</v>
      </c>
      <c r="D54" s="15" t="s">
        <v>78</v>
      </c>
      <c r="E54" s="15" t="s">
        <v>98</v>
      </c>
      <c r="F54" s="15" t="s">
        <v>135</v>
      </c>
      <c r="G54" s="19" t="s">
        <v>36</v>
      </c>
      <c r="H54" s="16">
        <v>0</v>
      </c>
      <c r="I54" s="16">
        <v>0</v>
      </c>
      <c r="J54" s="16">
        <v>0</v>
      </c>
      <c r="K54" s="16">
        <v>0</v>
      </c>
      <c r="L54" s="16">
        <v>0</v>
      </c>
      <c r="M54" s="16">
        <v>0</v>
      </c>
      <c r="N54" s="16">
        <v>0</v>
      </c>
      <c r="O54" s="16">
        <v>0</v>
      </c>
      <c r="P54" s="16">
        <v>0</v>
      </c>
      <c r="Q54" s="16">
        <v>0</v>
      </c>
      <c r="R54" s="16">
        <v>0</v>
      </c>
      <c r="S54" s="16">
        <v>0</v>
      </c>
      <c r="T54" s="16">
        <v>0</v>
      </c>
      <c r="U54" s="16">
        <v>0</v>
      </c>
      <c r="V54" s="16">
        <v>0</v>
      </c>
      <c r="W54" s="16">
        <v>0</v>
      </c>
      <c r="X54" s="16">
        <v>0</v>
      </c>
      <c r="Y54" s="16">
        <v>0</v>
      </c>
      <c r="Z54" s="16">
        <v>0</v>
      </c>
      <c r="AA54" s="16">
        <v>0</v>
      </c>
      <c r="AB54" s="16">
        <v>4</v>
      </c>
      <c r="AC54" s="16">
        <v>0</v>
      </c>
      <c r="AD54" s="16">
        <v>0</v>
      </c>
      <c r="AE54" s="16">
        <v>0</v>
      </c>
    </row>
    <row r="55" spans="1:31" x14ac:dyDescent="0.2">
      <c r="A55" s="6">
        <v>1</v>
      </c>
      <c r="D55" s="17" t="s">
        <v>75</v>
      </c>
      <c r="E55" s="17" t="s">
        <v>75</v>
      </c>
      <c r="F55" s="15" t="s">
        <v>131</v>
      </c>
      <c r="G55" s="19" t="s">
        <v>36</v>
      </c>
      <c r="H55" s="16">
        <v>0</v>
      </c>
      <c r="I55" s="16">
        <v>0</v>
      </c>
      <c r="J55" s="16">
        <v>0</v>
      </c>
      <c r="K55" s="16">
        <v>0</v>
      </c>
      <c r="L55" s="16">
        <v>0</v>
      </c>
      <c r="M55" s="16">
        <v>0</v>
      </c>
      <c r="N55" s="16">
        <v>0</v>
      </c>
      <c r="O55" s="16">
        <v>0</v>
      </c>
      <c r="P55" s="16">
        <v>0</v>
      </c>
      <c r="Q55" s="16">
        <v>0</v>
      </c>
      <c r="R55" s="16">
        <v>0</v>
      </c>
      <c r="S55" s="16">
        <v>0</v>
      </c>
      <c r="T55" s="16">
        <v>0</v>
      </c>
      <c r="U55" s="16">
        <v>0</v>
      </c>
      <c r="V55" s="16">
        <v>0</v>
      </c>
      <c r="W55" s="16">
        <v>0</v>
      </c>
      <c r="X55" s="16">
        <v>0</v>
      </c>
      <c r="Y55" s="16">
        <v>0</v>
      </c>
      <c r="Z55" s="16">
        <v>0</v>
      </c>
      <c r="AA55" s="16">
        <v>32</v>
      </c>
      <c r="AB55" s="16">
        <v>0</v>
      </c>
      <c r="AC55" s="16">
        <v>0</v>
      </c>
      <c r="AD55" s="16">
        <v>0</v>
      </c>
      <c r="AE55" s="16">
        <v>0</v>
      </c>
    </row>
    <row r="56" spans="1:31" x14ac:dyDescent="0.2">
      <c r="A56" s="6">
        <v>2</v>
      </c>
      <c r="D56" s="17" t="s">
        <v>46</v>
      </c>
      <c r="E56" s="17" t="s">
        <v>46</v>
      </c>
      <c r="F56" s="15" t="s">
        <v>132</v>
      </c>
      <c r="G56" s="19" t="s">
        <v>36</v>
      </c>
      <c r="H56" s="16">
        <v>0</v>
      </c>
      <c r="I56" s="16">
        <v>0</v>
      </c>
      <c r="J56" s="16">
        <v>0</v>
      </c>
      <c r="K56" s="16">
        <v>0</v>
      </c>
      <c r="L56" s="16">
        <v>0</v>
      </c>
      <c r="M56" s="16">
        <v>0</v>
      </c>
      <c r="N56" s="16">
        <v>0</v>
      </c>
      <c r="O56" s="16">
        <v>0</v>
      </c>
      <c r="P56" s="16">
        <v>0</v>
      </c>
      <c r="Q56" s="16">
        <v>0</v>
      </c>
      <c r="R56" s="16">
        <v>0</v>
      </c>
      <c r="S56" s="16">
        <v>0</v>
      </c>
      <c r="T56" s="16">
        <v>0</v>
      </c>
      <c r="U56" s="16">
        <v>0</v>
      </c>
      <c r="V56" s="16">
        <v>0</v>
      </c>
      <c r="W56" s="16">
        <v>0</v>
      </c>
      <c r="X56" s="16">
        <v>4</v>
      </c>
      <c r="Y56" s="16">
        <v>0</v>
      </c>
      <c r="Z56" s="16">
        <v>8</v>
      </c>
      <c r="AA56" s="16">
        <v>0</v>
      </c>
      <c r="AB56" s="16">
        <v>0</v>
      </c>
      <c r="AC56" s="16">
        <v>0</v>
      </c>
      <c r="AD56" s="16">
        <v>0</v>
      </c>
      <c r="AE56" s="16">
        <v>0</v>
      </c>
    </row>
    <row r="57" spans="1:31" x14ac:dyDescent="0.2">
      <c r="A57" s="6">
        <v>3</v>
      </c>
      <c r="D57" s="15" t="s">
        <v>89</v>
      </c>
      <c r="E57" s="15" t="s">
        <v>90</v>
      </c>
      <c r="F57" s="15" t="s">
        <v>113</v>
      </c>
      <c r="G57" s="19" t="s">
        <v>37</v>
      </c>
      <c r="H57" s="16">
        <v>40</v>
      </c>
      <c r="I57" s="16">
        <v>40</v>
      </c>
      <c r="J57" s="16">
        <v>40</v>
      </c>
      <c r="K57" s="16">
        <v>20</v>
      </c>
      <c r="L57" s="16">
        <v>0</v>
      </c>
      <c r="M57" s="16">
        <v>0</v>
      </c>
      <c r="N57" s="16">
        <v>0</v>
      </c>
      <c r="O57" s="16">
        <v>0</v>
      </c>
      <c r="P57" s="16">
        <v>0</v>
      </c>
      <c r="Q57" s="16">
        <v>0</v>
      </c>
      <c r="R57" s="16">
        <v>0</v>
      </c>
      <c r="S57" s="16">
        <v>0</v>
      </c>
      <c r="T57" s="16">
        <v>0</v>
      </c>
      <c r="U57" s="16">
        <v>0</v>
      </c>
      <c r="V57" s="16">
        <v>0</v>
      </c>
      <c r="W57" s="16">
        <v>0</v>
      </c>
      <c r="X57" s="16">
        <v>0</v>
      </c>
      <c r="Y57" s="16">
        <v>0</v>
      </c>
      <c r="Z57" s="16">
        <v>0</v>
      </c>
      <c r="AA57" s="16">
        <v>0</v>
      </c>
      <c r="AB57" s="16">
        <v>0</v>
      </c>
      <c r="AC57" s="16">
        <v>0</v>
      </c>
      <c r="AD57" s="16">
        <v>0</v>
      </c>
      <c r="AE57" s="16">
        <v>0</v>
      </c>
    </row>
    <row r="58" spans="1:31" x14ac:dyDescent="0.2">
      <c r="A58" s="6">
        <v>3</v>
      </c>
      <c r="D58" s="15" t="s">
        <v>89</v>
      </c>
      <c r="E58" s="15" t="s">
        <v>95</v>
      </c>
      <c r="F58" s="15" t="s">
        <v>114</v>
      </c>
      <c r="G58" s="19" t="s">
        <v>37</v>
      </c>
      <c r="H58" s="16">
        <v>0</v>
      </c>
      <c r="I58" s="16">
        <v>0</v>
      </c>
      <c r="J58" s="16">
        <v>0</v>
      </c>
      <c r="K58" s="16">
        <v>20</v>
      </c>
      <c r="L58" s="16">
        <v>16</v>
      </c>
      <c r="M58" s="16">
        <v>24</v>
      </c>
      <c r="N58" s="16">
        <v>40</v>
      </c>
      <c r="O58" s="16">
        <v>40</v>
      </c>
      <c r="P58" s="16">
        <v>40</v>
      </c>
      <c r="Q58" s="16">
        <v>16</v>
      </c>
      <c r="R58" s="16">
        <v>0</v>
      </c>
      <c r="S58" s="16">
        <v>0</v>
      </c>
      <c r="T58" s="16">
        <v>0</v>
      </c>
      <c r="U58" s="16">
        <v>0</v>
      </c>
      <c r="V58" s="16">
        <v>0</v>
      </c>
      <c r="W58" s="16">
        <v>0</v>
      </c>
      <c r="X58" s="16">
        <v>0</v>
      </c>
      <c r="Y58" s="16">
        <v>0</v>
      </c>
      <c r="Z58" s="16">
        <v>0</v>
      </c>
      <c r="AA58" s="16">
        <v>0</v>
      </c>
      <c r="AB58" s="16">
        <v>0</v>
      </c>
      <c r="AC58" s="16">
        <v>0</v>
      </c>
      <c r="AD58" s="16">
        <v>0</v>
      </c>
      <c r="AE58" s="16">
        <v>0</v>
      </c>
    </row>
    <row r="59" spans="1:31" x14ac:dyDescent="0.2">
      <c r="A59" s="6">
        <v>3</v>
      </c>
      <c r="D59" s="15" t="s">
        <v>78</v>
      </c>
      <c r="E59" s="15" t="s">
        <v>98</v>
      </c>
      <c r="F59" s="15" t="s">
        <v>119</v>
      </c>
      <c r="G59" s="19" t="s">
        <v>37</v>
      </c>
      <c r="H59" s="16">
        <v>0</v>
      </c>
      <c r="I59" s="16">
        <v>0</v>
      </c>
      <c r="J59" s="16">
        <v>0</v>
      </c>
      <c r="K59" s="16">
        <v>0</v>
      </c>
      <c r="L59" s="16">
        <v>0</v>
      </c>
      <c r="M59" s="16">
        <v>0</v>
      </c>
      <c r="N59" s="16">
        <v>0</v>
      </c>
      <c r="O59" s="16">
        <v>0</v>
      </c>
      <c r="P59" s="16">
        <v>0</v>
      </c>
      <c r="Q59" s="16">
        <v>0</v>
      </c>
      <c r="R59" s="16">
        <v>0</v>
      </c>
      <c r="S59" s="16">
        <v>0</v>
      </c>
      <c r="T59" s="16">
        <v>0</v>
      </c>
      <c r="U59" s="16">
        <v>0</v>
      </c>
      <c r="V59" s="16">
        <v>0</v>
      </c>
      <c r="W59" s="16">
        <v>0</v>
      </c>
      <c r="X59" s="16">
        <v>0</v>
      </c>
      <c r="Y59" s="16">
        <v>2</v>
      </c>
      <c r="Z59" s="16">
        <v>10</v>
      </c>
      <c r="AA59" s="16">
        <v>4</v>
      </c>
      <c r="AB59" s="16">
        <v>4</v>
      </c>
      <c r="AC59" s="16">
        <v>0</v>
      </c>
      <c r="AD59" s="16">
        <v>0</v>
      </c>
      <c r="AE59" s="16">
        <v>0</v>
      </c>
    </row>
    <row r="60" spans="1:31" x14ac:dyDescent="0.2">
      <c r="A60" s="6">
        <v>3</v>
      </c>
      <c r="D60" s="15" t="s">
        <v>96</v>
      </c>
      <c r="E60" s="15" t="s">
        <v>97</v>
      </c>
      <c r="F60" s="15" t="s">
        <v>129</v>
      </c>
      <c r="G60" s="19" t="s">
        <v>37</v>
      </c>
      <c r="H60" s="16">
        <v>0</v>
      </c>
      <c r="I60" s="16">
        <v>0</v>
      </c>
      <c r="J60" s="16">
        <v>0</v>
      </c>
      <c r="K60" s="16">
        <v>0</v>
      </c>
      <c r="L60" s="16">
        <v>0</v>
      </c>
      <c r="M60" s="16">
        <v>0</v>
      </c>
      <c r="N60" s="16">
        <v>0</v>
      </c>
      <c r="O60" s="16">
        <v>0</v>
      </c>
      <c r="P60" s="16">
        <v>0</v>
      </c>
      <c r="Q60" s="16">
        <v>0</v>
      </c>
      <c r="R60" s="16">
        <v>24</v>
      </c>
      <c r="S60" s="16">
        <v>40</v>
      </c>
      <c r="T60" s="16">
        <v>40</v>
      </c>
      <c r="U60" s="16">
        <v>40</v>
      </c>
      <c r="V60" s="16">
        <v>40</v>
      </c>
      <c r="W60" s="16">
        <v>32</v>
      </c>
      <c r="X60" s="16">
        <v>20</v>
      </c>
      <c r="Y60" s="16">
        <v>28</v>
      </c>
      <c r="Z60" s="16">
        <v>12</v>
      </c>
      <c r="AA60" s="16">
        <v>7</v>
      </c>
      <c r="AB60" s="16">
        <v>34</v>
      </c>
      <c r="AC60" s="16">
        <v>40</v>
      </c>
      <c r="AD60" s="16">
        <v>0</v>
      </c>
      <c r="AE60" s="16">
        <v>0</v>
      </c>
    </row>
    <row r="61" spans="1:31" x14ac:dyDescent="0.2">
      <c r="A61" s="6">
        <v>2</v>
      </c>
      <c r="D61" s="17" t="s">
        <v>46</v>
      </c>
      <c r="E61" s="17" t="s">
        <v>46</v>
      </c>
      <c r="F61" s="15" t="s">
        <v>132</v>
      </c>
      <c r="G61" s="19" t="s">
        <v>37</v>
      </c>
      <c r="H61" s="16">
        <v>0</v>
      </c>
      <c r="I61" s="16">
        <v>0</v>
      </c>
      <c r="J61" s="16">
        <v>0</v>
      </c>
      <c r="K61" s="16">
        <v>0</v>
      </c>
      <c r="L61" s="16">
        <v>0</v>
      </c>
      <c r="M61" s="16">
        <v>0</v>
      </c>
      <c r="N61" s="16">
        <v>0</v>
      </c>
      <c r="O61" s="16">
        <v>0</v>
      </c>
      <c r="P61" s="16">
        <v>0</v>
      </c>
      <c r="Q61" s="16">
        <v>0</v>
      </c>
      <c r="R61" s="16">
        <v>0</v>
      </c>
      <c r="S61" s="16">
        <v>0</v>
      </c>
      <c r="T61" s="16">
        <v>0</v>
      </c>
      <c r="U61" s="16">
        <v>0</v>
      </c>
      <c r="V61" s="16">
        <v>0</v>
      </c>
      <c r="W61" s="16">
        <v>8</v>
      </c>
      <c r="X61" s="16">
        <v>4</v>
      </c>
      <c r="Y61" s="16">
        <v>10</v>
      </c>
      <c r="Z61" s="16">
        <v>18</v>
      </c>
      <c r="AA61" s="16">
        <v>21</v>
      </c>
      <c r="AB61" s="16">
        <v>10</v>
      </c>
      <c r="AC61" s="16">
        <v>0</v>
      </c>
      <c r="AD61" s="16">
        <v>0</v>
      </c>
      <c r="AE61" s="16">
        <v>0</v>
      </c>
    </row>
    <row r="62" spans="1:31" x14ac:dyDescent="0.2">
      <c r="A62" s="6">
        <v>3</v>
      </c>
      <c r="D62" s="15" t="s">
        <v>44</v>
      </c>
      <c r="E62" s="15" t="s">
        <v>42</v>
      </c>
      <c r="F62" s="15" t="s">
        <v>127</v>
      </c>
      <c r="G62" s="19" t="s">
        <v>99</v>
      </c>
      <c r="H62" s="16">
        <v>0</v>
      </c>
      <c r="I62" s="16">
        <v>0</v>
      </c>
      <c r="J62" s="16">
        <v>0</v>
      </c>
      <c r="K62" s="16">
        <v>40</v>
      </c>
      <c r="L62" s="16">
        <v>16</v>
      </c>
      <c r="M62" s="16">
        <v>24</v>
      </c>
      <c r="N62" s="16">
        <v>40</v>
      </c>
      <c r="O62" s="16">
        <v>40</v>
      </c>
      <c r="P62" s="16">
        <v>0</v>
      </c>
      <c r="Q62" s="16">
        <v>0</v>
      </c>
      <c r="R62" s="16">
        <v>0</v>
      </c>
      <c r="S62" s="16">
        <v>0</v>
      </c>
      <c r="T62" s="16">
        <v>0</v>
      </c>
      <c r="U62" s="16">
        <v>0</v>
      </c>
      <c r="V62" s="16">
        <v>0</v>
      </c>
      <c r="W62" s="16">
        <v>0</v>
      </c>
      <c r="X62" s="16">
        <v>0</v>
      </c>
      <c r="Y62" s="16">
        <v>0</v>
      </c>
      <c r="Z62" s="16">
        <v>0</v>
      </c>
      <c r="AA62" s="16">
        <v>0</v>
      </c>
      <c r="AB62" s="16">
        <v>0</v>
      </c>
      <c r="AC62" s="16">
        <v>0</v>
      </c>
      <c r="AD62" s="16">
        <v>0</v>
      </c>
      <c r="AE62" s="16">
        <v>0</v>
      </c>
    </row>
    <row r="63" spans="1:31" x14ac:dyDescent="0.2">
      <c r="A63" s="6">
        <v>1</v>
      </c>
      <c r="D63" s="17" t="s">
        <v>75</v>
      </c>
      <c r="E63" s="17" t="s">
        <v>75</v>
      </c>
      <c r="F63" s="15" t="s">
        <v>131</v>
      </c>
      <c r="G63" s="19" t="s">
        <v>99</v>
      </c>
      <c r="H63" s="16">
        <v>40</v>
      </c>
      <c r="I63" s="16">
        <v>40</v>
      </c>
      <c r="J63" s="16">
        <v>40</v>
      </c>
      <c r="K63" s="16">
        <v>0</v>
      </c>
      <c r="L63" s="16">
        <v>0</v>
      </c>
      <c r="M63" s="16">
        <v>0</v>
      </c>
      <c r="N63" s="16">
        <v>0</v>
      </c>
      <c r="O63" s="16">
        <v>0</v>
      </c>
      <c r="P63" s="16">
        <v>0</v>
      </c>
      <c r="Q63" s="16">
        <v>0</v>
      </c>
      <c r="R63" s="16">
        <v>0</v>
      </c>
      <c r="S63" s="16">
        <v>0</v>
      </c>
      <c r="T63" s="16">
        <v>0</v>
      </c>
      <c r="U63" s="16">
        <v>0</v>
      </c>
      <c r="V63" s="16">
        <v>0</v>
      </c>
      <c r="W63" s="16">
        <v>0</v>
      </c>
      <c r="X63" s="16">
        <v>0</v>
      </c>
      <c r="Y63" s="16">
        <v>0</v>
      </c>
      <c r="Z63" s="16">
        <v>0</v>
      </c>
      <c r="AA63" s="16">
        <v>0</v>
      </c>
      <c r="AB63" s="16">
        <v>0</v>
      </c>
      <c r="AC63" s="16">
        <v>0</v>
      </c>
      <c r="AD63" s="16">
        <v>0</v>
      </c>
      <c r="AE63" s="16">
        <v>0</v>
      </c>
    </row>
    <row r="64" spans="1:31" x14ac:dyDescent="0.2">
      <c r="A64" s="6">
        <v>3</v>
      </c>
      <c r="D64" s="15" t="s">
        <v>44</v>
      </c>
      <c r="E64" s="15" t="s">
        <v>42</v>
      </c>
      <c r="F64" s="15" t="s">
        <v>127</v>
      </c>
      <c r="G64" s="19" t="s">
        <v>110</v>
      </c>
      <c r="H64" s="16">
        <v>40</v>
      </c>
      <c r="I64" s="16">
        <v>40</v>
      </c>
      <c r="J64" s="16">
        <v>40</v>
      </c>
      <c r="K64" s="16">
        <v>40</v>
      </c>
      <c r="L64" s="16">
        <v>16</v>
      </c>
      <c r="M64" s="16">
        <v>0</v>
      </c>
      <c r="N64" s="16">
        <v>0</v>
      </c>
      <c r="O64" s="16">
        <v>0</v>
      </c>
      <c r="P64" s="16">
        <v>0</v>
      </c>
      <c r="Q64" s="16">
        <v>0</v>
      </c>
      <c r="R64" s="16">
        <v>0</v>
      </c>
      <c r="S64" s="16">
        <v>0</v>
      </c>
      <c r="T64" s="16">
        <v>0</v>
      </c>
      <c r="U64" s="16">
        <v>0</v>
      </c>
      <c r="V64" s="16">
        <v>0</v>
      </c>
      <c r="W64" s="16">
        <v>0</v>
      </c>
      <c r="X64" s="16">
        <v>0</v>
      </c>
      <c r="Y64" s="16">
        <v>0</v>
      </c>
      <c r="Z64" s="16">
        <v>0</v>
      </c>
      <c r="AA64" s="16">
        <v>0</v>
      </c>
      <c r="AB64" s="16">
        <v>0</v>
      </c>
      <c r="AC64" s="16">
        <v>0</v>
      </c>
      <c r="AD64" s="16">
        <v>0</v>
      </c>
      <c r="AE64" s="16">
        <v>0</v>
      </c>
    </row>
    <row r="65" spans="1:31" x14ac:dyDescent="0.2">
      <c r="A65" s="6">
        <v>3</v>
      </c>
      <c r="D65" s="15" t="s">
        <v>50</v>
      </c>
      <c r="E65" s="17" t="s">
        <v>49</v>
      </c>
      <c r="F65" s="15" t="s">
        <v>130</v>
      </c>
      <c r="G65" s="19" t="s">
        <v>110</v>
      </c>
      <c r="H65" s="16">
        <v>0</v>
      </c>
      <c r="I65" s="16">
        <v>0</v>
      </c>
      <c r="J65" s="16">
        <v>0</v>
      </c>
      <c r="K65" s="16">
        <v>0</v>
      </c>
      <c r="L65" s="16">
        <v>0</v>
      </c>
      <c r="M65" s="16">
        <v>24</v>
      </c>
      <c r="N65" s="16">
        <v>40</v>
      </c>
      <c r="O65" s="16">
        <v>40</v>
      </c>
      <c r="P65" s="16">
        <v>40</v>
      </c>
      <c r="Q65" s="16">
        <v>16</v>
      </c>
      <c r="R65" s="16">
        <v>0</v>
      </c>
      <c r="S65" s="16">
        <v>0</v>
      </c>
      <c r="T65" s="16">
        <v>0</v>
      </c>
      <c r="U65" s="16">
        <v>0</v>
      </c>
      <c r="V65" s="16">
        <v>0</v>
      </c>
      <c r="W65" s="16">
        <v>0</v>
      </c>
      <c r="X65" s="16">
        <v>0</v>
      </c>
      <c r="Y65" s="16">
        <v>0</v>
      </c>
      <c r="Z65" s="16">
        <v>0</v>
      </c>
      <c r="AA65" s="16">
        <v>0</v>
      </c>
      <c r="AB65" s="16">
        <v>0</v>
      </c>
      <c r="AC65" s="16">
        <v>0</v>
      </c>
      <c r="AD65" s="16">
        <v>0</v>
      </c>
      <c r="AE65" s="16">
        <v>0</v>
      </c>
    </row>
    <row r="66" spans="1:31" x14ac:dyDescent="0.2">
      <c r="A66" s="6">
        <v>1</v>
      </c>
      <c r="D66" s="17" t="s">
        <v>75</v>
      </c>
      <c r="E66" s="17" t="s">
        <v>75</v>
      </c>
      <c r="F66" s="15" t="s">
        <v>131</v>
      </c>
      <c r="G66" s="19" t="s">
        <v>110</v>
      </c>
      <c r="H66" s="16">
        <v>0</v>
      </c>
      <c r="I66" s="16">
        <v>0</v>
      </c>
      <c r="J66" s="16">
        <v>0</v>
      </c>
      <c r="K66" s="16">
        <v>0</v>
      </c>
      <c r="L66" s="16">
        <v>0</v>
      </c>
      <c r="M66" s="16">
        <v>0</v>
      </c>
      <c r="N66" s="16">
        <v>0</v>
      </c>
      <c r="O66" s="16">
        <v>0</v>
      </c>
      <c r="P66" s="16">
        <v>0</v>
      </c>
      <c r="Q66" s="16">
        <v>0</v>
      </c>
      <c r="R66" s="16">
        <v>24</v>
      </c>
      <c r="S66" s="16">
        <v>40</v>
      </c>
      <c r="T66" s="16">
        <v>40</v>
      </c>
      <c r="U66" s="16">
        <v>40</v>
      </c>
      <c r="V66" s="16">
        <v>40</v>
      </c>
      <c r="W66" s="16">
        <v>0</v>
      </c>
      <c r="X66" s="16">
        <v>0</v>
      </c>
      <c r="Y66" s="16">
        <v>0</v>
      </c>
      <c r="Z66" s="16">
        <v>0</v>
      </c>
      <c r="AA66" s="16">
        <v>0</v>
      </c>
      <c r="AB66" s="16">
        <v>0</v>
      </c>
      <c r="AC66" s="16">
        <v>0</v>
      </c>
      <c r="AD66" s="16">
        <v>0</v>
      </c>
      <c r="AE66" s="16">
        <v>0</v>
      </c>
    </row>
    <row r="67" spans="1:31" x14ac:dyDescent="0.2">
      <c r="A67" s="6">
        <v>3</v>
      </c>
      <c r="D67" s="15" t="s">
        <v>44</v>
      </c>
      <c r="E67" s="15" t="s">
        <v>42</v>
      </c>
      <c r="F67" s="15" t="s">
        <v>127</v>
      </c>
      <c r="G67" s="19" t="s">
        <v>100</v>
      </c>
      <c r="H67" s="16">
        <v>40</v>
      </c>
      <c r="I67" s="16">
        <v>40</v>
      </c>
      <c r="J67" s="16">
        <v>0</v>
      </c>
      <c r="K67" s="16">
        <v>0</v>
      </c>
      <c r="L67" s="16">
        <v>0</v>
      </c>
      <c r="M67" s="16">
        <v>0</v>
      </c>
      <c r="N67" s="16">
        <v>0</v>
      </c>
      <c r="O67" s="16">
        <v>0</v>
      </c>
      <c r="P67" s="16">
        <v>0</v>
      </c>
      <c r="Q67" s="16">
        <v>0</v>
      </c>
      <c r="R67" s="16">
        <v>24</v>
      </c>
      <c r="S67" s="16">
        <v>36</v>
      </c>
      <c r="T67" s="16">
        <v>0</v>
      </c>
      <c r="U67" s="16">
        <v>0</v>
      </c>
      <c r="V67" s="16">
        <v>0</v>
      </c>
      <c r="W67" s="16">
        <v>0</v>
      </c>
      <c r="X67" s="16">
        <v>0</v>
      </c>
      <c r="Y67" s="16">
        <v>0</v>
      </c>
      <c r="Z67" s="16">
        <v>0</v>
      </c>
      <c r="AA67" s="16">
        <v>0</v>
      </c>
      <c r="AB67" s="16">
        <v>0</v>
      </c>
      <c r="AC67" s="16">
        <v>0</v>
      </c>
      <c r="AD67" s="16">
        <v>0</v>
      </c>
      <c r="AE67" s="16">
        <v>0</v>
      </c>
    </row>
    <row r="68" spans="1:31" x14ac:dyDescent="0.2">
      <c r="A68" s="6">
        <v>3</v>
      </c>
      <c r="D68" s="15" t="s">
        <v>50</v>
      </c>
      <c r="E68" s="17" t="s">
        <v>49</v>
      </c>
      <c r="F68" s="15" t="s">
        <v>130</v>
      </c>
      <c r="G68" s="19" t="s">
        <v>100</v>
      </c>
      <c r="H68" s="16">
        <v>0</v>
      </c>
      <c r="I68" s="16">
        <v>0</v>
      </c>
      <c r="J68" s="16">
        <v>40</v>
      </c>
      <c r="K68" s="16">
        <v>40</v>
      </c>
      <c r="L68" s="16">
        <v>16</v>
      </c>
      <c r="M68" s="16">
        <v>24</v>
      </c>
      <c r="N68" s="16">
        <v>40</v>
      </c>
      <c r="O68" s="16">
        <v>40</v>
      </c>
      <c r="P68" s="16">
        <v>40</v>
      </c>
      <c r="Q68" s="16">
        <v>16</v>
      </c>
      <c r="R68" s="16">
        <v>0</v>
      </c>
      <c r="S68" s="16">
        <v>4</v>
      </c>
      <c r="T68" s="16">
        <v>0</v>
      </c>
      <c r="U68" s="16">
        <v>0</v>
      </c>
      <c r="V68" s="16">
        <v>0</v>
      </c>
      <c r="W68" s="16">
        <v>0</v>
      </c>
      <c r="X68" s="16">
        <v>0</v>
      </c>
      <c r="Y68" s="16">
        <v>0</v>
      </c>
      <c r="Z68" s="16">
        <v>0</v>
      </c>
      <c r="AA68" s="16">
        <v>0</v>
      </c>
      <c r="AB68" s="16">
        <v>0</v>
      </c>
      <c r="AC68" s="16">
        <v>0</v>
      </c>
      <c r="AD68" s="16">
        <v>0</v>
      </c>
      <c r="AE68" s="16">
        <v>0</v>
      </c>
    </row>
    <row r="69" spans="1:31" x14ac:dyDescent="0.2">
      <c r="A69" s="6">
        <v>3</v>
      </c>
      <c r="D69" s="15" t="s">
        <v>82</v>
      </c>
      <c r="E69" s="15" t="s">
        <v>83</v>
      </c>
      <c r="F69" s="15" t="s">
        <v>126</v>
      </c>
      <c r="G69" s="19" t="s">
        <v>33</v>
      </c>
      <c r="H69" s="16">
        <v>40</v>
      </c>
      <c r="I69" s="16">
        <v>40</v>
      </c>
      <c r="J69" s="16">
        <v>40</v>
      </c>
      <c r="K69" s="16">
        <v>40</v>
      </c>
      <c r="L69" s="16">
        <v>16</v>
      </c>
      <c r="M69" s="16">
        <v>24</v>
      </c>
      <c r="N69" s="16">
        <v>40</v>
      </c>
      <c r="O69" s="16">
        <v>40</v>
      </c>
      <c r="P69" s="16">
        <v>40</v>
      </c>
      <c r="Q69" s="16">
        <v>16</v>
      </c>
      <c r="R69" s="16">
        <v>24</v>
      </c>
      <c r="S69" s="16">
        <v>40</v>
      </c>
      <c r="T69" s="16">
        <v>40</v>
      </c>
      <c r="U69" s="16">
        <v>40</v>
      </c>
      <c r="V69" s="16">
        <v>40</v>
      </c>
      <c r="W69" s="16">
        <v>40</v>
      </c>
      <c r="X69" s="16">
        <v>24</v>
      </c>
      <c r="Y69" s="16">
        <v>40</v>
      </c>
      <c r="Z69" s="16">
        <v>40</v>
      </c>
      <c r="AA69" s="16">
        <v>40</v>
      </c>
      <c r="AB69" s="16">
        <v>40</v>
      </c>
      <c r="AC69" s="16">
        <v>40</v>
      </c>
      <c r="AD69" s="16">
        <v>0</v>
      </c>
      <c r="AE69" s="16">
        <v>0</v>
      </c>
    </row>
    <row r="70" spans="1:31" x14ac:dyDescent="0.2">
      <c r="A70" s="6">
        <v>3</v>
      </c>
      <c r="D70" s="15" t="s">
        <v>80</v>
      </c>
      <c r="E70" s="15" t="s">
        <v>81</v>
      </c>
      <c r="F70" s="15" t="s">
        <v>126</v>
      </c>
      <c r="G70" s="19" t="s">
        <v>106</v>
      </c>
      <c r="H70" s="16">
        <v>40</v>
      </c>
      <c r="I70" s="16">
        <v>40</v>
      </c>
      <c r="J70" s="16">
        <v>40</v>
      </c>
      <c r="K70" s="16">
        <v>40</v>
      </c>
      <c r="L70" s="16">
        <v>16</v>
      </c>
      <c r="M70" s="16">
        <v>24</v>
      </c>
      <c r="N70" s="16">
        <v>40</v>
      </c>
      <c r="O70" s="16">
        <v>40</v>
      </c>
      <c r="P70" s="16">
        <v>40</v>
      </c>
      <c r="Q70" s="16">
        <v>16</v>
      </c>
      <c r="R70" s="16">
        <v>24</v>
      </c>
      <c r="S70" s="16">
        <v>40</v>
      </c>
      <c r="T70" s="16">
        <v>40</v>
      </c>
      <c r="U70" s="16">
        <v>40</v>
      </c>
      <c r="V70" s="16">
        <v>40</v>
      </c>
      <c r="W70" s="16">
        <v>40</v>
      </c>
      <c r="X70" s="16">
        <v>24</v>
      </c>
      <c r="Y70" s="16">
        <v>40</v>
      </c>
      <c r="Z70" s="16">
        <v>40</v>
      </c>
      <c r="AA70" s="16">
        <v>40</v>
      </c>
      <c r="AB70" s="16">
        <v>40</v>
      </c>
      <c r="AC70" s="16">
        <v>40</v>
      </c>
      <c r="AD70" s="16">
        <v>0</v>
      </c>
      <c r="AE70" s="16">
        <v>0</v>
      </c>
    </row>
    <row r="71" spans="1:31" x14ac:dyDescent="0.2">
      <c r="A71" s="6">
        <v>3</v>
      </c>
      <c r="D71" s="15" t="s">
        <v>86</v>
      </c>
      <c r="E71" s="15" t="s">
        <v>87</v>
      </c>
      <c r="F71" s="15" t="s">
        <v>125</v>
      </c>
      <c r="G71" s="19" t="s">
        <v>32</v>
      </c>
      <c r="H71" s="16">
        <v>40</v>
      </c>
      <c r="I71" s="16">
        <v>40</v>
      </c>
      <c r="J71" s="16">
        <v>40</v>
      </c>
      <c r="K71" s="16">
        <v>40</v>
      </c>
      <c r="L71" s="16">
        <v>16</v>
      </c>
      <c r="M71" s="16">
        <v>24</v>
      </c>
      <c r="N71" s="16">
        <v>40</v>
      </c>
      <c r="O71" s="16">
        <v>40</v>
      </c>
      <c r="P71" s="16">
        <v>40</v>
      </c>
      <c r="Q71" s="16">
        <v>16</v>
      </c>
      <c r="R71" s="16">
        <v>24</v>
      </c>
      <c r="S71" s="16">
        <v>40</v>
      </c>
      <c r="T71" s="16">
        <v>40</v>
      </c>
      <c r="U71" s="16">
        <v>40</v>
      </c>
      <c r="V71" s="16">
        <v>40</v>
      </c>
      <c r="W71" s="16">
        <v>40</v>
      </c>
      <c r="X71" s="16">
        <v>24</v>
      </c>
      <c r="Y71" s="16">
        <v>40</v>
      </c>
      <c r="Z71" s="16">
        <v>40</v>
      </c>
      <c r="AA71" s="16">
        <v>32</v>
      </c>
      <c r="AB71" s="16">
        <v>0</v>
      </c>
      <c r="AC71" s="16">
        <v>0</v>
      </c>
      <c r="AD71" s="16">
        <v>0</v>
      </c>
      <c r="AE71" s="16">
        <v>0</v>
      </c>
    </row>
    <row r="72" spans="1:31" x14ac:dyDescent="0.2">
      <c r="A72" s="6">
        <v>3</v>
      </c>
      <c r="D72" s="15" t="s">
        <v>84</v>
      </c>
      <c r="E72" s="15" t="s">
        <v>85</v>
      </c>
      <c r="F72" s="15" t="s">
        <v>123</v>
      </c>
      <c r="G72" s="19" t="s">
        <v>31</v>
      </c>
      <c r="H72" s="16">
        <v>40</v>
      </c>
      <c r="I72" s="16">
        <v>40</v>
      </c>
      <c r="J72" s="16">
        <v>40</v>
      </c>
      <c r="K72" s="16">
        <v>40</v>
      </c>
      <c r="L72" s="16">
        <v>16</v>
      </c>
      <c r="M72" s="16">
        <v>24</v>
      </c>
      <c r="N72" s="16">
        <v>40</v>
      </c>
      <c r="O72" s="16">
        <v>40</v>
      </c>
      <c r="P72" s="16">
        <v>40</v>
      </c>
      <c r="Q72" s="16">
        <v>16</v>
      </c>
      <c r="R72" s="16">
        <v>24</v>
      </c>
      <c r="S72" s="16">
        <v>0</v>
      </c>
      <c r="T72" s="16">
        <v>0</v>
      </c>
      <c r="U72" s="16">
        <v>0</v>
      </c>
      <c r="V72" s="16">
        <v>0</v>
      </c>
      <c r="W72" s="16">
        <v>40</v>
      </c>
      <c r="X72" s="16">
        <v>24</v>
      </c>
      <c r="Y72" s="16">
        <v>40</v>
      </c>
      <c r="Z72" s="16">
        <v>40</v>
      </c>
      <c r="AA72" s="16">
        <v>40</v>
      </c>
      <c r="AB72" s="16">
        <v>32</v>
      </c>
      <c r="AC72" s="16">
        <v>32</v>
      </c>
      <c r="AD72" s="16">
        <v>0</v>
      </c>
      <c r="AE72" s="16">
        <v>0</v>
      </c>
    </row>
    <row r="73" spans="1:31" x14ac:dyDescent="0.2">
      <c r="A73" s="6">
        <v>1</v>
      </c>
      <c r="D73" s="17" t="s">
        <v>75</v>
      </c>
      <c r="E73" s="17" t="s">
        <v>75</v>
      </c>
      <c r="F73" s="15" t="s">
        <v>131</v>
      </c>
      <c r="G73" s="19" t="s">
        <v>31</v>
      </c>
      <c r="H73" s="16">
        <v>0</v>
      </c>
      <c r="I73" s="16">
        <v>0</v>
      </c>
      <c r="J73" s="16">
        <v>0</v>
      </c>
      <c r="K73" s="16">
        <v>0</v>
      </c>
      <c r="L73" s="16">
        <v>0</v>
      </c>
      <c r="M73" s="16">
        <v>0</v>
      </c>
      <c r="N73" s="16">
        <v>0</v>
      </c>
      <c r="O73" s="16">
        <v>0</v>
      </c>
      <c r="P73" s="16">
        <v>0</v>
      </c>
      <c r="Q73" s="16">
        <v>0</v>
      </c>
      <c r="R73" s="16">
        <v>0</v>
      </c>
      <c r="S73" s="16">
        <v>40</v>
      </c>
      <c r="T73" s="16">
        <v>40</v>
      </c>
      <c r="U73" s="16">
        <v>40</v>
      </c>
      <c r="V73" s="16">
        <v>40</v>
      </c>
      <c r="W73" s="16">
        <v>0</v>
      </c>
      <c r="X73" s="16">
        <v>0</v>
      </c>
      <c r="Y73" s="16">
        <v>0</v>
      </c>
      <c r="Z73" s="16">
        <v>0</v>
      </c>
      <c r="AA73" s="16">
        <v>0</v>
      </c>
      <c r="AB73" s="16">
        <v>0</v>
      </c>
      <c r="AC73" s="16">
        <v>0</v>
      </c>
      <c r="AD73" s="16">
        <v>0</v>
      </c>
      <c r="AE73" s="16">
        <v>0</v>
      </c>
    </row>
    <row r="74" spans="1:31" x14ac:dyDescent="0.2">
      <c r="A74" s="6">
        <v>3</v>
      </c>
      <c r="D74" s="15" t="s">
        <v>44</v>
      </c>
      <c r="E74" s="15" t="s">
        <v>42</v>
      </c>
      <c r="F74" s="15" t="s">
        <v>127</v>
      </c>
      <c r="G74" s="19" t="s">
        <v>29</v>
      </c>
      <c r="H74" s="16">
        <v>40</v>
      </c>
      <c r="I74" s="16">
        <v>40</v>
      </c>
      <c r="J74" s="16">
        <v>40</v>
      </c>
      <c r="K74" s="16">
        <v>40</v>
      </c>
      <c r="L74" s="16">
        <v>16</v>
      </c>
      <c r="M74" s="16">
        <v>24</v>
      </c>
      <c r="N74" s="16">
        <v>40</v>
      </c>
      <c r="O74" s="16">
        <v>40</v>
      </c>
      <c r="P74" s="16">
        <v>40</v>
      </c>
      <c r="Q74" s="16">
        <v>16</v>
      </c>
      <c r="R74" s="16">
        <v>24</v>
      </c>
      <c r="S74" s="16">
        <v>40</v>
      </c>
      <c r="T74" s="16">
        <v>40</v>
      </c>
      <c r="U74" s="16">
        <v>40</v>
      </c>
      <c r="V74" s="16">
        <v>40</v>
      </c>
      <c r="W74" s="16">
        <v>0</v>
      </c>
      <c r="X74" s="16">
        <v>0</v>
      </c>
      <c r="Y74" s="16">
        <v>0</v>
      </c>
      <c r="Z74" s="16">
        <v>0</v>
      </c>
      <c r="AA74" s="16">
        <v>0</v>
      </c>
      <c r="AB74" s="16">
        <v>0</v>
      </c>
      <c r="AC74" s="16">
        <v>0</v>
      </c>
      <c r="AD74" s="16">
        <v>0</v>
      </c>
      <c r="AE74" s="16">
        <v>0</v>
      </c>
    </row>
    <row r="75" spans="1:31" x14ac:dyDescent="0.2">
      <c r="A75" s="6">
        <v>3</v>
      </c>
      <c r="D75" s="17" t="s">
        <v>45</v>
      </c>
      <c r="E75" s="17" t="s">
        <v>51</v>
      </c>
      <c r="F75" s="15" t="s">
        <v>122</v>
      </c>
      <c r="G75" s="19" t="s">
        <v>29</v>
      </c>
      <c r="H75" s="16">
        <v>0</v>
      </c>
      <c r="I75" s="16">
        <v>0</v>
      </c>
      <c r="J75" s="16">
        <v>0</v>
      </c>
      <c r="K75" s="16">
        <v>0</v>
      </c>
      <c r="L75" s="16">
        <v>0</v>
      </c>
      <c r="M75" s="16">
        <v>0</v>
      </c>
      <c r="N75" s="16">
        <v>0</v>
      </c>
      <c r="O75" s="16">
        <v>0</v>
      </c>
      <c r="P75" s="16">
        <v>0</v>
      </c>
      <c r="Q75" s="16">
        <v>0</v>
      </c>
      <c r="R75" s="16">
        <v>0</v>
      </c>
      <c r="S75" s="16">
        <v>0</v>
      </c>
      <c r="T75" s="16">
        <v>0</v>
      </c>
      <c r="U75" s="16">
        <v>0</v>
      </c>
      <c r="V75" s="16">
        <v>0</v>
      </c>
      <c r="W75" s="16">
        <v>0</v>
      </c>
      <c r="X75" s="16">
        <v>0</v>
      </c>
      <c r="Y75" s="16">
        <v>0</v>
      </c>
      <c r="Z75" s="16">
        <v>32</v>
      </c>
      <c r="AA75" s="16">
        <v>32</v>
      </c>
      <c r="AB75" s="16">
        <v>40</v>
      </c>
      <c r="AC75" s="16">
        <v>48.5</v>
      </c>
      <c r="AD75" s="16">
        <v>0</v>
      </c>
      <c r="AE75" s="16">
        <v>0</v>
      </c>
    </row>
    <row r="76" spans="1:31" x14ac:dyDescent="0.2">
      <c r="A76" s="6">
        <v>1</v>
      </c>
      <c r="D76" s="17" t="s">
        <v>75</v>
      </c>
      <c r="E76" s="17" t="s">
        <v>75</v>
      </c>
      <c r="F76" s="15" t="s">
        <v>131</v>
      </c>
      <c r="G76" s="19" t="s">
        <v>29</v>
      </c>
      <c r="H76" s="16">
        <v>0</v>
      </c>
      <c r="I76" s="16">
        <v>0</v>
      </c>
      <c r="J76" s="16">
        <v>0</v>
      </c>
      <c r="K76" s="16">
        <v>0</v>
      </c>
      <c r="L76" s="16">
        <v>0</v>
      </c>
      <c r="M76" s="16">
        <v>0</v>
      </c>
      <c r="N76" s="16">
        <v>0</v>
      </c>
      <c r="O76" s="16">
        <v>0</v>
      </c>
      <c r="P76" s="16">
        <v>0</v>
      </c>
      <c r="Q76" s="16">
        <v>0</v>
      </c>
      <c r="R76" s="16">
        <v>0</v>
      </c>
      <c r="S76" s="16">
        <v>0</v>
      </c>
      <c r="T76" s="16">
        <v>0</v>
      </c>
      <c r="U76" s="16">
        <v>0</v>
      </c>
      <c r="V76" s="16">
        <v>0</v>
      </c>
      <c r="W76" s="16">
        <v>40</v>
      </c>
      <c r="X76" s="16">
        <v>24</v>
      </c>
      <c r="Y76" s="16">
        <v>40</v>
      </c>
      <c r="Z76" s="16">
        <v>8</v>
      </c>
      <c r="AA76" s="16">
        <v>0</v>
      </c>
      <c r="AB76" s="16">
        <v>0</v>
      </c>
      <c r="AC76" s="16">
        <v>0</v>
      </c>
      <c r="AD76" s="16">
        <v>0</v>
      </c>
      <c r="AE76" s="16">
        <v>0</v>
      </c>
    </row>
    <row r="77" spans="1:31" x14ac:dyDescent="0.2">
      <c r="A77" s="6">
        <v>3</v>
      </c>
      <c r="D77" s="17" t="s">
        <v>45</v>
      </c>
      <c r="E77" s="17" t="s">
        <v>51</v>
      </c>
      <c r="F77" s="15" t="s">
        <v>122</v>
      </c>
      <c r="G77" s="20" t="s">
        <v>108</v>
      </c>
      <c r="H77" s="16">
        <v>0</v>
      </c>
      <c r="I77" s="16">
        <v>0</v>
      </c>
      <c r="J77" s="16">
        <v>0</v>
      </c>
      <c r="K77" s="16">
        <v>0</v>
      </c>
      <c r="L77" s="16">
        <v>0</v>
      </c>
      <c r="M77" s="16">
        <v>0</v>
      </c>
      <c r="N77" s="16">
        <v>0</v>
      </c>
      <c r="O77" s="16">
        <v>0</v>
      </c>
      <c r="P77" s="16">
        <v>0</v>
      </c>
      <c r="Q77" s="16">
        <v>0</v>
      </c>
      <c r="R77" s="16">
        <v>0</v>
      </c>
      <c r="S77" s="16">
        <v>0</v>
      </c>
      <c r="T77" s="16">
        <v>0</v>
      </c>
      <c r="U77" s="16">
        <v>0</v>
      </c>
      <c r="V77" s="16">
        <v>0</v>
      </c>
      <c r="W77" s="16">
        <v>0</v>
      </c>
      <c r="X77" s="16">
        <v>0</v>
      </c>
      <c r="Y77" s="16">
        <v>0</v>
      </c>
      <c r="Z77" s="16">
        <v>0</v>
      </c>
      <c r="AA77" s="16">
        <v>21</v>
      </c>
      <c r="AB77" s="16">
        <v>40</v>
      </c>
      <c r="AC77" s="16">
        <v>48.5</v>
      </c>
      <c r="AD77" s="16">
        <v>0</v>
      </c>
      <c r="AE77" s="16">
        <v>0</v>
      </c>
    </row>
    <row r="78" spans="1:31" x14ac:dyDescent="0.2">
      <c r="A78" s="6">
        <v>3</v>
      </c>
      <c r="D78" s="15" t="s">
        <v>86</v>
      </c>
      <c r="E78" s="15" t="s">
        <v>87</v>
      </c>
      <c r="F78" s="15" t="s">
        <v>125</v>
      </c>
      <c r="G78" s="20" t="s">
        <v>107</v>
      </c>
      <c r="H78" s="16">
        <v>0</v>
      </c>
      <c r="I78" s="16">
        <v>0</v>
      </c>
      <c r="J78" s="16">
        <v>0</v>
      </c>
      <c r="K78" s="16">
        <v>0</v>
      </c>
      <c r="L78" s="16">
        <v>0</v>
      </c>
      <c r="M78" s="16">
        <v>0</v>
      </c>
      <c r="N78" s="16">
        <v>0</v>
      </c>
      <c r="O78" s="16">
        <v>0</v>
      </c>
      <c r="P78" s="16">
        <v>0</v>
      </c>
      <c r="Q78" s="16">
        <v>0</v>
      </c>
      <c r="R78" s="16">
        <v>0</v>
      </c>
      <c r="S78" s="16">
        <v>0</v>
      </c>
      <c r="T78" s="16">
        <v>0</v>
      </c>
      <c r="U78" s="16">
        <v>0</v>
      </c>
      <c r="V78" s="16">
        <v>0</v>
      </c>
      <c r="W78" s="16">
        <v>0</v>
      </c>
      <c r="X78" s="16">
        <v>0</v>
      </c>
      <c r="Y78" s="16">
        <v>0</v>
      </c>
      <c r="Z78" s="16">
        <v>0</v>
      </c>
      <c r="AA78" s="16">
        <v>24</v>
      </c>
      <c r="AB78" s="16">
        <v>40</v>
      </c>
      <c r="AC78" s="16">
        <v>40</v>
      </c>
      <c r="AD78" s="16">
        <v>0</v>
      </c>
      <c r="AE78" s="16">
        <v>0</v>
      </c>
    </row>
    <row r="79" spans="1:31" x14ac:dyDescent="0.2">
      <c r="A79" s="6">
        <v>1</v>
      </c>
      <c r="D79" s="17" t="s">
        <v>75</v>
      </c>
      <c r="E79" s="17" t="s">
        <v>75</v>
      </c>
      <c r="F79" s="15" t="s">
        <v>131</v>
      </c>
      <c r="G79" s="20" t="s">
        <v>101</v>
      </c>
      <c r="H79" s="16">
        <v>40</v>
      </c>
      <c r="I79" s="16">
        <v>40</v>
      </c>
      <c r="J79" s="16">
        <v>40</v>
      </c>
      <c r="K79" s="16">
        <v>40</v>
      </c>
      <c r="L79" s="16">
        <v>16</v>
      </c>
      <c r="M79" s="16">
        <v>24</v>
      </c>
      <c r="N79" s="16">
        <v>40</v>
      </c>
      <c r="O79" s="16">
        <v>40</v>
      </c>
      <c r="P79" s="16">
        <v>40</v>
      </c>
      <c r="Q79" s="16">
        <v>16</v>
      </c>
      <c r="R79" s="16">
        <v>24</v>
      </c>
      <c r="S79" s="16">
        <v>40</v>
      </c>
      <c r="T79" s="16">
        <v>40</v>
      </c>
      <c r="U79" s="16">
        <v>40</v>
      </c>
      <c r="V79" s="16">
        <v>40</v>
      </c>
      <c r="W79" s="16">
        <v>40</v>
      </c>
      <c r="X79" s="16">
        <v>24</v>
      </c>
      <c r="Y79" s="16">
        <v>40</v>
      </c>
      <c r="Z79" s="16">
        <v>40</v>
      </c>
      <c r="AA79" s="16">
        <v>0</v>
      </c>
      <c r="AB79" s="16">
        <v>0</v>
      </c>
      <c r="AC79" s="16">
        <v>0</v>
      </c>
      <c r="AD79" s="16">
        <v>0</v>
      </c>
      <c r="AE79" s="16">
        <v>0</v>
      </c>
    </row>
    <row r="80" spans="1:31" x14ac:dyDescent="0.2">
      <c r="A80" s="6">
        <v>3</v>
      </c>
      <c r="D80" s="15" t="s">
        <v>78</v>
      </c>
      <c r="E80" s="15" t="s">
        <v>98</v>
      </c>
      <c r="F80" s="15" t="s">
        <v>119</v>
      </c>
      <c r="G80" s="20" t="s">
        <v>134</v>
      </c>
      <c r="H80" s="16">
        <v>0</v>
      </c>
      <c r="I80" s="16">
        <v>0</v>
      </c>
      <c r="J80" s="16">
        <v>0</v>
      </c>
      <c r="K80" s="16">
        <v>0</v>
      </c>
      <c r="L80" s="16">
        <v>0</v>
      </c>
      <c r="M80" s="16">
        <v>0</v>
      </c>
      <c r="N80" s="16">
        <v>0</v>
      </c>
      <c r="O80" s="16">
        <v>0</v>
      </c>
      <c r="P80" s="16">
        <v>0</v>
      </c>
      <c r="Q80" s="16">
        <v>0</v>
      </c>
      <c r="R80" s="16">
        <v>0</v>
      </c>
      <c r="S80" s="16">
        <v>0</v>
      </c>
      <c r="T80" s="16">
        <v>0</v>
      </c>
      <c r="U80" s="16">
        <v>0</v>
      </c>
      <c r="V80" s="16">
        <v>0</v>
      </c>
      <c r="W80" s="16">
        <v>0</v>
      </c>
      <c r="X80" s="16">
        <v>0</v>
      </c>
      <c r="Y80" s="16">
        <v>0</v>
      </c>
      <c r="Z80" s="16">
        <v>40</v>
      </c>
      <c r="AA80" s="16">
        <v>32</v>
      </c>
      <c r="AB80" s="16">
        <v>40</v>
      </c>
      <c r="AC80" s="16">
        <v>40</v>
      </c>
      <c r="AD80" s="16">
        <v>0</v>
      </c>
      <c r="AE80" s="16">
        <v>0</v>
      </c>
    </row>
    <row r="81" spans="1:31" x14ac:dyDescent="0.2">
      <c r="A81" s="6">
        <v>3</v>
      </c>
      <c r="D81" s="15" t="s">
        <v>103</v>
      </c>
      <c r="E81" s="15" t="s">
        <v>104</v>
      </c>
      <c r="F81" s="15" t="s">
        <v>124</v>
      </c>
      <c r="G81" s="20" t="s">
        <v>102</v>
      </c>
      <c r="H81" s="16">
        <v>0</v>
      </c>
      <c r="I81" s="16">
        <v>0</v>
      </c>
      <c r="J81" s="16">
        <v>0</v>
      </c>
      <c r="K81" s="16">
        <v>0</v>
      </c>
      <c r="L81" s="16">
        <v>0</v>
      </c>
      <c r="M81" s="16">
        <v>0</v>
      </c>
      <c r="N81" s="16">
        <v>0</v>
      </c>
      <c r="O81" s="16">
        <v>0</v>
      </c>
      <c r="P81" s="16">
        <v>0</v>
      </c>
      <c r="Q81" s="16">
        <v>0</v>
      </c>
      <c r="R81" s="16">
        <v>0</v>
      </c>
      <c r="S81" s="16">
        <v>0</v>
      </c>
      <c r="T81" s="16">
        <v>0</v>
      </c>
      <c r="U81" s="16">
        <v>0</v>
      </c>
      <c r="V81" s="16">
        <v>0</v>
      </c>
      <c r="W81" s="16">
        <v>0</v>
      </c>
      <c r="X81" s="16">
        <v>0</v>
      </c>
      <c r="Y81" s="16">
        <v>0</v>
      </c>
      <c r="Z81" s="16">
        <v>0</v>
      </c>
      <c r="AA81" s="16">
        <v>0</v>
      </c>
      <c r="AB81" s="16">
        <v>40</v>
      </c>
      <c r="AC81" s="16">
        <v>40</v>
      </c>
      <c r="AD81" s="16">
        <v>0</v>
      </c>
      <c r="AE81" s="16">
        <v>0</v>
      </c>
    </row>
    <row r="82" spans="1:31" x14ac:dyDescent="0.2">
      <c r="A82" s="6">
        <v>3</v>
      </c>
      <c r="D82" s="15" t="s">
        <v>45</v>
      </c>
      <c r="E82" s="15" t="s">
        <v>51</v>
      </c>
      <c r="F82" s="15" t="s">
        <v>122</v>
      </c>
      <c r="G82" s="20" t="s">
        <v>109</v>
      </c>
      <c r="H82" s="16">
        <v>0</v>
      </c>
      <c r="I82" s="16">
        <v>0</v>
      </c>
      <c r="J82" s="16">
        <v>0</v>
      </c>
      <c r="K82" s="16">
        <v>0</v>
      </c>
      <c r="L82" s="16">
        <v>0</v>
      </c>
      <c r="M82" s="16">
        <v>0</v>
      </c>
      <c r="N82" s="16">
        <v>0</v>
      </c>
      <c r="O82" s="16">
        <v>0</v>
      </c>
      <c r="P82" s="16">
        <v>0</v>
      </c>
      <c r="Q82" s="16">
        <v>0</v>
      </c>
      <c r="R82" s="16">
        <v>0</v>
      </c>
      <c r="S82" s="16">
        <v>0</v>
      </c>
      <c r="T82" s="16">
        <v>0</v>
      </c>
      <c r="U82" s="16">
        <v>0</v>
      </c>
      <c r="V82" s="16">
        <v>0</v>
      </c>
      <c r="W82" s="16">
        <v>0</v>
      </c>
      <c r="X82" s="16">
        <v>0</v>
      </c>
      <c r="Y82" s="16">
        <v>0</v>
      </c>
      <c r="Z82" s="16">
        <v>0</v>
      </c>
      <c r="AA82" s="16">
        <v>0</v>
      </c>
      <c r="AB82" s="16">
        <v>0</v>
      </c>
      <c r="AC82" s="16">
        <v>45</v>
      </c>
      <c r="AD82" s="16">
        <v>0</v>
      </c>
      <c r="AE82" s="16">
        <v>0</v>
      </c>
    </row>
    <row r="1048576" spans="32:32" x14ac:dyDescent="0.2">
      <c r="AF1048576" s="7"/>
    </row>
  </sheetData>
  <autoFilter ref="A7:AE82"/>
  <conditionalFormatting sqref="H8:AE82">
    <cfRule type="cellIs" dxfId="1650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33</vt:i4>
      </vt:variant>
      <vt:variant>
        <vt:lpstr>Rangos con nombre</vt:lpstr>
      </vt:variant>
      <vt:variant>
        <vt:i4>70</vt:i4>
      </vt:variant>
    </vt:vector>
  </HeadingPairs>
  <TitlesOfParts>
    <vt:vector size="103" baseType="lpstr">
      <vt:lpstr>Datos_Personal</vt:lpstr>
      <vt:lpstr>Resumen</vt:lpstr>
      <vt:lpstr>Cuadro Rentabilidades</vt:lpstr>
      <vt:lpstr>Rentabilidad x Proy</vt:lpstr>
      <vt:lpstr>Manpower</vt:lpstr>
      <vt:lpstr>Ingresos x Proy - Mes</vt:lpstr>
      <vt:lpstr>Proyectos</vt:lpstr>
      <vt:lpstr>Hoja2</vt:lpstr>
      <vt:lpstr>Hoja1</vt:lpstr>
      <vt:lpstr>personal</vt:lpstr>
      <vt:lpstr>Terceros</vt:lpstr>
      <vt:lpstr>Datos</vt:lpstr>
      <vt:lpstr>tareo</vt:lpstr>
      <vt:lpstr>Distribucion_horas</vt:lpstr>
      <vt:lpstr>Reporte Junio</vt:lpstr>
      <vt:lpstr>Por Recurso</vt:lpstr>
      <vt:lpstr>Centro de costo</vt:lpstr>
      <vt:lpstr>Por Proyecto</vt:lpstr>
      <vt:lpstr>EQUIPOS</vt:lpstr>
      <vt:lpstr>BackCosto</vt:lpstr>
      <vt:lpstr>SEPTIEMBRE</vt:lpstr>
      <vt:lpstr>AGOSTO</vt:lpstr>
      <vt:lpstr>ENERO</vt:lpstr>
      <vt:lpstr>FEBRERO</vt:lpstr>
      <vt:lpstr>MARZO</vt:lpstr>
      <vt:lpstr>ABRIL</vt:lpstr>
      <vt:lpstr>MAYO</vt:lpstr>
      <vt:lpstr>JUNIO</vt:lpstr>
      <vt:lpstr>JULIO </vt:lpstr>
      <vt:lpstr>julio1</vt:lpstr>
      <vt:lpstr>Hoja3</vt:lpstr>
      <vt:lpstr>Reporte Giuliana I</vt:lpstr>
      <vt:lpstr>Back tareo</vt:lpstr>
      <vt:lpstr>COD_PROY</vt:lpstr>
      <vt:lpstr>COD_PROY_ING</vt:lpstr>
      <vt:lpstr>COD_PROY_MTZ</vt:lpstr>
      <vt:lpstr>COD_PROY_SC</vt:lpstr>
      <vt:lpstr>COSTO_MO_ABR</vt:lpstr>
      <vt:lpstr>COSTO_MO_ENE</vt:lpstr>
      <vt:lpstr>COSTO_MO_FEB</vt:lpstr>
      <vt:lpstr>COSTO_MO_JUL</vt:lpstr>
      <vt:lpstr>COSTO_MO_JUN</vt:lpstr>
      <vt:lpstr>COSTO_MO_MAR</vt:lpstr>
      <vt:lpstr>COSTO_MO_MAY</vt:lpstr>
      <vt:lpstr>GASTO_PRY</vt:lpstr>
      <vt:lpstr>ING_17_ABR</vt:lpstr>
      <vt:lpstr>ING_17_AGO</vt:lpstr>
      <vt:lpstr>ING_17_DIC</vt:lpstr>
      <vt:lpstr>ING_17_ENE</vt:lpstr>
      <vt:lpstr>ING_17_FEB</vt:lpstr>
      <vt:lpstr>ING_17_JUL</vt:lpstr>
      <vt:lpstr>ING_17_JUN</vt:lpstr>
      <vt:lpstr>ING_17_MAR</vt:lpstr>
      <vt:lpstr>ING_17_MAY</vt:lpstr>
      <vt:lpstr>ING_17_NOV</vt:lpstr>
      <vt:lpstr>ING_17_OCT</vt:lpstr>
      <vt:lpstr>ING_17_SEP</vt:lpstr>
      <vt:lpstr>MATRIZ_ABRIL</vt:lpstr>
      <vt:lpstr>MATRIZ_AGOSTO</vt:lpstr>
      <vt:lpstr>MATRIZ_ENERO</vt:lpstr>
      <vt:lpstr>MATRIZ_FEB</vt:lpstr>
      <vt:lpstr>MATRIZ_JUL</vt:lpstr>
      <vt:lpstr>MATRIZ_JUN</vt:lpstr>
      <vt:lpstr>MATRIZ_MARZO</vt:lpstr>
      <vt:lpstr>MATRIZ_MAY</vt:lpstr>
      <vt:lpstr>MATRIZ_PROYECTOS</vt:lpstr>
      <vt:lpstr>MATRIZ_SEPTIEM</vt:lpstr>
      <vt:lpstr>MO_17_ABR</vt:lpstr>
      <vt:lpstr>MO_17_AGO</vt:lpstr>
      <vt:lpstr>MO_17_DIC</vt:lpstr>
      <vt:lpstr>MO_17_ENE</vt:lpstr>
      <vt:lpstr>MO_17_FEB</vt:lpstr>
      <vt:lpstr>MO_17_JUL</vt:lpstr>
      <vt:lpstr>MO_17_JUN</vt:lpstr>
      <vt:lpstr>MO_17_MAR</vt:lpstr>
      <vt:lpstr>MO_17_MAY</vt:lpstr>
      <vt:lpstr>MO_17_NOV</vt:lpstr>
      <vt:lpstr>MO_17_OCT</vt:lpstr>
      <vt:lpstr>MO_17_SEP</vt:lpstr>
      <vt:lpstr>MO_ENE</vt:lpstr>
      <vt:lpstr>PEND_FACT</vt:lpstr>
      <vt:lpstr>RECURSOS</vt:lpstr>
      <vt:lpstr>RECURSOS_ABR</vt:lpstr>
      <vt:lpstr>RECURSOS_ENE</vt:lpstr>
      <vt:lpstr>RECURSOS_FEB</vt:lpstr>
      <vt:lpstr>RECURSOS_JUL</vt:lpstr>
      <vt:lpstr>RECURSOS_JUN</vt:lpstr>
      <vt:lpstr>RECURSOS_JUÑ</vt:lpstr>
      <vt:lpstr>RECURSOS_MAR</vt:lpstr>
      <vt:lpstr>RECURSOS_MAY</vt:lpstr>
      <vt:lpstr>SC_17_ABR</vt:lpstr>
      <vt:lpstr>SC_17_AGO</vt:lpstr>
      <vt:lpstr>SC_17_DIC</vt:lpstr>
      <vt:lpstr>SC_17_ENE</vt:lpstr>
      <vt:lpstr>SC_17_FEB</vt:lpstr>
      <vt:lpstr>SC_17_JUL</vt:lpstr>
      <vt:lpstr>SC_17_JUN</vt:lpstr>
      <vt:lpstr>SC_17_MAR</vt:lpstr>
      <vt:lpstr>SC_17_MAY</vt:lpstr>
      <vt:lpstr>SC_17_NOV</vt:lpstr>
      <vt:lpstr>SC_17_OCT</vt:lpstr>
      <vt:lpstr>SC_17_SET</vt:lpstr>
      <vt:lpstr>TOTAL_HORAS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Chavez</dc:creator>
  <cp:lastModifiedBy>Jean Cespedes</cp:lastModifiedBy>
  <cp:lastPrinted>2017-08-09T17:03:35Z</cp:lastPrinted>
  <dcterms:created xsi:type="dcterms:W3CDTF">2017-05-22T21:06:08Z</dcterms:created>
  <dcterms:modified xsi:type="dcterms:W3CDTF">2017-10-09T20:12:35Z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